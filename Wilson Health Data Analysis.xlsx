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hidePivotFieldList="1"/>
  <mc:AlternateContent xmlns:mc="http://schemas.openxmlformats.org/markup-compatibility/2006">
    <mc:Choice Requires="x15">
      <x15ac:absPath xmlns:x15ac="http://schemas.microsoft.com/office/spreadsheetml/2010/11/ac" url="https://d.docs.live.net/8aaca43452125168/Documents/My Data Portfolio/Excel Dashboards/"/>
    </mc:Choice>
  </mc:AlternateContent>
  <xr:revisionPtr revIDLastSave="1" documentId="8_{04445F9C-C27D-4DF4-98AD-DB3F29DDB18B}" xr6:coauthVersionLast="47" xr6:coauthVersionMax="47" xr10:uidLastSave="{FD65C5CA-EB89-4AB1-B87C-E03F791EBE24}"/>
  <bookViews>
    <workbookView xWindow="-110" yWindow="-110" windowWidth="19420" windowHeight="10300" firstSheet="1" activeTab="4" xr2:uid="{00000000-000D-0000-FFFF-FFFF00000000}"/>
  </bookViews>
  <sheets>
    <sheet name="Detail1" sheetId="6" r:id="rId1"/>
    <sheet name="Sheet4" sheetId="5" r:id="rId2"/>
    <sheet name="Wilson Health" sheetId="3" r:id="rId3"/>
    <sheet name="Raw Data" sheetId="1" r:id="rId4"/>
    <sheet name="Dashboard" sheetId="2" r:id="rId5"/>
  </sheets>
  <definedNames>
    <definedName name="Avg_Billing">#REF!</definedName>
    <definedName name="Avg_days">#REF!</definedName>
    <definedName name="Billing">#REF!</definedName>
    <definedName name="Patients">#REF!</definedName>
    <definedName name="Slicer_Admission_Type">#N/A</definedName>
    <definedName name="Slicer_Age_Range">#N/A</definedName>
    <definedName name="Slicer_Gender">#N/A</definedName>
    <definedName name="Slicer_Hospital">#N/A</definedName>
    <definedName name="Slicer_Medical_Condition">#N/A</definedName>
    <definedName name="Total_Billing">#REF!</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3" l="1"/>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C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<sst xmlns="http://schemas.openxmlformats.org/spreadsheetml/2006/main" count="16977" uniqueCount="1599">
  <si>
    <t>Age</t>
  </si>
  <si>
    <t>Gender</t>
  </si>
  <si>
    <t>Blood Type</t>
  </si>
  <si>
    <t>Medical Condition</t>
  </si>
  <si>
    <t>Date of Admission</t>
  </si>
  <si>
    <t>Hospital</t>
  </si>
  <si>
    <t>Billing Amount</t>
  </si>
  <si>
    <t>Room Number</t>
  </si>
  <si>
    <t>Admission Type</t>
  </si>
  <si>
    <t>Discharge Date</t>
  </si>
  <si>
    <t>Medication</t>
  </si>
  <si>
    <t>Male</t>
  </si>
  <si>
    <t>B-</t>
  </si>
  <si>
    <t>Cancer</t>
  </si>
  <si>
    <t>Urgent</t>
  </si>
  <si>
    <t>Paracetamol</t>
  </si>
  <si>
    <t>A+</t>
  </si>
  <si>
    <t>Obesity</t>
  </si>
  <si>
    <t>Emergency</t>
  </si>
  <si>
    <t>Ibuprofen</t>
  </si>
  <si>
    <t>Female</t>
  </si>
  <si>
    <t>A-</t>
  </si>
  <si>
    <t>Aspirin</t>
  </si>
  <si>
    <t>O+</t>
  </si>
  <si>
    <t>Diabetes</t>
  </si>
  <si>
    <t>Elective</t>
  </si>
  <si>
    <t>AB+</t>
  </si>
  <si>
    <t>Penicillin</t>
  </si>
  <si>
    <t>Asthma</t>
  </si>
  <si>
    <t>AB-</t>
  </si>
  <si>
    <t>Hypertension</t>
  </si>
  <si>
    <t>Lipitor</t>
  </si>
  <si>
    <t>Arthritis</t>
  </si>
  <si>
    <t>B+</t>
  </si>
  <si>
    <t>O-</t>
  </si>
  <si>
    <t>Customers</t>
  </si>
  <si>
    <t>Wilson Branch B</t>
  </si>
  <si>
    <t>Wilson Branch A</t>
  </si>
  <si>
    <t>Wilson Branch C</t>
  </si>
  <si>
    <t>Wilson Branch D</t>
  </si>
  <si>
    <t>Bobby JacksOn</t>
  </si>
  <si>
    <t>LesLie TErRy</t>
  </si>
  <si>
    <t>DaNnY sMitH</t>
  </si>
  <si>
    <t>andrEw waTtS</t>
  </si>
  <si>
    <t>adrIENNE bEll</t>
  </si>
  <si>
    <t>EMILY JOHNSOn</t>
  </si>
  <si>
    <t>edwArD EDWaRDs</t>
  </si>
  <si>
    <t>CHrisTInA MARtinez</t>
  </si>
  <si>
    <t>JASmINe aGuIlaR</t>
  </si>
  <si>
    <t>ChRISTopher BerG</t>
  </si>
  <si>
    <t>mIchElLe daniELs</t>
  </si>
  <si>
    <t>aaRon MARtiNeZ</t>
  </si>
  <si>
    <t>connOR HANsEn</t>
  </si>
  <si>
    <t>rObeRt bAuer</t>
  </si>
  <si>
    <t>bROOkE brady</t>
  </si>
  <si>
    <t>MS. nAtalIE gAMble</t>
  </si>
  <si>
    <t>haley perkins</t>
  </si>
  <si>
    <t>mRS. jamiE cAMPBELl</t>
  </si>
  <si>
    <t>LuKE BuRgEss</t>
  </si>
  <si>
    <t>dANIEL schmIdt</t>
  </si>
  <si>
    <t>tIMOTHY burNs</t>
  </si>
  <si>
    <t>ChRISToPHEr BRiGhT</t>
  </si>
  <si>
    <t>KatHRYn StewArt</t>
  </si>
  <si>
    <t>dR. EilEEn thomPsoN</t>
  </si>
  <si>
    <t>PAUl hEndERsOn</t>
  </si>
  <si>
    <t>PeTER fiTzgeRaLd</t>
  </si>
  <si>
    <t>cathy sMaLl</t>
  </si>
  <si>
    <t>mr. KenNEth MoORE</t>
  </si>
  <si>
    <t>MaRy hUNter</t>
  </si>
  <si>
    <t>jOSHUA OLiVer</t>
  </si>
  <si>
    <t>ThOMAS MartInEZ</t>
  </si>
  <si>
    <t>JAmES pattERson</t>
  </si>
  <si>
    <t>WilLIAM cOOPEr</t>
  </si>
  <si>
    <t>Erin oRTEga</t>
  </si>
  <si>
    <t>NicOlE RodriGUEz</t>
  </si>
  <si>
    <t>DAvID AndErSON</t>
  </si>
  <si>
    <t>DEnIse ToRRES</t>
  </si>
  <si>
    <t>CasSAndrA Robinson</t>
  </si>
  <si>
    <t>NIcOlE LUcErO</t>
  </si>
  <si>
    <t>PAmela fErNanDeZ</t>
  </si>
  <si>
    <t>chRiSTOPHer LEe</t>
  </si>
  <si>
    <t>ThomAS morsE</t>
  </si>
  <si>
    <t>Mr. eRiC Lane</t>
  </si>
  <si>
    <t>KAThEriNE SmiTH</t>
  </si>
  <si>
    <t>pAUL wILLiAmS</t>
  </si>
  <si>
    <t>lYNn MaRtinez</t>
  </si>
  <si>
    <t>chRIsTOpHEr CHaPmAN</t>
  </si>
  <si>
    <t>CHRis fRYe</t>
  </si>
  <si>
    <t>kyLE bEnneTT</t>
  </si>
  <si>
    <t>BRandOn coLLINS</t>
  </si>
  <si>
    <t>mIchael LiU</t>
  </si>
  <si>
    <t>STepHaNie kEnt</t>
  </si>
  <si>
    <t>JessE BaNks</t>
  </si>
  <si>
    <t>PeGGY LEe</t>
  </si>
  <si>
    <t>TAmARa hErNAndez</t>
  </si>
  <si>
    <t>mR. DAVID pIERce Md</t>
  </si>
  <si>
    <t>beThaNY MoOrE</t>
  </si>
  <si>
    <t>MIChael MIllS</t>
  </si>
  <si>
    <t>kyle Wiley</t>
  </si>
  <si>
    <t>jACqUeLINE jORdaN</t>
  </si>
  <si>
    <t>ASHleY guTIERreZ</t>
  </si>
  <si>
    <t>Kim ScOtt</t>
  </si>
  <si>
    <t>tRAvIs carTeR</t>
  </si>
  <si>
    <t>LArry rodgeRs</t>
  </si>
  <si>
    <t>Nancy glOVeR</t>
  </si>
  <si>
    <t>JessIca king</t>
  </si>
  <si>
    <t>ChRiStOPhER gOnzAlez</t>
  </si>
  <si>
    <t>jOhN hARTmAN</t>
  </si>
  <si>
    <t>MicHAEl MillEr</t>
  </si>
  <si>
    <t>Erica myERS</t>
  </si>
  <si>
    <t>cAROl PaTtERSoN</t>
  </si>
  <si>
    <t>JOSe LopEz</t>
  </si>
  <si>
    <t>kEVIn SiMmoNs Jr.</t>
  </si>
  <si>
    <t>DuANe HaneY</t>
  </si>
  <si>
    <t>JONathAn yaTeS</t>
  </si>
  <si>
    <t>johN THoMaS</t>
  </si>
  <si>
    <t>AdriaN BuckLEY</t>
  </si>
  <si>
    <t>apRil SANTIAgO</t>
  </si>
  <si>
    <t>DIane scHultz</t>
  </si>
  <si>
    <t>tiMOThY myers</t>
  </si>
  <si>
    <t>NICOLE HUGhes</t>
  </si>
  <si>
    <t>ChAd MorEnO</t>
  </si>
  <si>
    <t>SeaN jenniNGs</t>
  </si>
  <si>
    <t>DIAnE brAnch</t>
  </si>
  <si>
    <t>cindY OROzco</t>
  </si>
  <si>
    <t>pAtriCIa MEdinA</t>
  </si>
  <si>
    <t>kayLa padillA</t>
  </si>
  <si>
    <t>JUan klEiN</t>
  </si>
  <si>
    <t>wILLIAM hIlL</t>
  </si>
  <si>
    <t>CARL BEst</t>
  </si>
  <si>
    <t>TInA GriFfin</t>
  </si>
  <si>
    <t>MR. TYler TAYLOR Phd</t>
  </si>
  <si>
    <t>TAyLoR howeLl Dds</t>
  </si>
  <si>
    <t>mIcHAeL MaRTIn</t>
  </si>
  <si>
    <t>heatHER mIller</t>
  </si>
  <si>
    <t>cathERinE gArDnEr</t>
  </si>
  <si>
    <t>ANNE THOMPSoN</t>
  </si>
  <si>
    <t>TOdd coopeR</t>
  </si>
  <si>
    <t>PhILLIP lyOnS</t>
  </si>
  <si>
    <t>MaRk foRD</t>
  </si>
  <si>
    <t>mARcUS ZAmorA</t>
  </si>
  <si>
    <t>KaTiE hENry</t>
  </si>
  <si>
    <t>wilLIAm morTON</t>
  </si>
  <si>
    <t>KaTRina maRTin</t>
  </si>
  <si>
    <t>HunTeR mckAy</t>
  </si>
  <si>
    <t>dWAYnE DAViS</t>
  </si>
  <si>
    <t>sARAH CalDweLL</t>
  </si>
  <si>
    <t>DAVid higgInS</t>
  </si>
  <si>
    <t>bRADlEY coMbS</t>
  </si>
  <si>
    <t>chrisTiNa SChMitt</t>
  </si>
  <si>
    <t>coLtoN stRONg</t>
  </si>
  <si>
    <t>MARK priCE</t>
  </si>
  <si>
    <t>sUZaNnE SchNeIder</t>
  </si>
  <si>
    <t>MIchaEL HUrLEY</t>
  </si>
  <si>
    <t>LIndsEy laMbErt</t>
  </si>
  <si>
    <t>reBEcCA PARsONs</t>
  </si>
  <si>
    <t>jUdy joHNsoN</t>
  </si>
  <si>
    <t>TOnyA caMpbell</t>
  </si>
  <si>
    <t>JAMEs Ross</t>
  </si>
  <si>
    <t>SaRA COOk</t>
  </si>
  <si>
    <t>annE howeLl</t>
  </si>
  <si>
    <t>RENEE bAilEY</t>
  </si>
  <si>
    <t>Jeffrey tuRNER</t>
  </si>
  <si>
    <t>DR. LaUreN ClaRk DDs</t>
  </si>
  <si>
    <t>terRY THoMaS</t>
  </si>
  <si>
    <t>JasOn baKEr</t>
  </si>
  <si>
    <t>JEssicA gUtiERrEz</t>
  </si>
  <si>
    <t>COURTNey HOdGes</t>
  </si>
  <si>
    <t>ANthONy reYEs</t>
  </si>
  <si>
    <t>LeaH cRoSs Dds</t>
  </si>
  <si>
    <t>PaUL MaRTinEz</t>
  </si>
  <si>
    <t>DenisE rOdRIGuEZ</t>
  </si>
  <si>
    <t>ashLEy ERIcKSoN</t>
  </si>
  <si>
    <t>SEaN carDenaS</t>
  </si>
  <si>
    <t>aLaN AlVaREz</t>
  </si>
  <si>
    <t>JeSsICA phiLliPS</t>
  </si>
  <si>
    <t>tiMOthY CoLemaN</t>
  </si>
  <si>
    <t>cHristina wooDS</t>
  </si>
  <si>
    <t>mELIssa sCOtt</t>
  </si>
  <si>
    <t>GaRy hoPkiNS</t>
  </si>
  <si>
    <t>aPRIL VAleNCIA</t>
  </si>
  <si>
    <t>riTA archER</t>
  </si>
  <si>
    <t>kIm PenA</t>
  </si>
  <si>
    <t>jaSoN FOlEy</t>
  </si>
  <si>
    <t>ShAUN GuzmAn</t>
  </si>
  <si>
    <t>MATTHeW wHite</t>
  </si>
  <si>
    <t>aLExiS wilsOn</t>
  </si>
  <si>
    <t>JaCQueLiNE maRshAll</t>
  </si>
  <si>
    <t>RoBErt hIGGInS</t>
  </si>
  <si>
    <t>SierRa MoRTON</t>
  </si>
  <si>
    <t>nATAliE sTANtoN</t>
  </si>
  <si>
    <t>jEssica aceveDo</t>
  </si>
  <si>
    <t>JENnIfEr mCmillan</t>
  </si>
  <si>
    <t>ChRISTopher mccLAiN</t>
  </si>
  <si>
    <t>kevIn HiCKs</t>
  </si>
  <si>
    <t>MELIndA richARds</t>
  </si>
  <si>
    <t>roBYn miRaNDa</t>
  </si>
  <si>
    <t>scoTt caSTillO</t>
  </si>
  <si>
    <t>jOHN GarciA</t>
  </si>
  <si>
    <t>miCHAeL TayloR</t>
  </si>
  <si>
    <t>jeFfReY WoOd</t>
  </si>
  <si>
    <t>MiCHAEl smIth</t>
  </si>
  <si>
    <t>wiLLiam grIFfItH</t>
  </si>
  <si>
    <t>CHrISTiNa lAwReNCe</t>
  </si>
  <si>
    <t>jeSsiCA HolmeS</t>
  </si>
  <si>
    <t>traCEY grEenE</t>
  </si>
  <si>
    <t>aMAnda lOpeZ</t>
  </si>
  <si>
    <t>LaurA pEtErS</t>
  </si>
  <si>
    <t>LAUrEn ANDErSOn</t>
  </si>
  <si>
    <t>wILliAm CAmpos</t>
  </si>
  <si>
    <t>jEssiCa GoNzAleS</t>
  </si>
  <si>
    <t>brUcE gOnzaleS</t>
  </si>
  <si>
    <t>rOBert WAlsH</t>
  </si>
  <si>
    <t>lIsA LeWis</t>
  </si>
  <si>
    <t>WiLlIaM RUiZ</t>
  </si>
  <si>
    <t>StEven BALdWIn</t>
  </si>
  <si>
    <t>meGAn CoLON</t>
  </si>
  <si>
    <t>kImbErlY brOoks</t>
  </si>
  <si>
    <t>EdWARd SMiTh jR.</t>
  </si>
  <si>
    <t>aLliSoN CorDoVA</t>
  </si>
  <si>
    <t>lINdA THOMAs</t>
  </si>
  <si>
    <t>paRkEr moOrE</t>
  </si>
  <si>
    <t>tanya SOto</t>
  </si>
  <si>
    <t>mIChaEL jOrdaN</t>
  </si>
  <si>
    <t>ChRiSTINA MArTin</t>
  </si>
  <si>
    <t>TrACy BUrke</t>
  </si>
  <si>
    <t>daVID SPeNCE</t>
  </si>
  <si>
    <t>JOsEph fOstER</t>
  </si>
  <si>
    <t>NIcholAs haLl</t>
  </si>
  <si>
    <t>ChriSTiNA maCiAS</t>
  </si>
  <si>
    <t>scoTT JoNes</t>
  </si>
  <si>
    <t>jaMEs AnDerSon</t>
  </si>
  <si>
    <t>sHaUN LonG</t>
  </si>
  <si>
    <t>krIStInA morA</t>
  </si>
  <si>
    <t>joshUa rIcHmOnd</t>
  </si>
  <si>
    <t>Mark lAWrencE</t>
  </si>
  <si>
    <t>JOhN eLlis</t>
  </si>
  <si>
    <t>MRs. TiFFAny DeNnIs</t>
  </si>
  <si>
    <t>cyNTHIa HuANG</t>
  </si>
  <si>
    <t>meLiSSA LawRENcE</t>
  </si>
  <si>
    <t>STEvEn goodwIN</t>
  </si>
  <si>
    <t>mARY HuNT</t>
  </si>
  <si>
    <t>ERic riveRa</t>
  </si>
  <si>
    <t>ALAn tayLor</t>
  </si>
  <si>
    <t>mIcHaEL cAMPbeLl</t>
  </si>
  <si>
    <t>asHLEY webb ddS</t>
  </si>
  <si>
    <t>SHaNNON broWn</t>
  </si>
  <si>
    <t>LAwrenCE shEPherD</t>
  </si>
  <si>
    <t>scoTt wADE</t>
  </si>
  <si>
    <t>heAthER curTis</t>
  </si>
  <si>
    <t>kEvIN jEFFeRsON</t>
  </si>
  <si>
    <t>dAvId gRifFIn</t>
  </si>
  <si>
    <t>GRanT GeoRge</t>
  </si>
  <si>
    <t>eRIc SteWART</t>
  </si>
  <si>
    <t>RoBErt pittmAn</t>
  </si>
  <si>
    <t>SYdNey Cross</t>
  </si>
  <si>
    <t>DaviD CrawfoRD</t>
  </si>
  <si>
    <t>LEAH DRaKE</t>
  </si>
  <si>
    <t>DiAna hALL</t>
  </si>
  <si>
    <t>JUsTIN lE</t>
  </si>
  <si>
    <t>KaREn pricE dDs</t>
  </si>
  <si>
    <t>CaROlYN sTEeLE</t>
  </si>
  <si>
    <t>LAURen RAMireZ</t>
  </si>
  <si>
    <t>jAcOb nEWman</t>
  </si>
  <si>
    <t>KAThErInE BARnEtt</t>
  </si>
  <si>
    <t>JODI martiNeZ</t>
  </si>
  <si>
    <t>andrEa aLlEN</t>
  </si>
  <si>
    <t>nOah baxtEr</t>
  </si>
  <si>
    <t>hECTOR MAXweLL</t>
  </si>
  <si>
    <t>holLy WALters</t>
  </si>
  <si>
    <t>JOsepH SmIth</t>
  </si>
  <si>
    <t>albERt tHOmAS</t>
  </si>
  <si>
    <t>jeFfErY WIlliaMSOn</t>
  </si>
  <si>
    <t>joNAthAn meADOWS</t>
  </si>
  <si>
    <t>kRIStIN BeNnETT</t>
  </si>
  <si>
    <t>miCHaEl SmITh</t>
  </si>
  <si>
    <t>JOSepH cARpenteR</t>
  </si>
  <si>
    <t>larRy MaYEr</t>
  </si>
  <si>
    <t>CLaYTON PEterSon</t>
  </si>
  <si>
    <t>donaLD aLVArEZ</t>
  </si>
  <si>
    <t>SaRAh leE</t>
  </si>
  <si>
    <t>joHN peReZ</t>
  </si>
  <si>
    <t>Timothy jAcobS</t>
  </si>
  <si>
    <t>nAThaN sMall</t>
  </si>
  <si>
    <t>dUSTin WriGhT</t>
  </si>
  <si>
    <t>jacOb wilLiAMS</t>
  </si>
  <si>
    <t>wiLlIAm mcCOY</t>
  </si>
  <si>
    <t>dr. MATthEW wilkinS</t>
  </si>
  <si>
    <t>JosEpH gONZaLeZ</t>
  </si>
  <si>
    <t>rObErt fiElDS</t>
  </si>
  <si>
    <t>lawrencE mIRAndA</t>
  </si>
  <si>
    <t>mitCheLl caRrOlL</t>
  </si>
  <si>
    <t>COdY nIcHoLs</t>
  </si>
  <si>
    <t>KELlI tHompSOn</t>
  </si>
  <si>
    <t>dAnIElle lOPeZ</t>
  </si>
  <si>
    <t>melINda JONES</t>
  </si>
  <si>
    <t>KRiSTIN sMith</t>
  </si>
  <si>
    <t>StEphaniE REYNolDs</t>
  </si>
  <si>
    <t>AnNA NORMaN</t>
  </si>
  <si>
    <t>MAria haYeS</t>
  </si>
  <si>
    <t>toNya riLEy mD</t>
  </si>
  <si>
    <t>REgiNa DUnn</t>
  </si>
  <si>
    <t>mIcHael JACoBS</t>
  </si>
  <si>
    <t>jaSon mOOrE md</t>
  </si>
  <si>
    <t>eRiC HALl</t>
  </si>
  <si>
    <t>MALIk MARtINeZ</t>
  </si>
  <si>
    <t>LisA KENNEdY</t>
  </si>
  <si>
    <t>kRIstIn ocHOA</t>
  </si>
  <si>
    <t>joSeph ZuNiGA</t>
  </si>
  <si>
    <t>kYLe TYlER</t>
  </si>
  <si>
    <t>eric duNCan</t>
  </si>
  <si>
    <t>raChel roMERo</t>
  </si>
  <si>
    <t>mIcHael anDeRson</t>
  </si>
  <si>
    <t>emILY clARK</t>
  </si>
  <si>
    <t>danIeL mCKINnEy</t>
  </si>
  <si>
    <t>BOnnIe WILlIaMS</t>
  </si>
  <si>
    <t>MARcUs henry</t>
  </si>
  <si>
    <t>katheRiNE HART</t>
  </si>
  <si>
    <t>MIchelle pIeRCE</t>
  </si>
  <si>
    <t>Julie Mejia</t>
  </si>
  <si>
    <t>cAMeRoN sAnChEz</t>
  </si>
  <si>
    <t>davId Vincent</t>
  </si>
  <si>
    <t>MeLiSSA gOMez</t>
  </si>
  <si>
    <t>AMAnDa pONCe</t>
  </si>
  <si>
    <t>CArOl GOMEz</t>
  </si>
  <si>
    <t>cHRISTopHEr PalmER</t>
  </si>
  <si>
    <t>PAUL Hahn</t>
  </si>
  <si>
    <t>aSHLeY MOORe</t>
  </si>
  <si>
    <t>lINDa haMiLTOn</t>
  </si>
  <si>
    <t>robiN coX</t>
  </si>
  <si>
    <t>AnthoNY HalL</t>
  </si>
  <si>
    <t>roberT smitH</t>
  </si>
  <si>
    <t>dEREK CARTER</t>
  </si>
  <si>
    <t>HEAthER MAY</t>
  </si>
  <si>
    <t>pETer gOnzAlEZ</t>
  </si>
  <si>
    <t>chrIs flEtCheR</t>
  </si>
  <si>
    <t>sHIRley wiLkinsoN</t>
  </si>
  <si>
    <t>COurtNey FaRRelL</t>
  </si>
  <si>
    <t>aNDReA WiLliS</t>
  </si>
  <si>
    <t>cHAD huFF</t>
  </si>
  <si>
    <t>dEvin giLBert</t>
  </si>
  <si>
    <t>DOnALD davIS</t>
  </si>
  <si>
    <t>KUrT murphy</t>
  </si>
  <si>
    <t>SYlvia wEsT</t>
  </si>
  <si>
    <t>DONaLd vAZQuEZ</t>
  </si>
  <si>
    <t>REbeCCA rUsH</t>
  </si>
  <si>
    <t>ChrIstoPhER curRY</t>
  </si>
  <si>
    <t>miCHaeL EdwARds</t>
  </si>
  <si>
    <t>cHriSTOPheR ARnoLd</t>
  </si>
  <si>
    <t>RAcheL hickmAn</t>
  </si>
  <si>
    <t>ashlEY grAy</t>
  </si>
  <si>
    <t>eLiZaBeTh PeREz</t>
  </si>
  <si>
    <t>ANgeL RaNDOlPH ddS</t>
  </si>
  <si>
    <t>maRk SaUNderS</t>
  </si>
  <si>
    <t>ChriSTiAn lAnG</t>
  </si>
  <si>
    <t>Pam perKIns</t>
  </si>
  <si>
    <t>kAyLA GrEENe</t>
  </si>
  <si>
    <t>mIcHAEl daVId</t>
  </si>
  <si>
    <t>aLeXIs mCcALl</t>
  </si>
  <si>
    <t>mr. brandON perEz md</t>
  </si>
  <si>
    <t>dr. jeffREy ColE</t>
  </si>
  <si>
    <t>maTthEw broWN</t>
  </si>
  <si>
    <t>RoBErT sExtON</t>
  </si>
  <si>
    <t>ashLEy vasQUEZ</t>
  </si>
  <si>
    <t>mIcHelLe FLYnn</t>
  </si>
  <si>
    <t>StEVEn trAn</t>
  </si>
  <si>
    <t>JAMeS MilLeR</t>
  </si>
  <si>
    <t>Bonnie hiLl</t>
  </si>
  <si>
    <t>AnTHONy DaviS</t>
  </si>
  <si>
    <t>DaViD ShEPPArD</t>
  </si>
  <si>
    <t>JOdi LAnG</t>
  </si>
  <si>
    <t>VaNeSSa TAylor</t>
  </si>
  <si>
    <t>WAYnE lyncH</t>
  </si>
  <si>
    <t>YEsENiA MCfarland</t>
  </si>
  <si>
    <t>KEnNETH WilSON</t>
  </si>
  <si>
    <t>JIlLiAn MArks</t>
  </si>
  <si>
    <t>MiCHELLe cruz ddS</t>
  </si>
  <si>
    <t>CLaREnce fORD jr.</t>
  </si>
  <si>
    <t>DonAlD kaNe</t>
  </si>
  <si>
    <t>ZaChaRY LARsEN</t>
  </si>
  <si>
    <t>sHeRYl MaRTinez</t>
  </si>
  <si>
    <t>mr. NaTHAN avILA</t>
  </si>
  <si>
    <t>aNnE aNTHONY</t>
  </si>
  <si>
    <t>hOlly LaMBERt</t>
  </si>
  <si>
    <t>JAmes rASmuSsen</t>
  </si>
  <si>
    <t>SaRAH cannON</t>
  </si>
  <si>
    <t>melInda tannER</t>
  </si>
  <si>
    <t>LauriE josEPh</t>
  </si>
  <si>
    <t>stEPHAnIe hUnteR</t>
  </si>
  <si>
    <t>gIna daviS</t>
  </si>
  <si>
    <t>chRiStoPheR sHEA Jr.</t>
  </si>
  <si>
    <t>MrS. SabRIna BaLL</t>
  </si>
  <si>
    <t>JoyCe McCoRmIcK</t>
  </si>
  <si>
    <t>DEVIN bElL</t>
  </si>
  <si>
    <t>alLISoN rAmiREZ</t>
  </si>
  <si>
    <t>lauRA roMERO</t>
  </si>
  <si>
    <t>TONi fAULKNer</t>
  </si>
  <si>
    <t>patrIcia tuRnEr</t>
  </si>
  <si>
    <t>naThaN rAy</t>
  </si>
  <si>
    <t>RYan sAnCHeZ</t>
  </si>
  <si>
    <t>tHOMas DENnIs</t>
  </si>
  <si>
    <t>mR. timOtHY FLoRES</t>
  </si>
  <si>
    <t>WeNDy lEVIne</t>
  </si>
  <si>
    <t>nicOLe gOnzAleZ</t>
  </si>
  <si>
    <t>miCHaeL eLlIsoN</t>
  </si>
  <si>
    <t>BRAndON dAVIS</t>
  </si>
  <si>
    <t>vaNESsa GArCia</t>
  </si>
  <si>
    <t>AUtUmn PEck</t>
  </si>
  <si>
    <t>NAthAnIEL REynoLdS</t>
  </si>
  <si>
    <t>JOYCE MoOdY</t>
  </si>
  <si>
    <t>MaRK FuEnTes</t>
  </si>
  <si>
    <t>brETT FerGusoN</t>
  </si>
  <si>
    <t>TravIS SiMMOnS</t>
  </si>
  <si>
    <t>jEremY fRye</t>
  </si>
  <si>
    <t>cAmerOn MilLER</t>
  </si>
  <si>
    <t>wilLIAM wiLliams dDS</t>
  </si>
  <si>
    <t>tRACIe WrigHt</t>
  </si>
  <si>
    <t>DaVid reyEs</t>
  </si>
  <si>
    <t>pAiGE KIng</t>
  </si>
  <si>
    <t>James gArCIA</t>
  </si>
  <si>
    <t>lOri hArvEY</t>
  </si>
  <si>
    <t>amy wANG</t>
  </si>
  <si>
    <t>joRDAn vARgaS</t>
  </si>
  <si>
    <t>GORDON kELLY</t>
  </si>
  <si>
    <t>nathaN Scott</t>
  </si>
  <si>
    <t>LiSA grEEn</t>
  </si>
  <si>
    <t>amY CoMbS</t>
  </si>
  <si>
    <t>KelLY sANfoRD</t>
  </si>
  <si>
    <t>mrs. jEssIcA BlAck md</t>
  </si>
  <si>
    <t>rObERT GoulD</t>
  </si>
  <si>
    <t>cHRISTiNe VArgaS</t>
  </si>
  <si>
    <t>BARbara dIaZ</t>
  </si>
  <si>
    <t>jOHn washIngtON</t>
  </si>
  <si>
    <t>DEVIn stEWaRt</t>
  </si>
  <si>
    <t>JAMeS ROBeRTs</t>
  </si>
  <si>
    <t>JaMes YATEs</t>
  </si>
  <si>
    <t>PeTEr nIcHOLs</t>
  </si>
  <si>
    <t>karen pRice</t>
  </si>
  <si>
    <t>chRisTOPHEr jONes</t>
  </si>
  <si>
    <t>LaRRY LeoNarD</t>
  </si>
  <si>
    <t>MiChELle zHaNg</t>
  </si>
  <si>
    <t>kriSTEn FlOrES</t>
  </si>
  <si>
    <t>MaTThEW bELl</t>
  </si>
  <si>
    <t>brADLeY MIraNdA</t>
  </si>
  <si>
    <t>cHRIsToPheR mOORE</t>
  </si>
  <si>
    <t>dan PINEDA</t>
  </si>
  <si>
    <t>maRIaH SmiTH</t>
  </si>
  <si>
    <t>saBRINa cOoK</t>
  </si>
  <si>
    <t>MelIssA hOFfMAN</t>
  </si>
  <si>
    <t>Joseph MARtiN</t>
  </si>
  <si>
    <t>meLissA SIms</t>
  </si>
  <si>
    <t>SaraH evans</t>
  </si>
  <si>
    <t>mARIA ANDeRsON</t>
  </si>
  <si>
    <t>MariA JOHnStON</t>
  </si>
  <si>
    <t>JaMES COle</t>
  </si>
  <si>
    <t>iSaiaH hOlT</t>
  </si>
  <si>
    <t>joSEPH gonzaLeS</t>
  </si>
  <si>
    <t>JenNiFEr CAMaCho</t>
  </si>
  <si>
    <t>HecTOR jonES</t>
  </si>
  <si>
    <t>jEsSIcA jOnes Dds</t>
  </si>
  <si>
    <t>IsaBeLlA martIn</t>
  </si>
  <si>
    <t>daNiEL pALMeR</t>
  </si>
  <si>
    <t>sTEPhanIe BeNsoN</t>
  </si>
  <si>
    <t>AshleY WiLliamS</t>
  </si>
  <si>
    <t>GReGOrY NguYEn</t>
  </si>
  <si>
    <t>joE SmItH</t>
  </si>
  <si>
    <t>LIsa wATTS</t>
  </si>
  <si>
    <t>alexAnDER GArcia</t>
  </si>
  <si>
    <t>ElIzabETh PErKINs</t>
  </si>
  <si>
    <t>LAuRA WELLS</t>
  </si>
  <si>
    <t>robErT mCcORmICk</t>
  </si>
  <si>
    <t>MICHAEL yu</t>
  </si>
  <si>
    <t>jacOB GRaHam</t>
  </si>
  <si>
    <t>aNdrea kenNedy</t>
  </si>
  <si>
    <t>StacEY aNderson</t>
  </si>
  <si>
    <t>jasOn mArsh</t>
  </si>
  <si>
    <t>tiFfAnY FErguSON</t>
  </si>
  <si>
    <t>mark hErnaNdEZ</t>
  </si>
  <si>
    <t>KEITH HenRy</t>
  </si>
  <si>
    <t>mIChelLE WRIghT</t>
  </si>
  <si>
    <t>TRoY DaVIS</t>
  </si>
  <si>
    <t>MiSty burton</t>
  </si>
  <si>
    <t>RObERt rObINsOn</t>
  </si>
  <si>
    <t>CHrISTiNA caldeROn</t>
  </si>
  <si>
    <t>JOhN GRahAm</t>
  </si>
  <si>
    <t>mICHAEl PARkER</t>
  </si>
  <si>
    <t>WIlliAm EVANs</t>
  </si>
  <si>
    <t>vAlEriE hodgES</t>
  </si>
  <si>
    <t>brENda BecK</t>
  </si>
  <si>
    <t>CHrISTIne DAvIs</t>
  </si>
  <si>
    <t>keVIN dANiEl</t>
  </si>
  <si>
    <t>BRIttney WagNER</t>
  </si>
  <si>
    <t>criStIaN bUChANAn</t>
  </si>
  <si>
    <t>MiCHAEl bRady</t>
  </si>
  <si>
    <t>jOrdan LEON</t>
  </si>
  <si>
    <t>kAteLyn cunNINGHam</t>
  </si>
  <si>
    <t>KRyStal mENDoZA</t>
  </si>
  <si>
    <t>aLEx RodriGUEz</t>
  </si>
  <si>
    <t>GeoFfrEy barkER</t>
  </si>
  <si>
    <t>ALEc miTCheLl</t>
  </si>
  <si>
    <t>JasOn joRDaN</t>
  </si>
  <si>
    <t>philiP ReYES</t>
  </si>
  <si>
    <t>AarOn BradsHaw</t>
  </si>
  <si>
    <t>ERicA fOrd</t>
  </si>
  <si>
    <t>dr. KAtIe baRReTt DVM</t>
  </si>
  <si>
    <t>Jacob youNG</t>
  </si>
  <si>
    <t>amY RAMos</t>
  </si>
  <si>
    <t>PaTricK moRAlES</t>
  </si>
  <si>
    <t>sOpHIA cONwAY</t>
  </si>
  <si>
    <t>jamES mOORE</t>
  </si>
  <si>
    <t>ChRisTOPHeR cOChRan</t>
  </si>
  <si>
    <t>RObeRT Carter</t>
  </si>
  <si>
    <t>moRgAn NGUYEn</t>
  </si>
  <si>
    <t>natHAn MONToYA</t>
  </si>
  <si>
    <t>jOE Berry PhD</t>
  </si>
  <si>
    <t>daNIeL oRtiz</t>
  </si>
  <si>
    <t>mATthEw cLaRk</t>
  </si>
  <si>
    <t>JAcQuELINE hArDY</t>
  </si>
  <si>
    <t>eMiLY JoSEPh</t>
  </si>
  <si>
    <t>sarAH HiCKs</t>
  </si>
  <si>
    <t>bRiANa rOsS</t>
  </si>
  <si>
    <t>maRY mcculLOUgH</t>
  </si>
  <si>
    <t>bRIAn OSborNe</t>
  </si>
  <si>
    <t>suSAn WALTerS</t>
  </si>
  <si>
    <t>CATHerine HaRVEY</t>
  </si>
  <si>
    <t>cORY PIERCe</t>
  </si>
  <si>
    <t>jeSus jORdan</t>
  </si>
  <si>
    <t>ANn dUNCAN</t>
  </si>
  <si>
    <t>Sarah pOrTEr</t>
  </si>
  <si>
    <t>jACquEliNE DeAN</t>
  </si>
  <si>
    <t>AnNE lam</t>
  </si>
  <si>
    <t>jEnnifeR GomEz</t>
  </si>
  <si>
    <t>daVId CuRTIs</t>
  </si>
  <si>
    <t>joSHUa JOHnsON</t>
  </si>
  <si>
    <t>jEReMy bOwen</t>
  </si>
  <si>
    <t>denNIs cLarkE</t>
  </si>
  <si>
    <t>jeNNiFER spEnCe</t>
  </si>
  <si>
    <t>biLlY fITZGERALd</t>
  </si>
  <si>
    <t>krisTEN JamES</t>
  </si>
  <si>
    <t>cAiTLIN bEndEr</t>
  </si>
  <si>
    <t>bRENda fULleR</t>
  </si>
  <si>
    <t>CASSaNdrA rIcE</t>
  </si>
  <si>
    <t>SeRgIO saNcheZ</t>
  </si>
  <si>
    <t>keviN stein</t>
  </si>
  <si>
    <t>MAUrEEN grANT Md</t>
  </si>
  <si>
    <t>SaMantHA gUtIErrez</t>
  </si>
  <si>
    <t>GEORgE woodwARd</t>
  </si>
  <si>
    <t>sHaNe TaTe</t>
  </si>
  <si>
    <t>KErRY HaWkiNs</t>
  </si>
  <si>
    <t>mARissA mORa</t>
  </si>
  <si>
    <t>rICKy mEYeR</t>
  </si>
  <si>
    <t>EDWArd JOneS jR.</t>
  </si>
  <si>
    <t>HeatHER mELeNdez</t>
  </si>
  <si>
    <t>jesSIcA mAciaS</t>
  </si>
  <si>
    <t>JaMIe leACh</t>
  </si>
  <si>
    <t>matThEW sImMoNs</t>
  </si>
  <si>
    <t>SHeILA bAXtEr</t>
  </si>
  <si>
    <t>DAVE PaRrISH</t>
  </si>
  <si>
    <t>brYaN SteWart</t>
  </si>
  <si>
    <t>JaMes beLL</t>
  </si>
  <si>
    <t>Joshua LOve</t>
  </si>
  <si>
    <t>rObErT CLArk</t>
  </si>
  <si>
    <t>marisa GOlDEN</t>
  </si>
  <si>
    <t>NanCy HaMIltOn</t>
  </si>
  <si>
    <t>BRyaN bOwERS</t>
  </si>
  <si>
    <t>NIColE mArTIN</t>
  </si>
  <si>
    <t>WillIam HaRmON</t>
  </si>
  <si>
    <t>TOM BRoWN</t>
  </si>
  <si>
    <t>CynthIa NeLSoN</t>
  </si>
  <si>
    <t>TODD gROSS</t>
  </si>
  <si>
    <t>sTEphAnie cHung</t>
  </si>
  <si>
    <t>KayLA PeREZ</t>
  </si>
  <si>
    <t>paul marTInez</t>
  </si>
  <si>
    <t>joshuA neLson</t>
  </si>
  <si>
    <t>JAkE COpeLand</t>
  </si>
  <si>
    <t>mAria GArdNEr</t>
  </si>
  <si>
    <t>jAnEt ROBERTs DDS</t>
  </si>
  <si>
    <t>pETeR ramSey</t>
  </si>
  <si>
    <t>AsHley farmER</t>
  </si>
  <si>
    <t>kaTHerInE haLE</t>
  </si>
  <si>
    <t>GAry BOWEN</t>
  </si>
  <si>
    <t>LaURA rYan</t>
  </si>
  <si>
    <t>TiMoThY lOpeZ</t>
  </si>
  <si>
    <t>ANThoNy gUZmAn</t>
  </si>
  <si>
    <t>MIChael ShaRP</t>
  </si>
  <si>
    <t>daVId CarrOlL</t>
  </si>
  <si>
    <t>Connor BARTOn</t>
  </si>
  <si>
    <t>AnGElA SCOtT</t>
  </si>
  <si>
    <t>DAvID ORTiz</t>
  </si>
  <si>
    <t>paTRicK pierce</t>
  </si>
  <si>
    <t>KeiTH JohnSoN</t>
  </si>
  <si>
    <t>antonio smITh</t>
  </si>
  <si>
    <t>jOHN TaYlOR</t>
  </si>
  <si>
    <t>barbAra stEwarT</t>
  </si>
  <si>
    <t>lArRy TaNnEr</t>
  </si>
  <si>
    <t>MAllORy diAz</t>
  </si>
  <si>
    <t>jOhN WILLiams</t>
  </si>
  <si>
    <t>peter miller</t>
  </si>
  <si>
    <t>rYaN bUtLeR</t>
  </si>
  <si>
    <t>SaMANTHa lOwERY</t>
  </si>
  <si>
    <t>TiFFAny LEe</t>
  </si>
  <si>
    <t>SamaNthA WiLlIs</t>
  </si>
  <si>
    <t>pAmela BroWn</t>
  </si>
  <si>
    <t>cARLA walkER</t>
  </si>
  <si>
    <t>MaRy GOnzaLeS</t>
  </si>
  <si>
    <t>SHEllEY FlEmInG</t>
  </si>
  <si>
    <t>MARK bLakE</t>
  </si>
  <si>
    <t>SCoTT KIng</t>
  </si>
  <si>
    <t>JesSicA dAvis</t>
  </si>
  <si>
    <t>anthOnY odom</t>
  </si>
  <si>
    <t>charleS bRoWN</t>
  </si>
  <si>
    <t>raChel DaVIS</t>
  </si>
  <si>
    <t>SAndRa mccALl</t>
  </si>
  <si>
    <t>NiCole FraNCIS</t>
  </si>
  <si>
    <t>STEVEN SmitH</t>
  </si>
  <si>
    <t>KAREn johnsoN</t>
  </si>
  <si>
    <t>anna ROgERs</t>
  </si>
  <si>
    <t>pRiSCiLlA dEckEr</t>
  </si>
  <si>
    <t>tREVor WRiGHt</t>
  </si>
  <si>
    <t>WiLlIAm tuCKEr</t>
  </si>
  <si>
    <t>JEsSIca KElLer</t>
  </si>
  <si>
    <t>WILliAM hEnRY</t>
  </si>
  <si>
    <t>RobiN Clarke</t>
  </si>
  <si>
    <t>jessIca gARZa</t>
  </si>
  <si>
    <t>JAmIe salaZAR</t>
  </si>
  <si>
    <t>stevEN VAugHaN</t>
  </si>
  <si>
    <t>MIChAeL contreraS</t>
  </si>
  <si>
    <t>AllEn roBeRTs</t>
  </si>
  <si>
    <t>aMy POwEll</t>
  </si>
  <si>
    <t>KeNNeth sMitH</t>
  </si>
  <si>
    <t>maTThEW WEsT</t>
  </si>
  <si>
    <t>ERIK MOntoyA</t>
  </si>
  <si>
    <t>aUSTin lEwis</t>
  </si>
  <si>
    <t>KennEtH ThOmPSon</t>
  </si>
  <si>
    <t>AMANDa DURhAm</t>
  </si>
  <si>
    <t>stEphen HUdSON</t>
  </si>
  <si>
    <t>CASsanDRA VeLaZquEZ</t>
  </si>
  <si>
    <t>suSAN peNA</t>
  </si>
  <si>
    <t>anTHoNY PerKinS</t>
  </si>
  <si>
    <t>KATRIna LOPEz</t>
  </si>
  <si>
    <t>bRiAn FoSTER</t>
  </si>
  <si>
    <t>JaSon ThOMPson</t>
  </si>
  <si>
    <t>david AYaLa</t>
  </si>
  <si>
    <t>jaReD YoDER</t>
  </si>
  <si>
    <t>gRegoRY cANnON</t>
  </si>
  <si>
    <t>LISa aNdERSON</t>
  </si>
  <si>
    <t>ELIzabEtH ShIelDs</t>
  </si>
  <si>
    <t>PatriCiA kIM</t>
  </si>
  <si>
    <t>JessiCA sOto</t>
  </si>
  <si>
    <t>JEnNY ReYnOLDS</t>
  </si>
  <si>
    <t>SHANnon baRRett</t>
  </si>
  <si>
    <t>tERrI PERry</t>
  </si>
  <si>
    <t>Joseph MaddEN</t>
  </si>
  <si>
    <t>RebECCa hOGAN</t>
  </si>
  <si>
    <t>kELly WAlKER</t>
  </si>
  <si>
    <t>jUlIa muEllER</t>
  </si>
  <si>
    <t>KAyLa mOORe</t>
  </si>
  <si>
    <t>KAITLyn SmItH</t>
  </si>
  <si>
    <t>DAnIEL KemP</t>
  </si>
  <si>
    <t>laurA mYeRs</t>
  </si>
  <si>
    <t>Carol ReEd</t>
  </si>
  <si>
    <t>JesSIcA caRtER</t>
  </si>
  <si>
    <t>vANeSsa ScHaEFeR</t>
  </si>
  <si>
    <t>MIgUeL GOmeZ</t>
  </si>
  <si>
    <t>linDa cARdeNas</t>
  </si>
  <si>
    <t>annEtTE JAMES</t>
  </si>
  <si>
    <t>sUSaN HuRLEY</t>
  </si>
  <si>
    <t>carOLyN Wade</t>
  </si>
  <si>
    <t>aNgeLA DelEon</t>
  </si>
  <si>
    <t>cAROLYN COoPer</t>
  </si>
  <si>
    <t>reBEcca hARRIs</t>
  </si>
  <si>
    <t>garY cUrtIS</t>
  </si>
  <si>
    <t>ryaN LIU</t>
  </si>
  <si>
    <t>DenNiS MOrROw</t>
  </si>
  <si>
    <t>JEnNiFEr COOpER</t>
  </si>
  <si>
    <t>JaCOB loPez</t>
  </si>
  <si>
    <t>carOL McClain</t>
  </si>
  <si>
    <t>mIChaeL RiChArdsoN</t>
  </si>
  <si>
    <t>MARK NGuYEn</t>
  </si>
  <si>
    <t>EriC COOk</t>
  </si>
  <si>
    <t>kRISTeN STEPheNS</t>
  </si>
  <si>
    <t>DaNa WAltoN</t>
  </si>
  <si>
    <t>Scott arNOLd</t>
  </si>
  <si>
    <t>MEGan wHEEleR</t>
  </si>
  <si>
    <t>AaRON coX</t>
  </si>
  <si>
    <t>CassanDRA MArTineZ</t>
  </si>
  <si>
    <t>SHawn bROwn</t>
  </si>
  <si>
    <t>SAnDRa WillIamSon</t>
  </si>
  <si>
    <t>jenniFeR sTephEnS</t>
  </si>
  <si>
    <t>stePHANIe ROdRigueZ</t>
  </si>
  <si>
    <t>CaROlIne mCinTyRe</t>
  </si>
  <si>
    <t>Mr. cAMeROn RoBINsoN</t>
  </si>
  <si>
    <t>taMmY pINEdA</t>
  </si>
  <si>
    <t>nATaLiE aNdeRson</t>
  </si>
  <si>
    <t>jAsminE RodrIgueZ</t>
  </si>
  <si>
    <t>deBRA MCkee</t>
  </si>
  <si>
    <t>sANDRa GReENe</t>
  </si>
  <si>
    <t>cRystAl MorRIS</t>
  </si>
  <si>
    <t>jaSoN pArKER</t>
  </si>
  <si>
    <t>ROy JONEs</t>
  </si>
  <si>
    <t>RIcHaRd aNDeRsoN</t>
  </si>
  <si>
    <t>JenNIfEr FoSTer</t>
  </si>
  <si>
    <t>dEBBIE wILSOn</t>
  </si>
  <si>
    <t>tRavIS flOreS</t>
  </si>
  <si>
    <t>emIly yOUNg</t>
  </si>
  <si>
    <t>sANDy halL</t>
  </si>
  <si>
    <t>madIsOn WRigHT</t>
  </si>
  <si>
    <t>AMy manN</t>
  </si>
  <si>
    <t>Jason stEELe</t>
  </si>
  <si>
    <t>PAmEla mIDdlEtoN</t>
  </si>
  <si>
    <t>liSA JAcKsOn</t>
  </si>
  <si>
    <t>SaMantHA PATEl</t>
  </si>
  <si>
    <t>HeRberT RodRIGUEZ</t>
  </si>
  <si>
    <t>OliviA pOWELl</t>
  </si>
  <si>
    <t>SAmaNThA PERkins</t>
  </si>
  <si>
    <t>mIchaeL POtTs</t>
  </si>
  <si>
    <t>KeRRy HErnANDEz</t>
  </si>
  <si>
    <t>jOSHUa reyEs</t>
  </si>
  <si>
    <t>JeNniFER oRteGA</t>
  </si>
  <si>
    <t>BrIttANY BRaun</t>
  </si>
  <si>
    <t>daniel cHEn</t>
  </si>
  <si>
    <t>ErICA hart</t>
  </si>
  <si>
    <t>alIcIa scOTt</t>
  </si>
  <si>
    <t>amandA aGUIrRE</t>
  </si>
  <si>
    <t>mark hIcKs</t>
  </si>
  <si>
    <t>TIMOtHy daVIS</t>
  </si>
  <si>
    <t>LONNIE DomInguEZ</t>
  </si>
  <si>
    <t>KIMbERLY hALE</t>
  </si>
  <si>
    <t>Dana WilLIAMsoN</t>
  </si>
  <si>
    <t>mr. GEORGe BROwN jr.</t>
  </si>
  <si>
    <t>ALLEn cAmACho</t>
  </si>
  <si>
    <t>NATHan woOdS</t>
  </si>
  <si>
    <t>caTheriNe sMitH</t>
  </si>
  <si>
    <t>JerRy leE</t>
  </si>
  <si>
    <t>AlexaNder COLEMan</t>
  </si>
  <si>
    <t>dAvid JENSEN</t>
  </si>
  <si>
    <t>DeBORAH EVaNs</t>
  </si>
  <si>
    <t>ALEXaNdRIa coLon</t>
  </si>
  <si>
    <t>sAMUEL HANSOn</t>
  </si>
  <si>
    <t>BryaN phILliPS</t>
  </si>
  <si>
    <t>naThaN wileY</t>
  </si>
  <si>
    <t>ALiShA muRpHy</t>
  </si>
  <si>
    <t>AMANdA lUcEro</t>
  </si>
  <si>
    <t>SHeIla SelLErs</t>
  </si>
  <si>
    <t>sUSaN Chan</t>
  </si>
  <si>
    <t>AnGEL MiTChelL</t>
  </si>
  <si>
    <t>DARleNE cohEN</t>
  </si>
  <si>
    <t>KrIStY ONeILl</t>
  </si>
  <si>
    <t>sHErrI gArCia</t>
  </si>
  <si>
    <t>MIChaEL wEber</t>
  </si>
  <si>
    <t>BETh sChwaRTZ</t>
  </si>
  <si>
    <t>cYnTHIA cLARKE</t>
  </si>
  <si>
    <t>MArK GiLES</t>
  </si>
  <si>
    <t>TAmara beltRaN</t>
  </si>
  <si>
    <t>JOsEpH guTierReZ</t>
  </si>
  <si>
    <t>JAmiE jimeNEZ</t>
  </si>
  <si>
    <t>chARles MUrPHY</t>
  </si>
  <si>
    <t>CArLOS lOPEz</t>
  </si>
  <si>
    <t>joHnnY IrWIN</t>
  </si>
  <si>
    <t>SCOTT wERNeR</t>
  </si>
  <si>
    <t>TeRRi stEWart</t>
  </si>
  <si>
    <t>dAVId DaviS</t>
  </si>
  <si>
    <t>StEpheN HaRRIS</t>
  </si>
  <si>
    <t>briDgeT Adams</t>
  </si>
  <si>
    <t>MIchAEL MortON</t>
  </si>
  <si>
    <t>MIchElLE LIU</t>
  </si>
  <si>
    <t>ReGina bRIght</t>
  </si>
  <si>
    <t>SaMuel decKEr</t>
  </si>
  <si>
    <t>pAuL wRiGHt</t>
  </si>
  <si>
    <t>brIAN OlSOn</t>
  </si>
  <si>
    <t>TRaCEy harRiSOn</t>
  </si>
  <si>
    <t>ERiKa joHNsoN</t>
  </si>
  <si>
    <t>PEteR CuNnInghAm</t>
  </si>
  <si>
    <t>sIErrA whITe</t>
  </si>
  <si>
    <t>eDdIe rUSsO dVm</t>
  </si>
  <si>
    <t>yvEtte tuRnER</t>
  </si>
  <si>
    <t>jameS cHArLes</t>
  </si>
  <si>
    <t>ALexis ALlEn</t>
  </si>
  <si>
    <t>stephAnIe martIN</t>
  </si>
  <si>
    <t>SHelBy AndeRson</t>
  </si>
  <si>
    <t>aBIGail FarmEr</t>
  </si>
  <si>
    <t>chrIStINa MiLLER</t>
  </si>
  <si>
    <t>MAtTHew wYAtt</t>
  </si>
  <si>
    <t>dAvID MOnTOYa</t>
  </si>
  <si>
    <t>eRic ParK</t>
  </si>
  <si>
    <t>lOrI trEVinO</t>
  </si>
  <si>
    <t>dWaYNe CASTIllO</t>
  </si>
  <si>
    <t>kRIStInE mcCALl</t>
  </si>
  <si>
    <t>jOsepH SelLeRs</t>
  </si>
  <si>
    <t>dR. DONalD AndersON</t>
  </si>
  <si>
    <t>VicToRiA WiLLiAMS</t>
  </si>
  <si>
    <t>anna jONEs</t>
  </si>
  <si>
    <t>mR. RobeRT DaVIS</t>
  </si>
  <si>
    <t>jeFfrEY HALl</t>
  </si>
  <si>
    <t>tERrY GRAvEs</t>
  </si>
  <si>
    <t>JErome MorAles</t>
  </si>
  <si>
    <t>kEith ROdRiGuez</t>
  </si>
  <si>
    <t>tAmARA davENpOrT</t>
  </si>
  <si>
    <t>JOnatHAN SiMON</t>
  </si>
  <si>
    <t>HolLY ARMsTrOnG</t>
  </si>
  <si>
    <t>rONaLd bAnKs</t>
  </si>
  <si>
    <t>rYAn BRadforD DDS</t>
  </si>
  <si>
    <t>jaNICE hAlL</t>
  </si>
  <si>
    <t>JaCOB mcDOnaLD</t>
  </si>
  <si>
    <t>GlENN maSSeY</t>
  </si>
  <si>
    <t>SAndrA mURray</t>
  </si>
  <si>
    <t>Column1</t>
  </si>
  <si>
    <t>Customer</t>
  </si>
  <si>
    <t>Bobby Jackson</t>
  </si>
  <si>
    <t>Leslie Terry</t>
  </si>
  <si>
    <t>Danny Smith</t>
  </si>
  <si>
    <t>Andrew Watts</t>
  </si>
  <si>
    <t>Adrienne Bell</t>
  </si>
  <si>
    <t>Emily Johnson</t>
  </si>
  <si>
    <t>Edward Edwards</t>
  </si>
  <si>
    <t>Christina Martinez</t>
  </si>
  <si>
    <t>Jasmine Aguilar</t>
  </si>
  <si>
    <t>Christopher Berg</t>
  </si>
  <si>
    <t>Michelle Daniels</t>
  </si>
  <si>
    <t>Aaron Martinez</t>
  </si>
  <si>
    <t>Connor Hansen</t>
  </si>
  <si>
    <t>Robert Bauer</t>
  </si>
  <si>
    <t>Brooke Brady</t>
  </si>
  <si>
    <t>Ms. Natalie Gamble</t>
  </si>
  <si>
    <t>Haley Perkins</t>
  </si>
  <si>
    <t>Mrs. Jamie Campbell</t>
  </si>
  <si>
    <t>Luke Burgess</t>
  </si>
  <si>
    <t>Daniel Schmidt</t>
  </si>
  <si>
    <t>Timothy Burns</t>
  </si>
  <si>
    <t>Christopher Bright</t>
  </si>
  <si>
    <t>Kathryn Stewart</t>
  </si>
  <si>
    <t>Dr. Eileen Thompson</t>
  </si>
  <si>
    <t>Paul Henderson</t>
  </si>
  <si>
    <t>Peter Fitzgerald</t>
  </si>
  <si>
    <t>Cathy Small</t>
  </si>
  <si>
    <t>Mr. Kenneth Moore</t>
  </si>
  <si>
    <t>Mary Hunter</t>
  </si>
  <si>
    <t>Joshua Oliver</t>
  </si>
  <si>
    <t>Thomas Martinez</t>
  </si>
  <si>
    <t>James Patterson</t>
  </si>
  <si>
    <t>William Cooper</t>
  </si>
  <si>
    <t>Erin Ortega</t>
  </si>
  <si>
    <t>Nicole Rodriguez</t>
  </si>
  <si>
    <t>David Anderson</t>
  </si>
  <si>
    <t>Denise Torres</t>
  </si>
  <si>
    <t>Cassandra Robinson</t>
  </si>
  <si>
    <t>Nicole Lucero</t>
  </si>
  <si>
    <t>Pamela Fernandez</t>
  </si>
  <si>
    <t>Christopher Lee</t>
  </si>
  <si>
    <t>Thomas Morse</t>
  </si>
  <si>
    <t>Mr. Eric Lane</t>
  </si>
  <si>
    <t>Katherine Smith</t>
  </si>
  <si>
    <t>Paul Williams</t>
  </si>
  <si>
    <t>Lynn Martinez</t>
  </si>
  <si>
    <t>Christopher Chapman</t>
  </si>
  <si>
    <t>Chris Frye</t>
  </si>
  <si>
    <t>Kyle Bennett</t>
  </si>
  <si>
    <t>Brandon Collins</t>
  </si>
  <si>
    <t>Michael Liu</t>
  </si>
  <si>
    <t>Stephanie Kent</t>
  </si>
  <si>
    <t>Jesse Banks</t>
  </si>
  <si>
    <t>Peggy Lee</t>
  </si>
  <si>
    <t>Tamara Hernandez</t>
  </si>
  <si>
    <t>Mr. David Pierce Md</t>
  </si>
  <si>
    <t>Bethany Moore</t>
  </si>
  <si>
    <t>Michael Mills</t>
  </si>
  <si>
    <t>Kyle Wiley</t>
  </si>
  <si>
    <t>Jacqueline Jordan</t>
  </si>
  <si>
    <t>Ashley Gutierrez</t>
  </si>
  <si>
    <t>Kim Scott</t>
  </si>
  <si>
    <t>Travis Carter</t>
  </si>
  <si>
    <t>Larry Rodgers</t>
  </si>
  <si>
    <t>Nancy Glover</t>
  </si>
  <si>
    <t>Jessica King</t>
  </si>
  <si>
    <t>Christopher Gonzalez</t>
  </si>
  <si>
    <t>John Hartman</t>
  </si>
  <si>
    <t>Michael Miller</t>
  </si>
  <si>
    <t>Erica Myers</t>
  </si>
  <si>
    <t>Carol Patterson</t>
  </si>
  <si>
    <t>Jose Lopez</t>
  </si>
  <si>
    <t>Kevin Simmons Jr.</t>
  </si>
  <si>
    <t>Duane Haney</t>
  </si>
  <si>
    <t>Jonathan Yates</t>
  </si>
  <si>
    <t>John Thomas</t>
  </si>
  <si>
    <t>Adrian Buckley</t>
  </si>
  <si>
    <t>April Santiago</t>
  </si>
  <si>
    <t>Diane Schultz</t>
  </si>
  <si>
    <t>Timothy Myers</t>
  </si>
  <si>
    <t>Nicole Hughes</t>
  </si>
  <si>
    <t>Chad Moreno</t>
  </si>
  <si>
    <t>Sean Jennings</t>
  </si>
  <si>
    <t>Diane Branch</t>
  </si>
  <si>
    <t>Cindy Orozco</t>
  </si>
  <si>
    <t>Patricia Medina</t>
  </si>
  <si>
    <t>Kayla Padilla</t>
  </si>
  <si>
    <t>Juan Klein</t>
  </si>
  <si>
    <t>William Hill</t>
  </si>
  <si>
    <t>Carl Best</t>
  </si>
  <si>
    <t>Tina Griffin</t>
  </si>
  <si>
    <t>Mr. Tyler Taylor Phd</t>
  </si>
  <si>
    <t>Taylor Howell Dds</t>
  </si>
  <si>
    <t>Michael Martin</t>
  </si>
  <si>
    <t>Heather Miller</t>
  </si>
  <si>
    <t>Catherine Gardner</t>
  </si>
  <si>
    <t>Anne Thompson</t>
  </si>
  <si>
    <t>Todd Cooper</t>
  </si>
  <si>
    <t>Phillip Lyons</t>
  </si>
  <si>
    <t>Mark Ford</t>
  </si>
  <si>
    <t>Marcus Zamora</t>
  </si>
  <si>
    <t>Katie Henry</t>
  </si>
  <si>
    <t>William Morton</t>
  </si>
  <si>
    <t>Katrina Martin</t>
  </si>
  <si>
    <t>Hunter Mckay</t>
  </si>
  <si>
    <t>Dwayne Davis</t>
  </si>
  <si>
    <t>Sarah Caldwell</t>
  </si>
  <si>
    <t>David Higgins</t>
  </si>
  <si>
    <t>Bradley Combs</t>
  </si>
  <si>
    <t>Christina Schmitt</t>
  </si>
  <si>
    <t>Colton Strong</t>
  </si>
  <si>
    <t>Mark Price</t>
  </si>
  <si>
    <t>Suzanne Schneider</t>
  </si>
  <si>
    <t>Michael Hurley</t>
  </si>
  <si>
    <t>Lindsey Lambert</t>
  </si>
  <si>
    <t>Rebecca Parsons</t>
  </si>
  <si>
    <t>Judy Johnson</t>
  </si>
  <si>
    <t>Tonya Campbell</t>
  </si>
  <si>
    <t>James Ross</t>
  </si>
  <si>
    <t>Sara Cook</t>
  </si>
  <si>
    <t>Anne Howell</t>
  </si>
  <si>
    <t>Renee Bailey</t>
  </si>
  <si>
    <t>Jeffrey Turner</t>
  </si>
  <si>
    <t>Dr. Lauren Clark Dds</t>
  </si>
  <si>
    <t>Terry Thomas</t>
  </si>
  <si>
    <t>Jason Baker</t>
  </si>
  <si>
    <t>Jessica Gutierrez</t>
  </si>
  <si>
    <t>Courtney Hodges</t>
  </si>
  <si>
    <t>Anthony Reyes</t>
  </si>
  <si>
    <t>Leah Cross Dds</t>
  </si>
  <si>
    <t>Paul Martinez</t>
  </si>
  <si>
    <t>Denise Rodriguez</t>
  </si>
  <si>
    <t>Ashley Erickson</t>
  </si>
  <si>
    <t>Sean Cardenas</t>
  </si>
  <si>
    <t>Alan Alvarez</t>
  </si>
  <si>
    <t>Jessica Phillips</t>
  </si>
  <si>
    <t>Timothy Coleman</t>
  </si>
  <si>
    <t>Christina Woods</t>
  </si>
  <si>
    <t>Melissa Scott</t>
  </si>
  <si>
    <t>Gary Hopkins</t>
  </si>
  <si>
    <t>April Valencia</t>
  </si>
  <si>
    <t>Rita Archer</t>
  </si>
  <si>
    <t>Kim Pena</t>
  </si>
  <si>
    <t>Jason Foley</t>
  </si>
  <si>
    <t>Shaun Guzman</t>
  </si>
  <si>
    <t>Matthew White</t>
  </si>
  <si>
    <t>Alexis Wilson</t>
  </si>
  <si>
    <t>Jacqueline Marshall</t>
  </si>
  <si>
    <t>Robert Higgins</t>
  </si>
  <si>
    <t>Sierra Morton</t>
  </si>
  <si>
    <t>Natalie Stanton</t>
  </si>
  <si>
    <t>Jessica Acevedo</t>
  </si>
  <si>
    <t>Jennifer Mcmillan</t>
  </si>
  <si>
    <t>Christopher Mcclain</t>
  </si>
  <si>
    <t>Kevin Hicks</t>
  </si>
  <si>
    <t>Melinda Richards</t>
  </si>
  <si>
    <t>Robyn Miranda</t>
  </si>
  <si>
    <t>Scott Castillo</t>
  </si>
  <si>
    <t>John Garcia</t>
  </si>
  <si>
    <t>Michael Taylor</t>
  </si>
  <si>
    <t>Jeffrey Wood</t>
  </si>
  <si>
    <t>Michael Smith</t>
  </si>
  <si>
    <t>William Griffith</t>
  </si>
  <si>
    <t>Christina Lawrence</t>
  </si>
  <si>
    <t>Jessica Holmes</t>
  </si>
  <si>
    <t>Tracey Greene</t>
  </si>
  <si>
    <t>Amanda Lopez</t>
  </si>
  <si>
    <t>Laura Peters</t>
  </si>
  <si>
    <t>Lauren Anderson</t>
  </si>
  <si>
    <t>William Campos</t>
  </si>
  <si>
    <t>Jessica Gonzales</t>
  </si>
  <si>
    <t>Bruce Gonzales</t>
  </si>
  <si>
    <t>Robert Walsh</t>
  </si>
  <si>
    <t>Lisa Lewis</t>
  </si>
  <si>
    <t>William Ruiz</t>
  </si>
  <si>
    <t>Steven Baldwin</t>
  </si>
  <si>
    <t>Megan Colon</t>
  </si>
  <si>
    <t>Kimberly Brooks</t>
  </si>
  <si>
    <t>Edward Smith Jr.</t>
  </si>
  <si>
    <t>Allison Cordova</t>
  </si>
  <si>
    <t>Linda Thomas</t>
  </si>
  <si>
    <t>Parker Moore</t>
  </si>
  <si>
    <t>Tanya Soto</t>
  </si>
  <si>
    <t>Michael Jordan</t>
  </si>
  <si>
    <t>Christina Martin</t>
  </si>
  <si>
    <t>Tracy Burke</t>
  </si>
  <si>
    <t>David Spence</t>
  </si>
  <si>
    <t>Joseph Foster</t>
  </si>
  <si>
    <t>Nicholas Hall</t>
  </si>
  <si>
    <t>Christina Macias</t>
  </si>
  <si>
    <t>Scott Jones</t>
  </si>
  <si>
    <t>James Anderson</t>
  </si>
  <si>
    <t>Shaun Long</t>
  </si>
  <si>
    <t>Kristina Mora</t>
  </si>
  <si>
    <t>Joshua Richmond</t>
  </si>
  <si>
    <t>Mark Lawrence</t>
  </si>
  <si>
    <t>John Ellis</t>
  </si>
  <si>
    <t>Mrs. Tiffany Dennis</t>
  </si>
  <si>
    <t>Cynthia Huang</t>
  </si>
  <si>
    <t>Melissa Lawrence</t>
  </si>
  <si>
    <t>Steven Goodwin</t>
  </si>
  <si>
    <t>Mary Hunt</t>
  </si>
  <si>
    <t>Eric Rivera</t>
  </si>
  <si>
    <t>Alan Taylor</t>
  </si>
  <si>
    <t>Michael Campbell</t>
  </si>
  <si>
    <t>Ashley Webb Dds</t>
  </si>
  <si>
    <t>Shannon Brown</t>
  </si>
  <si>
    <t>Lawrence Shepherd</t>
  </si>
  <si>
    <t>Scott Wade</t>
  </si>
  <si>
    <t>Heather Curtis</t>
  </si>
  <si>
    <t>Kevin Jefferson</t>
  </si>
  <si>
    <t>David Griffin</t>
  </si>
  <si>
    <t>Grant George</t>
  </si>
  <si>
    <t>Eric Stewart</t>
  </si>
  <si>
    <t>Robert Pittman</t>
  </si>
  <si>
    <t>Sydney Cross</t>
  </si>
  <si>
    <t>David Crawford</t>
  </si>
  <si>
    <t>Leah Drake</t>
  </si>
  <si>
    <t>Diana Hall</t>
  </si>
  <si>
    <t>Justin Le</t>
  </si>
  <si>
    <t>Karen Price Dds</t>
  </si>
  <si>
    <t>Carolyn Steele</t>
  </si>
  <si>
    <t>Lauren Ramirez</t>
  </si>
  <si>
    <t>Jacob Newman</t>
  </si>
  <si>
    <t>Katherine Barnett</t>
  </si>
  <si>
    <t>Jodi Martinez</t>
  </si>
  <si>
    <t>Andrea Allen</t>
  </si>
  <si>
    <t>Noah Baxter</t>
  </si>
  <si>
    <t>Hector Maxwell</t>
  </si>
  <si>
    <t>Holly Walters</t>
  </si>
  <si>
    <t>Joseph Smith</t>
  </si>
  <si>
    <t>Albert Thomas</t>
  </si>
  <si>
    <t>Jeffery Williamson</t>
  </si>
  <si>
    <t>Jonathan Meadows</t>
  </si>
  <si>
    <t>Kristin Bennett</t>
  </si>
  <si>
    <t>Joseph Carpenter</t>
  </si>
  <si>
    <t>Larry Mayer</t>
  </si>
  <si>
    <t>Clayton Peterson</t>
  </si>
  <si>
    <t>Donald Alvarez</t>
  </si>
  <si>
    <t>Sarah Lee</t>
  </si>
  <si>
    <t>John Perez</t>
  </si>
  <si>
    <t>Timothy Jacobs</t>
  </si>
  <si>
    <t>Nathan Small</t>
  </si>
  <si>
    <t>Dustin Wright</t>
  </si>
  <si>
    <t>Jacob Williams</t>
  </si>
  <si>
    <t>William Mccoy</t>
  </si>
  <si>
    <t>Dr. Matthew Wilkins</t>
  </si>
  <si>
    <t>Joseph Gonzalez</t>
  </si>
  <si>
    <t>Robert Fields</t>
  </si>
  <si>
    <t>Lawrence Miranda</t>
  </si>
  <si>
    <t>Mitchell Carroll</t>
  </si>
  <si>
    <t>Cody Nichols</t>
  </si>
  <si>
    <t>Kelli Thompson</t>
  </si>
  <si>
    <t>Danielle Lopez</t>
  </si>
  <si>
    <t>Melinda Jones</t>
  </si>
  <si>
    <t>Kristin Smith</t>
  </si>
  <si>
    <t>Stephanie Reynolds</t>
  </si>
  <si>
    <t>Anna Norman</t>
  </si>
  <si>
    <t>Maria Hayes</t>
  </si>
  <si>
    <t>Tonya Riley Md</t>
  </si>
  <si>
    <t>Regina Dunn</t>
  </si>
  <si>
    <t>Michael Jacobs</t>
  </si>
  <si>
    <t>Jason Moore Md</t>
  </si>
  <si>
    <t>Eric Hall</t>
  </si>
  <si>
    <t>Malik Martinez</t>
  </si>
  <si>
    <t>Lisa Kennedy</t>
  </si>
  <si>
    <t>Kristin Ochoa</t>
  </si>
  <si>
    <t>Joseph Zuniga</t>
  </si>
  <si>
    <t>Kyle Tyler</t>
  </si>
  <si>
    <t>Eric Duncan</t>
  </si>
  <si>
    <t>Rachel Romero</t>
  </si>
  <si>
    <t>Michael Anderson</t>
  </si>
  <si>
    <t>Emily Clark</t>
  </si>
  <si>
    <t>Daniel Mckinney</t>
  </si>
  <si>
    <t>Bonnie Williams</t>
  </si>
  <si>
    <t>Marcus Henry</t>
  </si>
  <si>
    <t>Katherine Hart</t>
  </si>
  <si>
    <t>Michelle Pierce</t>
  </si>
  <si>
    <t>Cameron Sanchez</t>
  </si>
  <si>
    <t>David Vincent</t>
  </si>
  <si>
    <t>Melissa Gomez</t>
  </si>
  <si>
    <t>Amanda Ponce</t>
  </si>
  <si>
    <t>Carol Gomez</t>
  </si>
  <si>
    <t>Christopher Palmer</t>
  </si>
  <si>
    <t>Paul Hahn</t>
  </si>
  <si>
    <t>Ashley Moore</t>
  </si>
  <si>
    <t>Linda Hamilton</t>
  </si>
  <si>
    <t>Robin Cox</t>
  </si>
  <si>
    <t>Anthony Hall</t>
  </si>
  <si>
    <t>Robert Smith</t>
  </si>
  <si>
    <t>Derek Carter</t>
  </si>
  <si>
    <t>Heather May</t>
  </si>
  <si>
    <t>Peter Gonzalez</t>
  </si>
  <si>
    <t>Chris Fletcher</t>
  </si>
  <si>
    <t>Shirley Wilkinson</t>
  </si>
  <si>
    <t>Courtney Farrell</t>
  </si>
  <si>
    <t>Andrea Willis</t>
  </si>
  <si>
    <t>Chad Huff</t>
  </si>
  <si>
    <t>Devin Gilbert</t>
  </si>
  <si>
    <t>Donald Davis</t>
  </si>
  <si>
    <t>Kurt Murphy</t>
  </si>
  <si>
    <t>Sylvia West</t>
  </si>
  <si>
    <t>Donald Vazquez</t>
  </si>
  <si>
    <t>Rebecca Rush</t>
  </si>
  <si>
    <t>Christopher Curry</t>
  </si>
  <si>
    <t>Michael Edwards</t>
  </si>
  <si>
    <t>Christopher Arnold</t>
  </si>
  <si>
    <t>Rachel Hickman</t>
  </si>
  <si>
    <t>Ashley Gray</t>
  </si>
  <si>
    <t>Elizabeth Perez</t>
  </si>
  <si>
    <t>Angel Randolph Dds</t>
  </si>
  <si>
    <t>Mark Saunders</t>
  </si>
  <si>
    <t>Christian Lang</t>
  </si>
  <si>
    <t>Pam Perkins</t>
  </si>
  <si>
    <t>Kayla Greene</t>
  </si>
  <si>
    <t>Michael David</t>
  </si>
  <si>
    <t>Alexis Mccall</t>
  </si>
  <si>
    <t>Mr. Brandon Perez Md</t>
  </si>
  <si>
    <t>Dr. Jeffrey Cole</t>
  </si>
  <si>
    <t>Matthew Brown</t>
  </si>
  <si>
    <t>Robert Sexton</t>
  </si>
  <si>
    <t>Ashley Vasquez</t>
  </si>
  <si>
    <t>Michelle Flynn</t>
  </si>
  <si>
    <t>Steven Tran</t>
  </si>
  <si>
    <t>James Miller</t>
  </si>
  <si>
    <t>Bonnie Hill</t>
  </si>
  <si>
    <t>Anthony Davis</t>
  </si>
  <si>
    <t>David Sheppard</t>
  </si>
  <si>
    <t>Jodi Lang</t>
  </si>
  <si>
    <t>Vanessa Taylor</t>
  </si>
  <si>
    <t>Wayne Lynch</t>
  </si>
  <si>
    <t>Yesenia Mcfarland</t>
  </si>
  <si>
    <t>Kenneth Wilson</t>
  </si>
  <si>
    <t>Jillian Marks</t>
  </si>
  <si>
    <t>Michelle Cruz Dds</t>
  </si>
  <si>
    <t>Clarence Ford Jr.</t>
  </si>
  <si>
    <t>Donald Kane</t>
  </si>
  <si>
    <t>Zachary Larsen</t>
  </si>
  <si>
    <t>Sheryl Martinez</t>
  </si>
  <si>
    <t>Mr. Nathan Avila</t>
  </si>
  <si>
    <t>Anne Anthony</t>
  </si>
  <si>
    <t>Holly Lambert</t>
  </si>
  <si>
    <t>James Rasmussen</t>
  </si>
  <si>
    <t>Sarah Cannon</t>
  </si>
  <si>
    <t>Melinda Tanner</t>
  </si>
  <si>
    <t>Laurie Joseph</t>
  </si>
  <si>
    <t>Stephanie Hunter</t>
  </si>
  <si>
    <t>Gina Davis</t>
  </si>
  <si>
    <t>Christopher Shea Jr.</t>
  </si>
  <si>
    <t>Mrs. Sabrina Ball</t>
  </si>
  <si>
    <t>Joyce Mccormick</t>
  </si>
  <si>
    <t>Devin Bell</t>
  </si>
  <si>
    <t>Allison Ramirez</t>
  </si>
  <si>
    <t>Laura Romero</t>
  </si>
  <si>
    <t>Toni Faulkner</t>
  </si>
  <si>
    <t>Patricia Turner</t>
  </si>
  <si>
    <t>Nathan Ray</t>
  </si>
  <si>
    <t>Ryan Sanchez</t>
  </si>
  <si>
    <t>Thomas Dennis</t>
  </si>
  <si>
    <t>Mr. Timothy Flores</t>
  </si>
  <si>
    <t>Wendy Levine</t>
  </si>
  <si>
    <t>Nicole Gonzalez</t>
  </si>
  <si>
    <t>Michael Ellison</t>
  </si>
  <si>
    <t>Brandon Davis</t>
  </si>
  <si>
    <t>Vanessa Garcia</t>
  </si>
  <si>
    <t>Autumn Peck</t>
  </si>
  <si>
    <t>Nathaniel Reynolds</t>
  </si>
  <si>
    <t>Joyce Moody</t>
  </si>
  <si>
    <t>Mark Fuentes</t>
  </si>
  <si>
    <t>Brett Ferguson</t>
  </si>
  <si>
    <t>Travis Simmons</t>
  </si>
  <si>
    <t>Jeremy Frye</t>
  </si>
  <si>
    <t>Cameron Miller</t>
  </si>
  <si>
    <t>William Williams Dds</t>
  </si>
  <si>
    <t>Tracie Wright</t>
  </si>
  <si>
    <t>David Reyes</t>
  </si>
  <si>
    <t>Paige King</t>
  </si>
  <si>
    <t>James Garcia</t>
  </si>
  <si>
    <t>Lori Harvey</t>
  </si>
  <si>
    <t>Amy Wang</t>
  </si>
  <si>
    <t>Jordan Vargas</t>
  </si>
  <si>
    <t>Gordon Kelly</t>
  </si>
  <si>
    <t>Nathan Scott</t>
  </si>
  <si>
    <t>Lisa Green</t>
  </si>
  <si>
    <t>Amy Combs</t>
  </si>
  <si>
    <t>Kelly Sanford</t>
  </si>
  <si>
    <t>Mrs. Jessica Black Md</t>
  </si>
  <si>
    <t>Robert Gould</t>
  </si>
  <si>
    <t>Christine Vargas</t>
  </si>
  <si>
    <t>Barbara Diaz</t>
  </si>
  <si>
    <t>John Washington</t>
  </si>
  <si>
    <t>Devin Stewart</t>
  </si>
  <si>
    <t>James Roberts</t>
  </si>
  <si>
    <t>James Yates</t>
  </si>
  <si>
    <t>Peter Nichols</t>
  </si>
  <si>
    <t>Karen Price</t>
  </si>
  <si>
    <t>Christopher Jones</t>
  </si>
  <si>
    <t>Larry Leonard</t>
  </si>
  <si>
    <t>Michelle Zhang</t>
  </si>
  <si>
    <t>Kristen Flores</t>
  </si>
  <si>
    <t>Matthew Bell</t>
  </si>
  <si>
    <t>Bradley Miranda</t>
  </si>
  <si>
    <t>Christopher Moore</t>
  </si>
  <si>
    <t>Dan Pineda</t>
  </si>
  <si>
    <t>Mariah Smith</t>
  </si>
  <si>
    <t>Sabrina Cook</t>
  </si>
  <si>
    <t>Melissa Hoffman</t>
  </si>
  <si>
    <t>Joseph Martin</t>
  </si>
  <si>
    <t>Melissa Sims</t>
  </si>
  <si>
    <t>Sarah Evans</t>
  </si>
  <si>
    <t>Maria Anderson</t>
  </si>
  <si>
    <t>Maria Johnston</t>
  </si>
  <si>
    <t>James Cole</t>
  </si>
  <si>
    <t>Isaiah Holt</t>
  </si>
  <si>
    <t>Joseph Gonzales</t>
  </si>
  <si>
    <t>Jennifer Camacho</t>
  </si>
  <si>
    <t>Hector Jones</t>
  </si>
  <si>
    <t>Jessica Jones Dds</t>
  </si>
  <si>
    <t>Isabella Martin</t>
  </si>
  <si>
    <t>Daniel Palmer</t>
  </si>
  <si>
    <t>Stephanie Benson</t>
  </si>
  <si>
    <t>Ashley Williams</t>
  </si>
  <si>
    <t>Gregory Nguyen</t>
  </si>
  <si>
    <t>Joe Smith</t>
  </si>
  <si>
    <t>Lisa Watts</t>
  </si>
  <si>
    <t>Alexander Garcia</t>
  </si>
  <si>
    <t>Elizabeth Perkins</t>
  </si>
  <si>
    <t>Laura Wells</t>
  </si>
  <si>
    <t>Robert Mccormick</t>
  </si>
  <si>
    <t>Michael Yu</t>
  </si>
  <si>
    <t>Jacob Graham</t>
  </si>
  <si>
    <t>Andrea Kennedy</t>
  </si>
  <si>
    <t>Stacey Anderson</t>
  </si>
  <si>
    <t>Jason Marsh</t>
  </si>
  <si>
    <t>Tiffany Ferguson</t>
  </si>
  <si>
    <t>Mark Hernandez</t>
  </si>
  <si>
    <t>Keith Henry</t>
  </si>
  <si>
    <t>Michelle Wright</t>
  </si>
  <si>
    <t>Troy Davis</t>
  </si>
  <si>
    <t>Misty Burton</t>
  </si>
  <si>
    <t>Robert Robinson</t>
  </si>
  <si>
    <t>Christina Calderon</t>
  </si>
  <si>
    <t>John Graham</t>
  </si>
  <si>
    <t>Michael Parker</t>
  </si>
  <si>
    <t>William Evans</t>
  </si>
  <si>
    <t>Valerie Hodges</t>
  </si>
  <si>
    <t>Brenda Beck</t>
  </si>
  <si>
    <t>Christine Davis</t>
  </si>
  <si>
    <t>Kevin Daniel</t>
  </si>
  <si>
    <t>Brittney Wagner</t>
  </si>
  <si>
    <t>Cristian Buchanan</t>
  </si>
  <si>
    <t>Michael Brady</t>
  </si>
  <si>
    <t>Jordan Leon</t>
  </si>
  <si>
    <t>Katelyn Cunningham</t>
  </si>
  <si>
    <t>Krystal Mendoza</t>
  </si>
  <si>
    <t>Alex Rodriguez</t>
  </si>
  <si>
    <t>Geoffrey Barker</t>
  </si>
  <si>
    <t>Alec Mitchell</t>
  </si>
  <si>
    <t>Jason Jordan</t>
  </si>
  <si>
    <t>Philip Reyes</t>
  </si>
  <si>
    <t>Aaron Bradshaw</t>
  </si>
  <si>
    <t>Erica Ford</t>
  </si>
  <si>
    <t>Dr. Katie Barrett Dvm</t>
  </si>
  <si>
    <t>Jacob Young</t>
  </si>
  <si>
    <t>Amy Ramos</t>
  </si>
  <si>
    <t>Patrick Morales</t>
  </si>
  <si>
    <t>Sophia Conway</t>
  </si>
  <si>
    <t>James Moore</t>
  </si>
  <si>
    <t>Christopher Cochran</t>
  </si>
  <si>
    <t>Robert Carter</t>
  </si>
  <si>
    <t>Morgan Nguyen</t>
  </si>
  <si>
    <t>Nathan Montoya</t>
  </si>
  <si>
    <t>Joe Berry Phd</t>
  </si>
  <si>
    <t>Daniel Ortiz</t>
  </si>
  <si>
    <t>Matthew Clark</t>
  </si>
  <si>
    <t>Jacqueline Hardy</t>
  </si>
  <si>
    <t>Emily Joseph</t>
  </si>
  <si>
    <t>Sarah Hicks</t>
  </si>
  <si>
    <t>Briana Ross</t>
  </si>
  <si>
    <t>Mary Mccullough</t>
  </si>
  <si>
    <t>Brian Osborne</t>
  </si>
  <si>
    <t>Susan Walters</t>
  </si>
  <si>
    <t>Catherine Harvey</t>
  </si>
  <si>
    <t>Cory Pierce</t>
  </si>
  <si>
    <t>Jesus Jordan</t>
  </si>
  <si>
    <t>Ann Duncan</t>
  </si>
  <si>
    <t>Sarah Porter</t>
  </si>
  <si>
    <t>Jacqueline Dean</t>
  </si>
  <si>
    <t>Anne Lam</t>
  </si>
  <si>
    <t>Jennifer Gomez</t>
  </si>
  <si>
    <t>David Curtis</t>
  </si>
  <si>
    <t>Joshua Johnson</t>
  </si>
  <si>
    <t>Jeremy Bowen</t>
  </si>
  <si>
    <t>Dennis Clarke</t>
  </si>
  <si>
    <t>Jennifer Spence</t>
  </si>
  <si>
    <t>Billy Fitzgerald</t>
  </si>
  <si>
    <t>Kristen James</t>
  </si>
  <si>
    <t>Caitlin Bender</t>
  </si>
  <si>
    <t>Brenda Fuller</t>
  </si>
  <si>
    <t>Cassandra Rice</t>
  </si>
  <si>
    <t>Sergio Sanchez</t>
  </si>
  <si>
    <t>Kevin Stein</t>
  </si>
  <si>
    <t>Maureen Grant Md</t>
  </si>
  <si>
    <t>Samantha Gutierrez</t>
  </si>
  <si>
    <t>George Woodward</t>
  </si>
  <si>
    <t>Shane Tate</t>
  </si>
  <si>
    <t>Kerry Hawkins</t>
  </si>
  <si>
    <t>Marissa Mora</t>
  </si>
  <si>
    <t>Ricky Meyer</t>
  </si>
  <si>
    <t>Edward Jones Jr.</t>
  </si>
  <si>
    <t>Heather Melendez</t>
  </si>
  <si>
    <t>Jessica Macias</t>
  </si>
  <si>
    <t>Jamie Leach</t>
  </si>
  <si>
    <t>Matthew Simmons</t>
  </si>
  <si>
    <t>Sheila Baxter</t>
  </si>
  <si>
    <t>Dave Parrish</t>
  </si>
  <si>
    <t>Bryan Stewart</t>
  </si>
  <si>
    <t>James Bell</t>
  </si>
  <si>
    <t>Joshua Love</t>
  </si>
  <si>
    <t>Robert Clark</t>
  </si>
  <si>
    <t>Marisa Golden</t>
  </si>
  <si>
    <t>Nancy Hamilton</t>
  </si>
  <si>
    <t>Bryan Bowers</t>
  </si>
  <si>
    <t>Nicole Martin</t>
  </si>
  <si>
    <t>William Harmon</t>
  </si>
  <si>
    <t>Tom Brown</t>
  </si>
  <si>
    <t>Cynthia Nelson</t>
  </si>
  <si>
    <t>Todd Gross</t>
  </si>
  <si>
    <t>Stephanie Chung</t>
  </si>
  <si>
    <t>Kayla Perez</t>
  </si>
  <si>
    <t>Joshua Nelson</t>
  </si>
  <si>
    <t>Jake Copeland</t>
  </si>
  <si>
    <t>Maria Gardner</t>
  </si>
  <si>
    <t>Janet Roberts Dds</t>
  </si>
  <si>
    <t>Peter Ramsey</t>
  </si>
  <si>
    <t>Ashley Farmer</t>
  </si>
  <si>
    <t>Katherine Hale</t>
  </si>
  <si>
    <t>Gary Bowen</t>
  </si>
  <si>
    <t>Laura Ryan</t>
  </si>
  <si>
    <t>Timothy Lopez</t>
  </si>
  <si>
    <t>Anthony Guzman</t>
  </si>
  <si>
    <t>Michael Sharp</t>
  </si>
  <si>
    <t>David Carroll</t>
  </si>
  <si>
    <t>Connor Barton</t>
  </si>
  <si>
    <t>Angela Scott</t>
  </si>
  <si>
    <t>David Ortiz</t>
  </si>
  <si>
    <t>Patrick Pierce</t>
  </si>
  <si>
    <t>Keith Johnson</t>
  </si>
  <si>
    <t>Antonio Smith</t>
  </si>
  <si>
    <t>John Taylor</t>
  </si>
  <si>
    <t>Barbara Stewart</t>
  </si>
  <si>
    <t>Larry Tanner</t>
  </si>
  <si>
    <t>Mallory Diaz</t>
  </si>
  <si>
    <t>John Williams</t>
  </si>
  <si>
    <t>Peter Miller</t>
  </si>
  <si>
    <t>Ryan Butler</t>
  </si>
  <si>
    <t>Samantha Lowery</t>
  </si>
  <si>
    <t>Tiffany Lee</t>
  </si>
  <si>
    <t>Samantha Willis</t>
  </si>
  <si>
    <t>Pamela Brown</t>
  </si>
  <si>
    <t>Carla Walker</t>
  </si>
  <si>
    <t>Mary Gonzales</t>
  </si>
  <si>
    <t>Shelley Fleming</t>
  </si>
  <si>
    <t>Mark Blake</t>
  </si>
  <si>
    <t>Scott King</t>
  </si>
  <si>
    <t>Jessica Davis</t>
  </si>
  <si>
    <t>Anthony Odom</t>
  </si>
  <si>
    <t>Charles Brown</t>
  </si>
  <si>
    <t>Rachel Davis</t>
  </si>
  <si>
    <t>Sandra Mccall</t>
  </si>
  <si>
    <t>Nicole Francis</t>
  </si>
  <si>
    <t>Steven Smith</t>
  </si>
  <si>
    <t>Karen Johnson</t>
  </si>
  <si>
    <t>Anna Rogers</t>
  </si>
  <si>
    <t>Priscilla Decker</t>
  </si>
  <si>
    <t>Trevor Wright</t>
  </si>
  <si>
    <t>William Tucker</t>
  </si>
  <si>
    <t>Jessica Keller</t>
  </si>
  <si>
    <t>William Henry</t>
  </si>
  <si>
    <t>Robin Clarke</t>
  </si>
  <si>
    <t>Jessica Garza</t>
  </si>
  <si>
    <t>Jamie Salazar</t>
  </si>
  <si>
    <t>Steven Vaughan</t>
  </si>
  <si>
    <t>Michael Contreras</t>
  </si>
  <si>
    <t>Allen Roberts</t>
  </si>
  <si>
    <t>Amy Powell</t>
  </si>
  <si>
    <t>Kenneth Smith</t>
  </si>
  <si>
    <t>Matthew West</t>
  </si>
  <si>
    <t>Erik Montoya</t>
  </si>
  <si>
    <t>Austin Lewis</t>
  </si>
  <si>
    <t>Kenneth Thompson</t>
  </si>
  <si>
    <t>Amanda Durham</t>
  </si>
  <si>
    <t>Stephen Hudson</t>
  </si>
  <si>
    <t>Cassandra Velazquez</t>
  </si>
  <si>
    <t>Susan Pena</t>
  </si>
  <si>
    <t>Anthony Perkins</t>
  </si>
  <si>
    <t>Katrina Lopez</t>
  </si>
  <si>
    <t>Brian Foster</t>
  </si>
  <si>
    <t>Jason Thompson</t>
  </si>
  <si>
    <t>David Ayala</t>
  </si>
  <si>
    <t>Jared Yoder</t>
  </si>
  <si>
    <t>Gregory Cannon</t>
  </si>
  <si>
    <t>Lisa Anderson</t>
  </si>
  <si>
    <t>Elizabeth Shields</t>
  </si>
  <si>
    <t>Patricia Kim</t>
  </si>
  <si>
    <t>Jessica Soto</t>
  </si>
  <si>
    <t>Jenny Reynolds</t>
  </si>
  <si>
    <t>Shannon Barrett</t>
  </si>
  <si>
    <t>Terri Perry</t>
  </si>
  <si>
    <t>Joseph Madden</t>
  </si>
  <si>
    <t>Rebecca Hogan</t>
  </si>
  <si>
    <t>Kelly Walker</t>
  </si>
  <si>
    <t>Julia Mueller</t>
  </si>
  <si>
    <t>Kayla Moore</t>
  </si>
  <si>
    <t>Kaitlyn Smith</t>
  </si>
  <si>
    <t>Daniel Kemp</t>
  </si>
  <si>
    <t>Laura Myers</t>
  </si>
  <si>
    <t>Carol Reed</t>
  </si>
  <si>
    <t>Jessica Carter</t>
  </si>
  <si>
    <t>Vanessa Schaefer</t>
  </si>
  <si>
    <t>Miguel Gomez</t>
  </si>
  <si>
    <t>Linda Cardenas</t>
  </si>
  <si>
    <t>Annette James</t>
  </si>
  <si>
    <t>Susan Hurley</t>
  </si>
  <si>
    <t>Carolyn Wade</t>
  </si>
  <si>
    <t>Angela Deleon</t>
  </si>
  <si>
    <t>Carolyn Cooper</t>
  </si>
  <si>
    <t>Rebecca Harris</t>
  </si>
  <si>
    <t>Gary Curtis</t>
  </si>
  <si>
    <t>Ryan Liu</t>
  </si>
  <si>
    <t>Dennis Morrow</t>
  </si>
  <si>
    <t>Jennifer Cooper</t>
  </si>
  <si>
    <t>Jacob Lopez</t>
  </si>
  <si>
    <t>Carol Mcclain</t>
  </si>
  <si>
    <t>Michael Richardson</t>
  </si>
  <si>
    <t>Mark Nguyen</t>
  </si>
  <si>
    <t>Eric Cook</t>
  </si>
  <si>
    <t>Kristen Stephens</t>
  </si>
  <si>
    <t>Dana Walton</t>
  </si>
  <si>
    <t>Scott Arnold</t>
  </si>
  <si>
    <t>Megan Wheeler</t>
  </si>
  <si>
    <t>Aaron Cox</t>
  </si>
  <si>
    <t>Cassandra Martinez</t>
  </si>
  <si>
    <t>Shawn Brown</t>
  </si>
  <si>
    <t>Sandra Williamson</t>
  </si>
  <si>
    <t>Jennifer Stephens</t>
  </si>
  <si>
    <t>Stephanie Rodriguez</t>
  </si>
  <si>
    <t>Caroline Mcintyre</t>
  </si>
  <si>
    <t>Mr. Cameron Robinson</t>
  </si>
  <si>
    <t>Tammy Pineda</t>
  </si>
  <si>
    <t>Natalie Anderson</t>
  </si>
  <si>
    <t>Jasmine Rodriguez</t>
  </si>
  <si>
    <t>Debra Mckee</t>
  </si>
  <si>
    <t>Sandra Greene</t>
  </si>
  <si>
    <t>Crystal Morris</t>
  </si>
  <si>
    <t>Jason Parker</t>
  </si>
  <si>
    <t>Roy Jones</t>
  </si>
  <si>
    <t>Richard Anderson</t>
  </si>
  <si>
    <t>Jennifer Foster</t>
  </si>
  <si>
    <t>Debbie Wilson</t>
  </si>
  <si>
    <t>Travis Flores</t>
  </si>
  <si>
    <t>Emily Young</t>
  </si>
  <si>
    <t>Sandy Hall</t>
  </si>
  <si>
    <t>Madison Wright</t>
  </si>
  <si>
    <t>Amy Mann</t>
  </si>
  <si>
    <t>Jason Steele</t>
  </si>
  <si>
    <t>Pamela Middleton</t>
  </si>
  <si>
    <t>Lisa Jackson</t>
  </si>
  <si>
    <t>Samantha Patel</t>
  </si>
  <si>
    <t>Herbert Rodriguez</t>
  </si>
  <si>
    <t>Olivia Powell</t>
  </si>
  <si>
    <t>Samantha Perkins</t>
  </si>
  <si>
    <t>Michael Potts</t>
  </si>
  <si>
    <t>Kerry Hernandez</t>
  </si>
  <si>
    <t>Joshua Reyes</t>
  </si>
  <si>
    <t>Jennifer Ortega</t>
  </si>
  <si>
    <t>Brittany Braun</t>
  </si>
  <si>
    <t>Daniel Chen</t>
  </si>
  <si>
    <t>Erica Hart</t>
  </si>
  <si>
    <t>Alicia Scott</t>
  </si>
  <si>
    <t>Amanda Aguirre</t>
  </si>
  <si>
    <t>Mark Hicks</t>
  </si>
  <si>
    <t>Timothy Davis</t>
  </si>
  <si>
    <t>Lonnie Dominguez</t>
  </si>
  <si>
    <t>Kimberly Hale</t>
  </si>
  <si>
    <t>Dana Williamson</t>
  </si>
  <si>
    <t>Mr. George Brown Jr.</t>
  </si>
  <si>
    <t>Allen Camacho</t>
  </si>
  <si>
    <t>Nathan Woods</t>
  </si>
  <si>
    <t>Catherine Smith</t>
  </si>
  <si>
    <t>Jerry Lee</t>
  </si>
  <si>
    <t>Alexander Coleman</t>
  </si>
  <si>
    <t>David Jensen</t>
  </si>
  <si>
    <t>Deborah Evans</t>
  </si>
  <si>
    <t>Alexandria Colon</t>
  </si>
  <si>
    <t>Samuel Hanson</t>
  </si>
  <si>
    <t>Bryan Phillips</t>
  </si>
  <si>
    <t>Nathan Wiley</t>
  </si>
  <si>
    <t>Alisha Murphy</t>
  </si>
  <si>
    <t>Amanda Lucero</t>
  </si>
  <si>
    <t>Sheila Sellers</t>
  </si>
  <si>
    <t>Susan Chan</t>
  </si>
  <si>
    <t>Angel Mitchell</t>
  </si>
  <si>
    <t>Darlene Cohen</t>
  </si>
  <si>
    <t>Kristy Oneill</t>
  </si>
  <si>
    <t>Sherri Garcia</t>
  </si>
  <si>
    <t>Michael Weber</t>
  </si>
  <si>
    <t>Beth Schwartz</t>
  </si>
  <si>
    <t>Cynthia Clarke</t>
  </si>
  <si>
    <t>Mark Giles</t>
  </si>
  <si>
    <t>Tamara Beltran</t>
  </si>
  <si>
    <t>Joseph Gutierrez</t>
  </si>
  <si>
    <t>Jamie Jimenez</t>
  </si>
  <si>
    <t>Charles Murphy</t>
  </si>
  <si>
    <t>Carlos Lopez</t>
  </si>
  <si>
    <t>Johnny Irwin</t>
  </si>
  <si>
    <t>Scott Werner</t>
  </si>
  <si>
    <t>Terri Stewart</t>
  </si>
  <si>
    <t>David Davis</t>
  </si>
  <si>
    <t>Stephen Harris</t>
  </si>
  <si>
    <t>Bridget Adams</t>
  </si>
  <si>
    <t>Michael Morton</t>
  </si>
  <si>
    <t>Michelle Liu</t>
  </si>
  <si>
    <t>Regina Bright</t>
  </si>
  <si>
    <t>Samuel Decker</t>
  </si>
  <si>
    <t>Paul Wright</t>
  </si>
  <si>
    <t>Brian Olson</t>
  </si>
  <si>
    <t>Tracey Harrison</t>
  </si>
  <si>
    <t>Erika Johnson</t>
  </si>
  <si>
    <t>Peter Cunningham</t>
  </si>
  <si>
    <t>Sierra White</t>
  </si>
  <si>
    <t>Eddie Russo Dvm</t>
  </si>
  <si>
    <t>Yvette Turner</t>
  </si>
  <si>
    <t>James Charles</t>
  </si>
  <si>
    <t>Alexis Allen</t>
  </si>
  <si>
    <t>Stephanie Martin</t>
  </si>
  <si>
    <t>Shelby Anderson</t>
  </si>
  <si>
    <t>Abigail Farmer</t>
  </si>
  <si>
    <t>Christina Miller</t>
  </si>
  <si>
    <t>Matthew Wyatt</t>
  </si>
  <si>
    <t>David Montoya</t>
  </si>
  <si>
    <t>Eric Park</t>
  </si>
  <si>
    <t>Lori Trevino</t>
  </si>
  <si>
    <t>Dwayne Castillo</t>
  </si>
  <si>
    <t>Kristine Mccall</t>
  </si>
  <si>
    <t>Joseph Sellers</t>
  </si>
  <si>
    <t>Dr. Donald Anderson</t>
  </si>
  <si>
    <t>Victoria Williams</t>
  </si>
  <si>
    <t>Anna Jones</t>
  </si>
  <si>
    <t>Mr. Robert Davis</t>
  </si>
  <si>
    <t>Jeffrey Hall</t>
  </si>
  <si>
    <t>Terry Graves</t>
  </si>
  <si>
    <t>Jerome Morales</t>
  </si>
  <si>
    <t>Keith Rodriguez</t>
  </si>
  <si>
    <t>Tamara Davenport</t>
  </si>
  <si>
    <t>Jonathan Simon</t>
  </si>
  <si>
    <t>Holly Armstrong</t>
  </si>
  <si>
    <t>Ronald Banks</t>
  </si>
  <si>
    <t>Ryan Bradford Dds</t>
  </si>
  <si>
    <t>Janice Hall</t>
  </si>
  <si>
    <t>Jacob Mcdonald</t>
  </si>
  <si>
    <t>Glenn Massey</t>
  </si>
  <si>
    <t>Sandra Murray</t>
  </si>
  <si>
    <t>Age Range</t>
  </si>
  <si>
    <t>Row Labels</t>
  </si>
  <si>
    <t>Grand Total</t>
  </si>
  <si>
    <t>Count of Customer</t>
  </si>
  <si>
    <t>Sum of Billing Amount</t>
  </si>
  <si>
    <t>Jan</t>
  </si>
  <si>
    <t>Feb</t>
  </si>
  <si>
    <t>Mar</t>
  </si>
  <si>
    <t>Apr</t>
  </si>
  <si>
    <t>May</t>
  </si>
  <si>
    <t>Jun</t>
  </si>
  <si>
    <t>Jul</t>
  </si>
  <si>
    <t>Aug</t>
  </si>
  <si>
    <t>Sep</t>
  </si>
  <si>
    <t>Oct</t>
  </si>
  <si>
    <t>Nov</t>
  </si>
  <si>
    <t>Dec</t>
  </si>
  <si>
    <t>KPIs</t>
  </si>
  <si>
    <t>Average days</t>
  </si>
  <si>
    <t>Average Admission days</t>
  </si>
  <si>
    <t xml:space="preserve"> 66+</t>
  </si>
  <si>
    <t>51-65</t>
  </si>
  <si>
    <t>19-35</t>
  </si>
  <si>
    <t>36-50</t>
  </si>
  <si>
    <t>0-18</t>
  </si>
  <si>
    <t>Details for Count of Medical Condition</t>
  </si>
  <si>
    <t>Most Common Condition</t>
  </si>
  <si>
    <t>Average of Billing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</si>
</sst>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quot;₦&quot;* #,##0.00_-;\-&quot;₦&quot;* #,##0.00_-;_-&quot;₦&quot;* &quot;-&quot;??_-;_-@_-"/>
    <numFmt numFmtId="165" formatCode="&quot;£&quot;#,##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style="thin">
        <color rgb="FFABABAB"/>
      </right>
      <top style="thin">
        <color rgb="FFABABAB"/>
      </top>
      <bottom style="thin">
        <color rgb="FFABABAB"/>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164" fontId="1" fillId="0" borderId="0"/>
    <xf numFmtId="43" fontId="1" fillId="0" borderId="0"/>
    <xf numFmtId="9" fontId="1" fillId="0" borderId="0"/>
  </cellStyleXfs>
  <cellXfs count="9">
    <xf numFmtId="0" fontId="0" fillId="0" borderId="0" xfId="0"/>
    <xf numFmtId="1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33" borderId="0" xfId="0" applyFill="1"/>
    <xf numFmtId="1" fontId="0" fillId="0" borderId="0" xfId="0" applyNumberFormat="1"/>
    <xf numFmtId="0" fontId="16" fillId="0" borderId="0" xfId="0" applyFont="1"/>
    <xf numFmtId="0" fontId="0" fillId="0" borderId="10" xfId="0" applyBorder="1"/>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2" xfId="43" xr:uid="{00000000-0005-0000-0000-00001B000000}"/>
    <cellStyle name="Currency 2" xfId="42" xr:uid="{00000000-0005-0000-0000-00001C000000}"/>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2" xfId="44" xr:uid="{00000000-0005-0000-0000-000029000000}"/>
    <cellStyle name="Title" xfId="1" builtinId="15" customBuiltin="1"/>
    <cellStyle name="Total" xfId="17" builtinId="25" customBuiltin="1"/>
    <cellStyle name="Warning Text" xfId="14" builtinId="11" customBuiltin="1"/>
  </cellStyles>
  <dxfs count="7">
    <dxf>
      <numFmt numFmtId="1" formatCode="0"/>
    </dxf>
    <dxf>
      <numFmt numFmtId="19" formatCode="dd/mm/yyyy"/>
    </dxf>
    <dxf>
      <numFmt numFmtId="165" formatCode="&quot;£&quot;#,##0.00"/>
    </dxf>
    <dxf>
      <numFmt numFmtId="19" formatCode="dd/mm/yyyy"/>
    </dxf>
    <dxf>
      <numFmt numFmtId="0" formatCode="General"/>
    </dxf>
    <dxf>
      <numFmt numFmtId="19" formatCode="dd/mm/yyyy"/>
    </dxf>
    <dxf>
      <numFmt numFmtId="19" formatCode="dd/mm/yyyy"/>
    </dxf>
  </dxfs>
  <tableStyles count="0" defaultTableStyle="TableStyleMedium2" defaultPivotStyle="PivotStyleLight16"/>
  <colors>
    <mruColors>
      <color rgb="FF16769C"/>
      <color rgb="FF708DC6"/>
      <color rgb="FF9FB2D9"/>
      <color rgb="FF5A5340"/>
      <color rgb="FF102240"/>
      <color rgb="FF00E5A0"/>
      <color rgb="FFFF4D6D"/>
      <color rgb="FFFFD23F"/>
      <color rgb="FFFF6B35"/>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18"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customXml" Target="../customXml/item2.xml"/><Relationship Id="rId7" Type="http://schemas.microsoft.com/office/2007/relationships/slicerCache" Target="slicerCaches/slicerCache1.xml"/><Relationship Id="rId12" Type="http://schemas.openxmlformats.org/officeDocument/2006/relationships/theme" Target="theme/theme1.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4.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[Wilson Health Data Analysis.xlsx]Sheet4!PivotTable6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926642434158539"/>
          <c:y val="0.34660799752972055"/>
          <c:w val="0.50729392297037246"/>
          <c:h val="0.55144092282582324"/>
        </c:manualLayout>
      </c:layout>
      <c:barChart>
        <c:barDir val="bar"/>
        <c:grouping val="clustered"/>
        <c:varyColors val="0"/>
        <c:ser>
          <c:idx val="0"/>
          <c:order val="0"/>
          <c:tx>
            <c:strRef>
              <c:f>Sheet4!$D$1</c:f>
              <c:strCache>
                <c:ptCount val="1"/>
                <c:pt idx="0">
                  <c:v>Total</c:v>
                </c:pt>
              </c:strCache>
            </c:strRef>
          </c:tx>
          <c:spPr>
            <a:solidFill>
              <a:schemeClr val="accent1"/>
            </a:solidFill>
            <a:ln>
              <a:noFill/>
            </a:ln>
            <a:effectLst/>
          </c:spPr>
          <c:invertIfNegative val="0"/>
          <c:cat>
            <c:strRef>
              <c:f>Sheet4!$C$2:$C$8</c:f>
              <c:strCache>
                <c:ptCount val="6"/>
                <c:pt idx="0">
                  <c:v>Cancer</c:v>
                </c:pt>
                <c:pt idx="1">
                  <c:v>Arthritis</c:v>
                </c:pt>
                <c:pt idx="2">
                  <c:v>Asthma</c:v>
                </c:pt>
                <c:pt idx="3">
                  <c:v>Obesity</c:v>
                </c:pt>
                <c:pt idx="4">
                  <c:v>Hypertension</c:v>
                </c:pt>
                <c:pt idx="5">
                  <c:v>Diabetes</c:v>
                </c:pt>
              </c:strCache>
            </c:strRef>
          </c:cat>
          <c:val>
            <c:numRef>
              <c:f>Sheet4!$D$2:$D$8</c:f>
              <c:numCache>
                <c:formatCode>General</c:formatCode>
                <c:ptCount val="6"/>
                <c:pt idx="0">
                  <c:v>154</c:v>
                </c:pt>
                <c:pt idx="1">
                  <c:v>131</c:v>
                </c:pt>
                <c:pt idx="2">
                  <c:v>128</c:v>
                </c:pt>
                <c:pt idx="3">
                  <c:v>123</c:v>
                </c:pt>
                <c:pt idx="4">
                  <c:v>120</c:v>
                </c:pt>
                <c:pt idx="5">
                  <c:v>110</c:v>
                </c:pt>
              </c:numCache>
            </c:numRef>
          </c:val>
          <c:extLst>
            <c:ext xmlns:c16="http://schemas.microsoft.com/office/drawing/2014/chart" uri="{C3380CC4-5D6E-409C-BE32-E72D297353CC}">
              <c16:uniqueId val="{00000000-BD7A-4408-881D-9B4C9C0AB128}"/>
            </c:ext>
          </c:extLst>
        </c:ser>
        <c:dLbls>
          <c:showLegendKey val="0"/>
          <c:showVal val="0"/>
          <c:showCatName val="0"/>
          <c:showSerName val="0"/>
          <c:showPercent val="0"/>
          <c:showBubbleSize val="0"/>
        </c:dLbls>
        <c:gapWidth val="182"/>
        <c:axId val="1119577856"/>
        <c:axId val="1119579296"/>
      </c:barChart>
      <c:catAx>
        <c:axId val="1119577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579296"/>
        <c:crosses val="autoZero"/>
        <c:auto val="1"/>
        <c:lblAlgn val="ctr"/>
        <c:lblOffset val="100"/>
        <c:noMultiLvlLbl val="0"/>
      </c:catAx>
      <c:valAx>
        <c:axId val="11195792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577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[Wilson Health Data Analysis.xlsx]Sheet4!PivotTable9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Sheet4!$D$10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386-4856-A741-B38EAE8B3C4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386-4856-A741-B38EAE8B3C4C}"/>
              </c:ext>
            </c:extLst>
          </c:dPt>
          <c:cat>
            <c:strRef>
              <c:f>Sheet4!$C$11:$C$13</c:f>
              <c:strCache>
                <c:ptCount val="2"/>
                <c:pt idx="0">
                  <c:v>Female</c:v>
                </c:pt>
                <c:pt idx="1">
                  <c:v>Male</c:v>
                </c:pt>
              </c:strCache>
            </c:strRef>
          </c:cat>
          <c:val>
            <c:numRef>
              <c:f>Sheet4!$D$11:$D$13</c:f>
              <c:numCache>
                <c:formatCode>General</c:formatCode>
                <c:ptCount val="2"/>
                <c:pt idx="0">
                  <c:v>404</c:v>
                </c:pt>
                <c:pt idx="1">
                  <c:v>362</c:v>
                </c:pt>
              </c:numCache>
            </c:numRef>
          </c:val>
          <c:extLst>
            <c:ext xmlns:c16="http://schemas.microsoft.com/office/drawing/2014/chart" uri="{C3380CC4-5D6E-409C-BE32-E72D297353CC}">
              <c16:uniqueId val="{00000000-7FAF-4824-8FAC-E8DADE84E8F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[Wilson Health Data Analysis.xlsx]Sheet4!PivotTable10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Sheet4!$G$10</c:f>
              <c:strCache>
                <c:ptCount val="1"/>
                <c:pt idx="0">
                  <c:v>Total</c:v>
                </c:pt>
              </c:strCache>
            </c:strRef>
          </c:tx>
          <c:spPr>
            <a:solidFill>
              <a:schemeClr val="accent1"/>
            </a:solidFill>
            <a:ln>
              <a:noFill/>
            </a:ln>
            <a:effectLst/>
          </c:spPr>
          <c:invertIfNegative val="0"/>
          <c:cat>
            <c:strRef>
              <c:f>Sheet4!$F$11:$F$16</c:f>
              <c:strCache>
                <c:ptCount val="5"/>
                <c:pt idx="0">
                  <c:v> 66+</c:v>
                </c:pt>
                <c:pt idx="1">
                  <c:v>19-35</c:v>
                </c:pt>
                <c:pt idx="2">
                  <c:v>51-65</c:v>
                </c:pt>
                <c:pt idx="3">
                  <c:v>36-50</c:v>
                </c:pt>
                <c:pt idx="4">
                  <c:v>0-18</c:v>
                </c:pt>
              </c:strCache>
            </c:strRef>
          </c:cat>
          <c:val>
            <c:numRef>
              <c:f>Sheet4!$G$11:$G$16</c:f>
              <c:numCache>
                <c:formatCode>General</c:formatCode>
                <c:ptCount val="5"/>
                <c:pt idx="0">
                  <c:v>196</c:v>
                </c:pt>
                <c:pt idx="1">
                  <c:v>195</c:v>
                </c:pt>
                <c:pt idx="2">
                  <c:v>186</c:v>
                </c:pt>
                <c:pt idx="3">
                  <c:v>172</c:v>
                </c:pt>
                <c:pt idx="4">
                  <c:v>17</c:v>
                </c:pt>
              </c:numCache>
            </c:numRef>
          </c:val>
          <c:extLst>
            <c:ext xmlns:c16="http://schemas.microsoft.com/office/drawing/2014/chart" uri="{C3380CC4-5D6E-409C-BE32-E72D297353CC}">
              <c16:uniqueId val="{00000000-5EC2-46AF-B2FC-E74ABEAFF49E}"/>
            </c:ext>
          </c:extLst>
        </c:ser>
        <c:dLbls>
          <c:showLegendKey val="0"/>
          <c:showVal val="0"/>
          <c:showCatName val="0"/>
          <c:showSerName val="0"/>
          <c:showPercent val="0"/>
          <c:showBubbleSize val="0"/>
        </c:dLbls>
        <c:gapWidth val="219"/>
        <c:overlap val="-27"/>
        <c:axId val="1119458336"/>
        <c:axId val="1119459776"/>
      </c:barChart>
      <c:catAx>
        <c:axId val="1119458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459776"/>
        <c:crosses val="autoZero"/>
        <c:auto val="1"/>
        <c:lblAlgn val="ctr"/>
        <c:lblOffset val="100"/>
        <c:noMultiLvlLbl val="0"/>
      </c:catAx>
      <c:valAx>
        <c:axId val="1119459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458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[Wilson Health Data Analysis.xlsx]Sheet4!PivotTable8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Sheet4!$G$1</c:f>
              <c:strCache>
                <c:ptCount val="1"/>
                <c:pt idx="0">
                  <c:v>Total</c:v>
                </c:pt>
              </c:strCache>
            </c:strRef>
          </c:tx>
          <c:spPr>
            <a:solidFill>
              <a:schemeClr val="accent1"/>
            </a:solidFill>
            <a:ln>
              <a:noFill/>
            </a:ln>
            <a:effectLst/>
          </c:spPr>
          <c:invertIfNegative val="0"/>
          <c:cat>
            <c:strRef>
              <c:f>Sheet4!$F$2:$F$6</c:f>
              <c:strCache>
                <c:ptCount val="4"/>
                <c:pt idx="0">
                  <c:v>Wilson Branch A</c:v>
                </c:pt>
                <c:pt idx="1">
                  <c:v>Wilson Branch B</c:v>
                </c:pt>
                <c:pt idx="2">
                  <c:v>Wilson Branch C</c:v>
                </c:pt>
                <c:pt idx="3">
                  <c:v>Wilson Branch D</c:v>
                </c:pt>
              </c:strCache>
            </c:strRef>
          </c:cat>
          <c:val>
            <c:numRef>
              <c:f>Sheet4!$G$2:$G$6</c:f>
              <c:numCache>
                <c:formatCode>General</c:formatCode>
                <c:ptCount val="4"/>
                <c:pt idx="0">
                  <c:v>240</c:v>
                </c:pt>
                <c:pt idx="1">
                  <c:v>213</c:v>
                </c:pt>
                <c:pt idx="2">
                  <c:v>87</c:v>
                </c:pt>
                <c:pt idx="3">
                  <c:v>226</c:v>
                </c:pt>
              </c:numCache>
            </c:numRef>
          </c:val>
          <c:extLst>
            <c:ext xmlns:c16="http://schemas.microsoft.com/office/drawing/2014/chart" uri="{C3380CC4-5D6E-409C-BE32-E72D297353CC}">
              <c16:uniqueId val="{00000000-123E-4002-8E1B-2BEBA026BDE1}"/>
            </c:ext>
          </c:extLst>
        </c:ser>
        <c:dLbls>
          <c:showLegendKey val="0"/>
          <c:showVal val="0"/>
          <c:showCatName val="0"/>
          <c:showSerName val="0"/>
          <c:showPercent val="0"/>
          <c:showBubbleSize val="0"/>
        </c:dLbls>
        <c:gapWidth val="182"/>
        <c:axId val="812730336"/>
        <c:axId val="812727456"/>
      </c:barChart>
      <c:catAx>
        <c:axId val="812730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727456"/>
        <c:crosses val="autoZero"/>
        <c:auto val="1"/>
        <c:lblAlgn val="ctr"/>
        <c:lblOffset val="100"/>
        <c:noMultiLvlLbl val="0"/>
      </c:catAx>
      <c:valAx>
        <c:axId val="812727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730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[Wilson Health Data Analysis.xlsx]Sheet4!PivotTable12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Sheet4!$G$19</c:f>
              <c:strCache>
                <c:ptCount val="1"/>
                <c:pt idx="0">
                  <c:v>Total</c:v>
                </c:pt>
              </c:strCache>
            </c:strRef>
          </c:tx>
          <c:spPr>
            <a:ln w="28575" cap="rnd">
              <a:solidFill>
                <a:schemeClr val="accent1"/>
              </a:solidFill>
              <a:round/>
            </a:ln>
            <a:effectLst/>
          </c:spPr>
          <c:marker>
            <c:symbol val="none"/>
          </c:marker>
          <c:cat>
            <c:strRef>
              <c:f>Sheet4!$F$20:$F$32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Sheet4!$G$20:$G$32</c:f>
              <c:numCache>
                <c:formatCode>"£"#,##0.00</c:formatCode>
                <c:ptCount val="12"/>
                <c:pt idx="0">
                  <c:v>1864271.8860992745</c:v>
                </c:pt>
                <c:pt idx="1">
                  <c:v>1615118.5009918662</c:v>
                </c:pt>
                <c:pt idx="2">
                  <c:v>1774479.2339781029</c:v>
                </c:pt>
                <c:pt idx="3">
                  <c:v>1852702.9293191452</c:v>
                </c:pt>
                <c:pt idx="4">
                  <c:v>1698383.2854948151</c:v>
                </c:pt>
                <c:pt idx="5">
                  <c:v>1521436.9576270583</c:v>
                </c:pt>
                <c:pt idx="6">
                  <c:v>1330750.7883071746</c:v>
                </c:pt>
                <c:pt idx="7">
                  <c:v>1843768.290200904</c:v>
                </c:pt>
                <c:pt idx="8">
                  <c:v>1118152.0464162654</c:v>
                </c:pt>
                <c:pt idx="9">
                  <c:v>2025850.1466046134</c:v>
                </c:pt>
                <c:pt idx="10">
                  <c:v>2007648.4671140509</c:v>
                </c:pt>
                <c:pt idx="11">
                  <c:v>1234222.0559637279</c:v>
                </c:pt>
              </c:numCache>
            </c:numRef>
          </c:val>
          <c:smooth val="0"/>
          <c:extLst>
            <c:ext xmlns:c16="http://schemas.microsoft.com/office/drawing/2014/chart" uri="{C3380CC4-5D6E-409C-BE32-E72D297353CC}">
              <c16:uniqueId val="{00000000-DBA1-4432-9D0D-BB56C72576CE}"/>
            </c:ext>
          </c:extLst>
        </c:ser>
        <c:dLbls>
          <c:showLegendKey val="0"/>
          <c:showVal val="0"/>
          <c:showCatName val="0"/>
          <c:showSerName val="0"/>
          <c:showPercent val="0"/>
          <c:showBubbleSize val="0"/>
        </c:dLbls>
        <c:smooth val="0"/>
        <c:axId val="781491168"/>
        <c:axId val="781489248"/>
      </c:lineChart>
      <c:catAx>
        <c:axId val="781491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489248"/>
        <c:crosses val="autoZero"/>
        <c:auto val="1"/>
        <c:lblAlgn val="ctr"/>
        <c:lblOffset val="100"/>
        <c:noMultiLvlLbl val="0"/>
      </c:catAx>
      <c:valAx>
        <c:axId val="7814892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491168"/>
        <c:crosses val="autoZero"/>
        <c:crossBetween val="between"/>
      </c:valAx>
      <c:spPr>
        <a:noFill/>
        <a:ln>
          <a:noFill/>
        </a:ln>
        <a:effectLst/>
      </c:spPr>
    </c:plotArea>
    <c:legend>
      <c:legendPos val="r"/>
      <c:layout>
        <c:manualLayout>
          <c:xMode val="edge"/>
          <c:yMode val="edge"/>
          <c:x val="0.72402671734998647"/>
          <c:y val="0.8552806501596939"/>
          <c:w val="0.25816855473710948"/>
          <c:h val="0.1415672137368371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[Wilson Health Data Analysis.xlsx]Sheet4!PivotTable13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Sheet4!$D$23</c:f>
              <c:strCache>
                <c:ptCount val="1"/>
                <c:pt idx="0">
                  <c:v>Total</c:v>
                </c:pt>
              </c:strCache>
            </c:strRef>
          </c:tx>
          <c:spPr>
            <a:solidFill>
              <a:schemeClr val="accent1"/>
            </a:solidFill>
            <a:ln>
              <a:noFill/>
            </a:ln>
            <a:effectLst/>
          </c:spPr>
          <c:invertIfNegative val="0"/>
          <c:cat>
            <c:strRef>
              <c:f>Sheet4!$C$24:$C$27</c:f>
              <c:strCache>
                <c:ptCount val="3"/>
                <c:pt idx="0">
                  <c:v>Elective</c:v>
                </c:pt>
                <c:pt idx="1">
                  <c:v>Emergency</c:v>
                </c:pt>
                <c:pt idx="2">
                  <c:v>Urgent</c:v>
                </c:pt>
              </c:strCache>
            </c:strRef>
          </c:cat>
          <c:val>
            <c:numRef>
              <c:f>Sheet4!$D$24:$D$27</c:f>
              <c:numCache>
                <c:formatCode>General</c:formatCode>
                <c:ptCount val="3"/>
                <c:pt idx="0">
                  <c:v>392</c:v>
                </c:pt>
                <c:pt idx="1">
                  <c:v>355</c:v>
                </c:pt>
                <c:pt idx="2">
                  <c:v>19</c:v>
                </c:pt>
              </c:numCache>
            </c:numRef>
          </c:val>
          <c:extLst>
            <c:ext xmlns:c16="http://schemas.microsoft.com/office/drawing/2014/chart" uri="{C3380CC4-5D6E-409C-BE32-E72D297353CC}">
              <c16:uniqueId val="{00000000-379C-477C-A501-5693156D3FC3}"/>
            </c:ext>
          </c:extLst>
        </c:ser>
        <c:dLbls>
          <c:showLegendKey val="0"/>
          <c:showVal val="0"/>
          <c:showCatName val="0"/>
          <c:showSerName val="0"/>
          <c:showPercent val="0"/>
          <c:showBubbleSize val="0"/>
        </c:dLbls>
        <c:gapWidth val="150"/>
        <c:overlap val="100"/>
        <c:axId val="781426848"/>
        <c:axId val="781441248"/>
      </c:barChart>
      <c:catAx>
        <c:axId val="781426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441248"/>
        <c:crosses val="autoZero"/>
        <c:auto val="1"/>
        <c:lblAlgn val="ctr"/>
        <c:lblOffset val="100"/>
        <c:noMultiLvlLbl val="0"/>
      </c:catAx>
      <c:valAx>
        <c:axId val="7814412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426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[Wilson Health Data Analysis.xlsx]Sheet4!PivotTable6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baseline="0">
                <a:solidFill>
                  <a:schemeClr val="tx1"/>
                </a:solidFill>
              </a:rPr>
              <a:t>Patients  by Medical Condition</a:t>
            </a:r>
            <a:endParaRPr lang="en-US" sz="1100" b="1">
              <a:solidFill>
                <a:schemeClr val="tx1"/>
              </a:solidFill>
            </a:endParaRPr>
          </a:p>
        </c:rich>
      </c:tx>
      <c:layout>
        <c:manualLayout>
          <c:xMode val="edge"/>
          <c:yMode val="edge"/>
          <c:x val="4.9979625196822669E-2"/>
          <c:y val="3.49319988054969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98478391848289"/>
          <c:y val="0.31842310258576206"/>
          <c:w val="0.73113334193881507"/>
          <c:h val="0.61098425196850392"/>
        </c:manualLayout>
      </c:layout>
      <c:barChart>
        <c:barDir val="bar"/>
        <c:grouping val="clustered"/>
        <c:varyColors val="0"/>
        <c:ser>
          <c:idx val="0"/>
          <c:order val="0"/>
          <c:tx>
            <c:strRef>
              <c:f>Sheet4!$D$1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Sheet4!$C$2:$C$8</c:f>
              <c:strCache>
                <c:ptCount val="6"/>
                <c:pt idx="0">
                  <c:v>Cancer</c:v>
                </c:pt>
                <c:pt idx="1">
                  <c:v>Arthritis</c:v>
                </c:pt>
                <c:pt idx="2">
                  <c:v>Asthma</c:v>
                </c:pt>
                <c:pt idx="3">
                  <c:v>Obesity</c:v>
                </c:pt>
                <c:pt idx="4">
                  <c:v>Hypertension</c:v>
                </c:pt>
                <c:pt idx="5">
                  <c:v>Diabetes</c:v>
                </c:pt>
              </c:strCache>
            </c:strRef>
          </c:cat>
          <c:val>
            <c:numRef>
              <c:f>Sheet4!$D$2:$D$8</c:f>
              <c:numCache>
                <c:formatCode>General</c:formatCode>
                <c:ptCount val="6"/>
                <c:pt idx="0">
                  <c:v>154</c:v>
                </c:pt>
                <c:pt idx="1">
                  <c:v>131</c:v>
                </c:pt>
                <c:pt idx="2">
                  <c:v>128</c:v>
                </c:pt>
                <c:pt idx="3">
                  <c:v>123</c:v>
                </c:pt>
                <c:pt idx="4">
                  <c:v>120</c:v>
                </c:pt>
                <c:pt idx="5">
                  <c:v>110</c:v>
                </c:pt>
              </c:numCache>
            </c:numRef>
          </c:val>
          <c:extLst>
            <c:ext xmlns:c16="http://schemas.microsoft.com/office/drawing/2014/chart" uri="{C3380CC4-5D6E-409C-BE32-E72D297353CC}">
              <c16:uniqueId val="{00000000-D388-44A3-A1C7-49C06B385C51}"/>
            </c:ext>
          </c:extLst>
        </c:ser>
        <c:dLbls>
          <c:dLblPos val="outEnd"/>
          <c:showLegendKey val="0"/>
          <c:showVal val="1"/>
          <c:showCatName val="0"/>
          <c:showSerName val="0"/>
          <c:showPercent val="0"/>
          <c:showBubbleSize val="0"/>
        </c:dLbls>
        <c:gapWidth val="182"/>
        <c:axId val="1119577856"/>
        <c:axId val="1119579296"/>
      </c:barChart>
      <c:catAx>
        <c:axId val="111957785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579296"/>
        <c:crosses val="autoZero"/>
        <c:auto val="1"/>
        <c:lblAlgn val="ctr"/>
        <c:lblOffset val="100"/>
        <c:noMultiLvlLbl val="0"/>
      </c:catAx>
      <c:valAx>
        <c:axId val="1119579296"/>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577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[Wilson Health Data Analysis.xlsx]Sheet4!PivotTable9</c:name>
    <c:fmtId val="2"/>
  </c:pivotSource>
  <c:chart>
    <c:title>
      <c:tx>
        <c:rich>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r>
              <a:rPr lang="en-US" sz="1100" b="1"/>
              <a:t>Patients by Gender</a:t>
            </a:r>
          </a:p>
        </c:rich>
      </c:tx>
      <c:layout>
        <c:manualLayout>
          <c:xMode val="edge"/>
          <c:yMode val="edge"/>
          <c:x val="2.7206571851362299E-2"/>
          <c:y val="3.2756153759539934E-2"/>
        </c:manualLayout>
      </c:layout>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bg1"/>
          </a:solidFill>
          <a:ln w="19050">
            <a:solidFill>
              <a:schemeClr val="accent1">
                <a:alpha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accent1">
                <a:alpha val="95000"/>
              </a:schemeClr>
            </a:solidFill>
          </a:ln>
          <a:effectLst/>
        </c:spPr>
      </c:pivotFmt>
      <c:pivotFmt>
        <c:idx val="6"/>
        <c:spPr>
          <a:solidFill>
            <a:schemeClr val="accent5">
              <a:lumMod val="20000"/>
              <a:lumOff val="80000"/>
            </a:schemeClr>
          </a:solidFill>
          <a:ln w="19050">
            <a:solidFill>
              <a:schemeClr val="accent1">
                <a:alpha val="95000"/>
              </a:schemeClr>
            </a:solidFill>
          </a:ln>
          <a:effectLst/>
        </c:spPr>
      </c:pivotFmt>
    </c:pivotFmts>
    <c:plotArea>
      <c:layout>
        <c:manualLayout>
          <c:layoutTarget val="inner"/>
          <c:xMode val="edge"/>
          <c:yMode val="edge"/>
          <c:x val="0.25619785122026512"/>
          <c:y val="8.6693608394707328E-2"/>
          <c:w val="0.50031696892487088"/>
          <c:h val="0.9133063916052927"/>
        </c:manualLayout>
      </c:layout>
      <c:doughnutChart>
        <c:varyColors val="1"/>
        <c:ser>
          <c:idx val="0"/>
          <c:order val="0"/>
          <c:tx>
            <c:strRef>
              <c:f>Sheet4!$D$10</c:f>
              <c:strCache>
                <c:ptCount val="1"/>
                <c:pt idx="0">
                  <c:v>Total</c:v>
                </c:pt>
              </c:strCache>
            </c:strRef>
          </c:tx>
          <c:spPr>
            <a:solidFill>
              <a:schemeClr val="bg1"/>
            </a:solidFill>
            <a:ln>
              <a:solidFill>
                <a:schemeClr val="accent1">
                  <a:alpha val="95000"/>
                </a:schemeClr>
              </a:solidFill>
            </a:ln>
          </c:spPr>
          <c:dPt>
            <c:idx val="0"/>
            <c:bubble3D val="0"/>
            <c:spPr>
              <a:solidFill>
                <a:schemeClr val="accent1"/>
              </a:solidFill>
              <a:ln w="19050">
                <a:solidFill>
                  <a:schemeClr val="accent1">
                    <a:alpha val="95000"/>
                  </a:schemeClr>
                </a:solidFill>
              </a:ln>
              <a:effectLst/>
            </c:spPr>
            <c:extLst>
              <c:ext xmlns:c16="http://schemas.microsoft.com/office/drawing/2014/chart" uri="{C3380CC4-5D6E-409C-BE32-E72D297353CC}">
                <c16:uniqueId val="{00000001-14F6-46EA-A38C-08AE2C4477C0}"/>
              </c:ext>
            </c:extLst>
          </c:dPt>
          <c:dPt>
            <c:idx val="1"/>
            <c:bubble3D val="0"/>
            <c:spPr>
              <a:solidFill>
                <a:schemeClr val="accent5">
                  <a:lumMod val="20000"/>
                  <a:lumOff val="80000"/>
                </a:schemeClr>
              </a:solidFill>
              <a:ln w="19050">
                <a:solidFill>
                  <a:schemeClr val="accent1">
                    <a:alpha val="95000"/>
                  </a:schemeClr>
                </a:solidFill>
              </a:ln>
              <a:effectLst/>
            </c:spPr>
            <c:extLst>
              <c:ext xmlns:c16="http://schemas.microsoft.com/office/drawing/2014/chart" uri="{C3380CC4-5D6E-409C-BE32-E72D297353CC}">
                <c16:uniqueId val="{00000003-14F6-46EA-A38C-08AE2C4477C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Sheet4!$C$11:$C$13</c:f>
              <c:strCache>
                <c:ptCount val="2"/>
                <c:pt idx="0">
                  <c:v>Female</c:v>
                </c:pt>
                <c:pt idx="1">
                  <c:v>Male</c:v>
                </c:pt>
              </c:strCache>
            </c:strRef>
          </c:cat>
          <c:val>
            <c:numRef>
              <c:f>Sheet4!$D$11:$D$13</c:f>
              <c:numCache>
                <c:formatCode>General</c:formatCode>
                <c:ptCount val="2"/>
                <c:pt idx="0">
                  <c:v>404</c:v>
                </c:pt>
                <c:pt idx="1">
                  <c:v>362</c:v>
                </c:pt>
              </c:numCache>
            </c:numRef>
          </c:val>
          <c:extLst>
            <c:ext xmlns:c16="http://schemas.microsoft.com/office/drawing/2014/chart" uri="{C3380CC4-5D6E-409C-BE32-E72D297353CC}">
              <c16:uniqueId val="{00000004-14F6-46EA-A38C-08AE2C4477C0}"/>
            </c:ext>
          </c:extLst>
        </c:ser>
        <c:dLbls>
          <c:showLegendKey val="0"/>
          <c:showVal val="1"/>
          <c:showCatName val="0"/>
          <c:showSerName val="0"/>
          <c:showPercent val="0"/>
          <c:showBubbleSize val="0"/>
          <c:showLeaderLines val="1"/>
        </c:dLbls>
        <c:firstSliceAng val="0"/>
        <c:holeSize val="41"/>
      </c:doughnutChart>
      <c:spPr>
        <a:noFill/>
        <a:ln>
          <a:noFill/>
        </a:ln>
        <a:effectLst>
          <a:glow rad="774700">
            <a:schemeClr val="accent1">
              <a:alpha val="63000"/>
            </a:schemeClr>
          </a:glow>
          <a:outerShdw blurRad="50800" dist="50800" dir="5400000" sx="24000" sy="24000" algn="ctr" rotWithShape="0">
            <a:srgbClr val="000000">
              <a:alpha val="43137"/>
            </a:srgbClr>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[Wilson Health Data Analysis.xlsx]Sheet4!PivotTable10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baseline="0"/>
              <a:t>Patients by Age Range</a:t>
            </a:r>
            <a:endParaRPr lang="en-US" sz="1100" b="1"/>
          </a:p>
        </c:rich>
      </c:tx>
      <c:layout>
        <c:manualLayout>
          <c:xMode val="edge"/>
          <c:yMode val="edge"/>
          <c:x val="2.4170937090788776E-2"/>
          <c:y val="3.24815251751940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Sheet4!$G$10</c:f>
              <c:strCache>
                <c:ptCount val="1"/>
                <c:pt idx="0">
                  <c:v>Total</c:v>
                </c:pt>
              </c:strCache>
            </c:strRef>
          </c:tx>
          <c:spPr>
            <a:solidFill>
              <a:schemeClr val="accent1"/>
            </a:solidFill>
            <a:ln>
              <a:noFill/>
            </a:ln>
            <a:effectLst/>
          </c:spPr>
          <c:invertIfNegative val="0"/>
          <c:cat>
            <c:strRef>
              <c:f>Sheet4!$F$11:$F$16</c:f>
              <c:strCache>
                <c:ptCount val="5"/>
                <c:pt idx="0">
                  <c:v> 66+</c:v>
                </c:pt>
                <c:pt idx="1">
                  <c:v>19-35</c:v>
                </c:pt>
                <c:pt idx="2">
                  <c:v>51-65</c:v>
                </c:pt>
                <c:pt idx="3">
                  <c:v>36-50</c:v>
                </c:pt>
                <c:pt idx="4">
                  <c:v>0-18</c:v>
                </c:pt>
              </c:strCache>
            </c:strRef>
          </c:cat>
          <c:val>
            <c:numRef>
              <c:f>Sheet4!$G$11:$G$16</c:f>
              <c:numCache>
                <c:formatCode>General</c:formatCode>
                <c:ptCount val="5"/>
                <c:pt idx="0">
                  <c:v>196</c:v>
                </c:pt>
                <c:pt idx="1">
                  <c:v>195</c:v>
                </c:pt>
                <c:pt idx="2">
                  <c:v>186</c:v>
                </c:pt>
                <c:pt idx="3">
                  <c:v>172</c:v>
                </c:pt>
                <c:pt idx="4">
                  <c:v>17</c:v>
                </c:pt>
              </c:numCache>
            </c:numRef>
          </c:val>
          <c:extLst>
            <c:ext xmlns:c16="http://schemas.microsoft.com/office/drawing/2014/chart" uri="{C3380CC4-5D6E-409C-BE32-E72D297353CC}">
              <c16:uniqueId val="{00000000-E1F3-489A-85F1-56F6E469AC92}"/>
            </c:ext>
          </c:extLst>
        </c:ser>
        <c:dLbls>
          <c:showLegendKey val="0"/>
          <c:showVal val="0"/>
          <c:showCatName val="0"/>
          <c:showSerName val="0"/>
          <c:showPercent val="0"/>
          <c:showBubbleSize val="0"/>
        </c:dLbls>
        <c:gapWidth val="219"/>
        <c:overlap val="-27"/>
        <c:axId val="1119458336"/>
        <c:axId val="1119459776"/>
      </c:barChart>
      <c:catAx>
        <c:axId val="1119458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459776"/>
        <c:crosses val="autoZero"/>
        <c:auto val="1"/>
        <c:lblAlgn val="ctr"/>
        <c:lblOffset val="100"/>
        <c:noMultiLvlLbl val="0"/>
      </c:catAx>
      <c:valAx>
        <c:axId val="11194597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458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[Wilson Health Data Analysis.xlsx]Sheet4!PivotTable8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baseline="0"/>
              <a:t>Revenue by Hospital </a:t>
            </a:r>
            <a:endParaRPr lang="en-US" sz="1100" b="1"/>
          </a:p>
        </c:rich>
      </c:tx>
      <c:layout>
        <c:manualLayout>
          <c:xMode val="edge"/>
          <c:yMode val="edge"/>
          <c:x val="4.484245711082558E-2"/>
          <c:y val="3.90880191548485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Sheet4!$G$1</c:f>
              <c:strCache>
                <c:ptCount val="1"/>
                <c:pt idx="0">
                  <c:v>Total</c:v>
                </c:pt>
              </c:strCache>
            </c:strRef>
          </c:tx>
          <c:spPr>
            <a:solidFill>
              <a:schemeClr val="accent1"/>
            </a:solidFill>
            <a:ln>
              <a:noFill/>
            </a:ln>
            <a:effectLst/>
          </c:spPr>
          <c:invertIfNegative val="0"/>
          <c:cat>
            <c:strRef>
              <c:f>Sheet4!$F$2:$F$6</c:f>
              <c:strCache>
                <c:ptCount val="4"/>
                <c:pt idx="0">
                  <c:v>Wilson Branch A</c:v>
                </c:pt>
                <c:pt idx="1">
                  <c:v>Wilson Branch B</c:v>
                </c:pt>
                <c:pt idx="2">
                  <c:v>Wilson Branch C</c:v>
                </c:pt>
                <c:pt idx="3">
                  <c:v>Wilson Branch D</c:v>
                </c:pt>
              </c:strCache>
            </c:strRef>
          </c:cat>
          <c:val>
            <c:numRef>
              <c:f>Sheet4!$G$2:$G$6</c:f>
              <c:numCache>
                <c:formatCode>General</c:formatCode>
                <c:ptCount val="4"/>
                <c:pt idx="0">
                  <c:v>240</c:v>
                </c:pt>
                <c:pt idx="1">
                  <c:v>213</c:v>
                </c:pt>
                <c:pt idx="2">
                  <c:v>87</c:v>
                </c:pt>
                <c:pt idx="3">
                  <c:v>226</c:v>
                </c:pt>
              </c:numCache>
            </c:numRef>
          </c:val>
          <c:extLst>
            <c:ext xmlns:c16="http://schemas.microsoft.com/office/drawing/2014/chart" uri="{C3380CC4-5D6E-409C-BE32-E72D297353CC}">
              <c16:uniqueId val="{00000000-9335-4954-B3AB-5BE12C3396DF}"/>
            </c:ext>
          </c:extLst>
        </c:ser>
        <c:dLbls>
          <c:showLegendKey val="0"/>
          <c:showVal val="0"/>
          <c:showCatName val="0"/>
          <c:showSerName val="0"/>
          <c:showPercent val="0"/>
          <c:showBubbleSize val="0"/>
        </c:dLbls>
        <c:gapWidth val="182"/>
        <c:axId val="812730336"/>
        <c:axId val="812727456"/>
      </c:barChart>
      <c:catAx>
        <c:axId val="81273033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727456"/>
        <c:crosses val="autoZero"/>
        <c:auto val="1"/>
        <c:lblAlgn val="ctr"/>
        <c:lblOffset val="100"/>
        <c:noMultiLvlLbl val="0"/>
      </c:catAx>
      <c:valAx>
        <c:axId val="812727456"/>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730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[Wilson Health Data Analysis.xlsx]Sheet4!PivotTable12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 Revenue By Month</a:t>
            </a:r>
          </a:p>
        </c:rich>
      </c:tx>
      <c:layout>
        <c:manualLayout>
          <c:xMode val="edge"/>
          <c:yMode val="edge"/>
          <c:x val="1.8382919120289228E-2"/>
          <c:y val="4.16666204111266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Sheet4!$G$19</c:f>
              <c:strCache>
                <c:ptCount val="1"/>
                <c:pt idx="0">
                  <c:v>Total</c:v>
                </c:pt>
              </c:strCache>
            </c:strRef>
          </c:tx>
          <c:spPr>
            <a:ln w="28575" cap="rnd">
              <a:solidFill>
                <a:schemeClr val="accent1"/>
              </a:solidFill>
              <a:round/>
            </a:ln>
            <a:effectLst/>
          </c:spPr>
          <c:marker>
            <c:symbol val="none"/>
          </c:marker>
          <c:cat>
            <c:strRef>
              <c:f>Sheet4!$F$20:$F$32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Sheet4!$G$20:$G$32</c:f>
              <c:numCache>
                <c:formatCode>"£"#,##0.00</c:formatCode>
                <c:ptCount val="12"/>
                <c:pt idx="0">
                  <c:v>1864271.8860992745</c:v>
                </c:pt>
                <c:pt idx="1">
                  <c:v>1615118.5009918662</c:v>
                </c:pt>
                <c:pt idx="2">
                  <c:v>1774479.2339781029</c:v>
                </c:pt>
                <c:pt idx="3">
                  <c:v>1852702.9293191452</c:v>
                </c:pt>
                <c:pt idx="4">
                  <c:v>1698383.2854948151</c:v>
                </c:pt>
                <c:pt idx="5">
                  <c:v>1521436.9576270583</c:v>
                </c:pt>
                <c:pt idx="6">
                  <c:v>1330750.7883071746</c:v>
                </c:pt>
                <c:pt idx="7">
                  <c:v>1843768.290200904</c:v>
                </c:pt>
                <c:pt idx="8">
                  <c:v>1118152.0464162654</c:v>
                </c:pt>
                <c:pt idx="9">
                  <c:v>2025850.1466046134</c:v>
                </c:pt>
                <c:pt idx="10">
                  <c:v>2007648.4671140509</c:v>
                </c:pt>
                <c:pt idx="11">
                  <c:v>1234222.0559637279</c:v>
                </c:pt>
              </c:numCache>
            </c:numRef>
          </c:val>
          <c:smooth val="0"/>
          <c:extLst>
            <c:ext xmlns:c16="http://schemas.microsoft.com/office/drawing/2014/chart" uri="{C3380CC4-5D6E-409C-BE32-E72D297353CC}">
              <c16:uniqueId val="{00000000-0CF5-40FF-99DB-FA1453B9EC0B}"/>
            </c:ext>
          </c:extLst>
        </c:ser>
        <c:dLbls>
          <c:showLegendKey val="0"/>
          <c:showVal val="0"/>
          <c:showCatName val="0"/>
          <c:showSerName val="0"/>
          <c:showPercent val="0"/>
          <c:showBubbleSize val="0"/>
        </c:dLbls>
        <c:smooth val="0"/>
        <c:axId val="781491168"/>
        <c:axId val="781489248"/>
      </c:lineChart>
      <c:catAx>
        <c:axId val="781491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489248"/>
        <c:crosses val="autoZero"/>
        <c:auto val="1"/>
        <c:lblAlgn val="ctr"/>
        <c:lblOffset val="100"/>
        <c:noMultiLvlLbl val="0"/>
      </c:catAx>
      <c:valAx>
        <c:axId val="781489248"/>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491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[Wilson Health Data Analysis.xlsx]Sheet4!PivotTable13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Patients by Amission Type </a:t>
            </a:r>
          </a:p>
        </c:rich>
      </c:tx>
      <c:layout>
        <c:manualLayout>
          <c:xMode val="edge"/>
          <c:yMode val="edge"/>
          <c:x val="3.0932019593620359E-2"/>
          <c:y val="3.868397265894533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Sheet4!$D$23</c:f>
              <c:strCache>
                <c:ptCount val="1"/>
                <c:pt idx="0">
                  <c:v>Total</c:v>
                </c:pt>
              </c:strCache>
            </c:strRef>
          </c:tx>
          <c:spPr>
            <a:solidFill>
              <a:schemeClr val="accent1"/>
            </a:solidFill>
            <a:ln>
              <a:noFill/>
            </a:ln>
            <a:effectLst/>
          </c:spPr>
          <c:invertIfNegative val="0"/>
          <c:cat>
            <c:strRef>
              <c:f>Sheet4!$C$24:$C$27</c:f>
              <c:strCache>
                <c:ptCount val="3"/>
                <c:pt idx="0">
                  <c:v>Elective</c:v>
                </c:pt>
                <c:pt idx="1">
                  <c:v>Emergency</c:v>
                </c:pt>
                <c:pt idx="2">
                  <c:v>Urgent</c:v>
                </c:pt>
              </c:strCache>
            </c:strRef>
          </c:cat>
          <c:val>
            <c:numRef>
              <c:f>Sheet4!$D$24:$D$27</c:f>
              <c:numCache>
                <c:formatCode>General</c:formatCode>
                <c:ptCount val="3"/>
                <c:pt idx="0">
                  <c:v>392</c:v>
                </c:pt>
                <c:pt idx="1">
                  <c:v>355</c:v>
                </c:pt>
                <c:pt idx="2">
                  <c:v>19</c:v>
                </c:pt>
              </c:numCache>
            </c:numRef>
          </c:val>
          <c:extLst>
            <c:ext xmlns:c16="http://schemas.microsoft.com/office/drawing/2014/chart" uri="{C3380CC4-5D6E-409C-BE32-E72D297353CC}">
              <c16:uniqueId val="{00000000-ABB8-40DA-9BA4-580DFE57C5CC}"/>
            </c:ext>
          </c:extLst>
        </c:ser>
        <c:dLbls>
          <c:showLegendKey val="0"/>
          <c:showVal val="0"/>
          <c:showCatName val="0"/>
          <c:showSerName val="0"/>
          <c:showPercent val="0"/>
          <c:showBubbleSize val="0"/>
        </c:dLbls>
        <c:gapWidth val="150"/>
        <c:overlap val="100"/>
        <c:axId val="781426848"/>
        <c:axId val="781441248"/>
      </c:barChart>
      <c:catAx>
        <c:axId val="78142684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441248"/>
        <c:crosses val="autoZero"/>
        <c:auto val="1"/>
        <c:lblAlgn val="ctr"/>
        <c:lblOffset val="100"/>
        <c:noMultiLvlLbl val="0"/>
      </c:catAx>
      <c:valAx>
        <c:axId val="781441248"/>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426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image" Target="../media/image1.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552450</xdr:colOff>
      <xdr:row>52</xdr:row>
      <xdr:rowOff>57150</xdr:rowOff>
    </xdr:from>
    <xdr:to>
      <xdr:col>4</xdr:col>
      <xdr:colOff>927100</xdr:colOff>
      <xdr:row>64</xdr:row>
      <xdr:rowOff>114300</xdr:rowOff>
    </xdr:to>
    <xdr:graphicFrame macro="">
      <xdr:nvGraphicFramePr>
        <xdr:cNvPr id="2" name="Chart 1">
          <a:extLst>
            <a:ext uri="{FF2B5EF4-FFF2-40B4-BE49-F238E27FC236}">
              <a16:creationId xmlns:a16="http://schemas.microsoft.com/office/drawing/2014/main" id="{DCC2A09C-574E-0D69-312E-E3B1F2E895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447675</xdr:colOff>
      <xdr:row>36</xdr:row>
      <xdr:rowOff>12700</xdr:rowOff>
    </xdr:from>
    <xdr:to>
      <xdr:col>2</xdr:col>
      <xdr:colOff>1047750</xdr:colOff>
      <xdr:row>41</xdr:row>
      <xdr:rowOff>50800</xdr:rowOff>
    </xdr:to>
    <xdr:graphicFrame macro="">
      <xdr:nvGraphicFramePr>
        <xdr:cNvPr id="3" name="Chart 2">
          <a:extLst>
            <a:ext uri="{FF2B5EF4-FFF2-40B4-BE49-F238E27FC236}">
              <a16:creationId xmlns:a16="http://schemas.microsoft.com/office/drawing/2014/main" id="{FA8E709E-4B91-2903-6BC9-704AB84DCD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15875</xdr:colOff>
      <xdr:row>39</xdr:row>
      <xdr:rowOff>76200</xdr:rowOff>
    </xdr:from>
    <xdr:to>
      <xdr:col>4</xdr:col>
      <xdr:colOff>800100</xdr:colOff>
      <xdr:row>44</xdr:row>
      <xdr:rowOff>88900</xdr:rowOff>
    </xdr:to>
    <xdr:graphicFrame macro="">
      <xdr:nvGraphicFramePr>
        <xdr:cNvPr id="4" name="Chart 3">
          <a:extLst>
            <a:ext uri="{FF2B5EF4-FFF2-40B4-BE49-F238E27FC236}">
              <a16:creationId xmlns:a16="http://schemas.microsoft.com/office/drawing/2014/main" id="{73A894EF-9D8D-77FF-236B-AC49BE9A32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1184275</xdr:colOff>
      <xdr:row>33</xdr:row>
      <xdr:rowOff>82550</xdr:rowOff>
    </xdr:from>
    <xdr:to>
      <xdr:col>4</xdr:col>
      <xdr:colOff>488950</xdr:colOff>
      <xdr:row>38</xdr:row>
      <xdr:rowOff>82550</xdr:rowOff>
    </xdr:to>
    <xdr:graphicFrame macro="">
      <xdr:nvGraphicFramePr>
        <xdr:cNvPr id="5" name="Chart 4">
          <a:extLst>
            <a:ext uri="{FF2B5EF4-FFF2-40B4-BE49-F238E27FC236}">
              <a16:creationId xmlns:a16="http://schemas.microsoft.com/office/drawing/2014/main" id="{A74FC693-BE79-952D-297A-F134BB6D2F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428625</xdr:colOff>
      <xdr:row>39</xdr:row>
      <xdr:rowOff>139700</xdr:rowOff>
    </xdr:from>
    <xdr:to>
      <xdr:col>7</xdr:col>
      <xdr:colOff>692150</xdr:colOff>
      <xdr:row>48</xdr:row>
      <xdr:rowOff>63500</xdr:rowOff>
    </xdr:to>
    <xdr:graphicFrame macro="">
      <xdr:nvGraphicFramePr>
        <xdr:cNvPr id="6" name="Chart 5">
          <a:extLst>
            <a:ext uri="{FF2B5EF4-FFF2-40B4-BE49-F238E27FC236}">
              <a16:creationId xmlns:a16="http://schemas.microsoft.com/office/drawing/2014/main" id="{14C3473F-494A-2694-D82F-235022D6C7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1006475</xdr:colOff>
      <xdr:row>62</xdr:row>
      <xdr:rowOff>50800</xdr:rowOff>
    </xdr:from>
    <xdr:to>
      <xdr:col>8</xdr:col>
      <xdr:colOff>171450</xdr:colOff>
      <xdr:row>72</xdr:row>
      <xdr:rowOff>107950</xdr:rowOff>
    </xdr:to>
    <xdr:graphicFrame macro="">
      <xdr:nvGraphicFramePr>
        <xdr:cNvPr id="7" name="Chart 6">
          <a:extLst>
            <a:ext uri="{FF2B5EF4-FFF2-40B4-BE49-F238E27FC236}">
              <a16:creationId xmlns:a16="http://schemas.microsoft.com/office/drawing/2014/main" id="{D191F407-5284-AA11-6BCF-8D23BDFC4A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21</xdr:col>
      <xdr:colOff>515686</xdr:colOff>
      <xdr:row>0</xdr:row>
      <xdr:rowOff>0</xdr:rowOff>
    </xdr:from>
    <xdr:to>
      <xdr:col>24</xdr:col>
      <xdr:colOff>518027</xdr:colOff>
      <xdr:row>7</xdr:row>
      <xdr:rowOff>142039</xdr:rowOff>
    </xdr:to>
    <xdr:sp macro="" textlink="">
      <xdr:nvSpPr>
        <xdr:cNvPr id="44" name="Rectangle 43">
          <a:extLst>
            <a:ext uri="{FF2B5EF4-FFF2-40B4-BE49-F238E27FC236}">
              <a16:creationId xmlns:a16="http://schemas.microsoft.com/office/drawing/2014/main" id="{EBA2F113-69E8-A34E-3570-4F842517FA01}"/>
            </a:ext>
          </a:extLst>
        </xdr:cNvPr>
        <xdr:cNvSpPr/>
      </xdr:nvSpPr>
      <xdr:spPr>
        <a:xfrm>
          <a:off x="13324304" y="0"/>
          <a:ext cx="1832144" cy="1428750"/>
        </a:xfrm>
        <a:prstGeom prst="rect">
          <a:avLst/>
        </a:prstGeom>
        <a:solidFill>
          <a:schemeClr val="bg1"/>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18</xdr:col>
      <xdr:colOff>338218</xdr:colOff>
      <xdr:row>0</xdr:row>
      <xdr:rowOff>37432</xdr:rowOff>
    </xdr:from>
    <xdr:to>
      <xdr:col>21</xdr:col>
      <xdr:colOff>513679</xdr:colOff>
      <xdr:row>6</xdr:row>
      <xdr:rowOff>75197</xdr:rowOff>
    </xdr:to>
    <xdr:sp macro="" textlink="">
      <xdr:nvSpPr>
        <xdr:cNvPr id="43" name="Rectangle 42">
          <a:extLst>
            <a:ext uri="{FF2B5EF4-FFF2-40B4-BE49-F238E27FC236}">
              <a16:creationId xmlns:a16="http://schemas.microsoft.com/office/drawing/2014/main" id="{7CA1A809-F595-6B65-16E2-72915BC70CA0}"/>
            </a:ext>
          </a:extLst>
        </xdr:cNvPr>
        <xdr:cNvSpPr/>
      </xdr:nvSpPr>
      <xdr:spPr>
        <a:xfrm>
          <a:off x="11317034" y="37432"/>
          <a:ext cx="2005263" cy="1140660"/>
        </a:xfrm>
        <a:prstGeom prst="rect">
          <a:avLst/>
        </a:prstGeom>
        <a:solidFill>
          <a:schemeClr val="bg1"/>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18</xdr:col>
      <xdr:colOff>333874</xdr:colOff>
      <xdr:row>6</xdr:row>
      <xdr:rowOff>66507</xdr:rowOff>
    </xdr:from>
    <xdr:to>
      <xdr:col>21</xdr:col>
      <xdr:colOff>509335</xdr:colOff>
      <xdr:row>16</xdr:row>
      <xdr:rowOff>125329</xdr:rowOff>
    </xdr:to>
    <xdr:sp macro="" textlink="">
      <xdr:nvSpPr>
        <xdr:cNvPr id="45" name="Rectangle 44">
          <a:extLst>
            <a:ext uri="{FF2B5EF4-FFF2-40B4-BE49-F238E27FC236}">
              <a16:creationId xmlns:a16="http://schemas.microsoft.com/office/drawing/2014/main" id="{6BF60F87-FEA2-90DF-2C16-282B41A9929F}"/>
            </a:ext>
          </a:extLst>
        </xdr:cNvPr>
        <xdr:cNvSpPr/>
      </xdr:nvSpPr>
      <xdr:spPr>
        <a:xfrm>
          <a:off x="11312690" y="1169402"/>
          <a:ext cx="2005263" cy="1896980"/>
        </a:xfrm>
        <a:prstGeom prst="rect">
          <a:avLst/>
        </a:prstGeom>
        <a:solidFill>
          <a:schemeClr val="bg1"/>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21</xdr:col>
      <xdr:colOff>520031</xdr:colOff>
      <xdr:row>7</xdr:row>
      <xdr:rowOff>169111</xdr:rowOff>
    </xdr:from>
    <xdr:to>
      <xdr:col>24</xdr:col>
      <xdr:colOff>551447</xdr:colOff>
      <xdr:row>17</xdr:row>
      <xdr:rowOff>8356</xdr:rowOff>
    </xdr:to>
    <xdr:sp macro="" textlink="">
      <xdr:nvSpPr>
        <xdr:cNvPr id="42" name="Rectangle 41">
          <a:extLst>
            <a:ext uri="{FF2B5EF4-FFF2-40B4-BE49-F238E27FC236}">
              <a16:creationId xmlns:a16="http://schemas.microsoft.com/office/drawing/2014/main" id="{BD62C070-D2BE-FC93-4ABF-63D77C8B3B6F}"/>
            </a:ext>
          </a:extLst>
        </xdr:cNvPr>
        <xdr:cNvSpPr/>
      </xdr:nvSpPr>
      <xdr:spPr>
        <a:xfrm>
          <a:off x="13328649" y="1455822"/>
          <a:ext cx="1861219" cy="1677402"/>
        </a:xfrm>
        <a:prstGeom prst="rect">
          <a:avLst/>
        </a:prstGeom>
        <a:solidFill>
          <a:schemeClr val="bg1"/>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18</xdr:col>
      <xdr:colOff>309143</xdr:colOff>
      <xdr:row>17</xdr:row>
      <xdr:rowOff>50131</xdr:rowOff>
    </xdr:from>
    <xdr:to>
      <xdr:col>21</xdr:col>
      <xdr:colOff>484604</xdr:colOff>
      <xdr:row>22</xdr:row>
      <xdr:rowOff>45452</xdr:rowOff>
    </xdr:to>
    <xdr:sp macro="" textlink="">
      <xdr:nvSpPr>
        <xdr:cNvPr id="40" name="Rectangle 39">
          <a:extLst>
            <a:ext uri="{FF2B5EF4-FFF2-40B4-BE49-F238E27FC236}">
              <a16:creationId xmlns:a16="http://schemas.microsoft.com/office/drawing/2014/main" id="{3668B82E-47B5-1915-5695-30725BCAE66D}"/>
            </a:ext>
          </a:extLst>
        </xdr:cNvPr>
        <xdr:cNvSpPr/>
      </xdr:nvSpPr>
      <xdr:spPr>
        <a:xfrm>
          <a:off x="11287959" y="3174999"/>
          <a:ext cx="2005263" cy="914400"/>
        </a:xfrm>
        <a:prstGeom prst="rect">
          <a:avLst/>
        </a:prstGeom>
        <a:solidFill>
          <a:schemeClr val="bg1"/>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0</xdr:colOff>
      <xdr:row>5</xdr:row>
      <xdr:rowOff>114300</xdr:rowOff>
    </xdr:from>
    <xdr:to>
      <xdr:col>6</xdr:col>
      <xdr:colOff>203200</xdr:colOff>
      <xdr:row>15</xdr:row>
      <xdr:rowOff>82550</xdr:rowOff>
    </xdr:to>
    <xdr:sp macro="" textlink="Sheet4!A15">
      <xdr:nvSpPr>
        <xdr:cNvPr id="20" name="Rectangle 19">
          <a:extLst>
            <a:ext uri="{FF2B5EF4-FFF2-40B4-BE49-F238E27FC236}">
              <a16:creationId xmlns:a16="http://schemas.microsoft.com/office/drawing/2014/main" id="{49D84966-BC3C-F1B7-CA6D-47A0DD4A0410}"/>
            </a:ext>
          </a:extLst>
        </xdr:cNvPr>
        <xdr:cNvSpPr/>
      </xdr:nvSpPr>
      <xdr:spPr>
        <a:xfrm>
          <a:off x="0" y="1035050"/>
          <a:ext cx="3860800" cy="1809750"/>
        </a:xfrm>
        <a:prstGeom prst="rect">
          <a:avLst/>
        </a:prstGeom>
        <a:solidFill>
          <a:schemeClr val="accent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endParaRPr lang="en-GB" sz="1400" b="1">
            <a:latin typeface="+mj-lt"/>
          </a:endParaRPr>
        </a:p>
      </xdr:txBody>
    </xdr:sp>
    <xdr:clientData/>
  </xdr:twoCellAnchor>
  <xdr:twoCellAnchor>
    <xdr:from>
      <xdr:col>0</xdr:col>
      <xdr:colOff>0</xdr:colOff>
      <xdr:row>5</xdr:row>
      <xdr:rowOff>127000</xdr:rowOff>
    </xdr:from>
    <xdr:to>
      <xdr:col>6</xdr:col>
      <xdr:colOff>222250</xdr:colOff>
      <xdr:row>15</xdr:row>
      <xdr:rowOff>95250</xdr:rowOff>
    </xdr:to>
    <xdr:sp macro="" textlink="Sheet4!A15">
      <xdr:nvSpPr>
        <xdr:cNvPr id="18" name="Rectangle 17">
          <a:extLst>
            <a:ext uri="{FF2B5EF4-FFF2-40B4-BE49-F238E27FC236}">
              <a16:creationId xmlns:a16="http://schemas.microsoft.com/office/drawing/2014/main" id="{1D4CE114-8EEC-9B6A-78F4-47868AAA418D}"/>
            </a:ext>
          </a:extLst>
        </xdr:cNvPr>
        <xdr:cNvSpPr/>
      </xdr:nvSpPr>
      <xdr:spPr>
        <a:xfrm>
          <a:off x="0" y="1047750"/>
          <a:ext cx="3879850" cy="1809750"/>
        </a:xfrm>
        <a:prstGeom prst="rect">
          <a:avLst/>
        </a:prstGeom>
        <a:solidFill>
          <a:schemeClr val="accent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endParaRPr lang="en-GB" sz="1400" b="1">
            <a:latin typeface="+mj-lt"/>
          </a:endParaRPr>
        </a:p>
      </xdr:txBody>
    </xdr:sp>
    <xdr:clientData/>
  </xdr:twoCellAnchor>
  <xdr:twoCellAnchor>
    <xdr:from>
      <xdr:col>0</xdr:col>
      <xdr:colOff>1</xdr:colOff>
      <xdr:row>0</xdr:row>
      <xdr:rowOff>0</xdr:rowOff>
    </xdr:from>
    <xdr:to>
      <xdr:col>18</xdr:col>
      <xdr:colOff>254000</xdr:colOff>
      <xdr:row>2</xdr:row>
      <xdr:rowOff>50800</xdr:rowOff>
    </xdr:to>
    <xdr:sp macro="" textlink="">
      <xdr:nvSpPr>
        <xdr:cNvPr id="2" name="Rectangle 1">
          <a:extLst>
            <a:ext uri="{FF2B5EF4-FFF2-40B4-BE49-F238E27FC236}">
              <a16:creationId xmlns:a16="http://schemas.microsoft.com/office/drawing/2014/main" id="{D9EDC728-AF2C-2101-0336-DB38AF51E9D7}"/>
            </a:ext>
          </a:extLst>
        </xdr:cNvPr>
        <xdr:cNvSpPr/>
      </xdr:nvSpPr>
      <xdr:spPr>
        <a:xfrm>
          <a:off x="1" y="0"/>
          <a:ext cx="11194142" cy="413657"/>
        </a:xfrm>
        <a:prstGeom prst="rect">
          <a:avLst/>
        </a:prstGeom>
        <a:solidFill>
          <a:srgbClr val="16769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oneCellAnchor>
    <xdr:from>
      <xdr:col>6</xdr:col>
      <xdr:colOff>273049</xdr:colOff>
      <xdr:row>0</xdr:row>
      <xdr:rowOff>76200</xdr:rowOff>
    </xdr:from>
    <xdr:ext cx="5007477" cy="336550"/>
    <xdr:sp macro="" textlink="">
      <xdr:nvSpPr>
        <xdr:cNvPr id="3" name="TextBox 2">
          <a:extLst>
            <a:ext uri="{FF2B5EF4-FFF2-40B4-BE49-F238E27FC236}">
              <a16:creationId xmlns:a16="http://schemas.microsoft.com/office/drawing/2014/main" id="{B1E76BCB-604F-7B06-E80C-C902148F4782}"/>
            </a:ext>
          </a:extLst>
        </xdr:cNvPr>
        <xdr:cNvSpPr txBox="1"/>
      </xdr:nvSpPr>
      <xdr:spPr>
        <a:xfrm>
          <a:off x="3932654" y="76200"/>
          <a:ext cx="5007477" cy="3365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lang="en-GB" sz="2000" b="1">
              <a:solidFill>
                <a:schemeClr val="bg1"/>
              </a:solidFill>
              <a:latin typeface="Georgia" panose="02040502050405020303" pitchFamily="18" charset="0"/>
            </a:rPr>
            <a:t>WILSON HEALTH DATA</a:t>
          </a:r>
          <a:r>
            <a:rPr lang="en-GB" sz="2000" b="1" baseline="0">
              <a:solidFill>
                <a:schemeClr val="bg1"/>
              </a:solidFill>
              <a:latin typeface="Georgia" panose="02040502050405020303" pitchFamily="18" charset="0"/>
            </a:rPr>
            <a:t> ANALYSIS</a:t>
          </a:r>
          <a:endParaRPr lang="en-GB" sz="2000" b="1">
            <a:solidFill>
              <a:schemeClr val="bg1"/>
            </a:solidFill>
            <a:latin typeface="Georgia" panose="02040502050405020303" pitchFamily="18" charset="0"/>
          </a:endParaRPr>
        </a:p>
      </xdr:txBody>
    </xdr:sp>
    <xdr:clientData/>
  </xdr:oneCellAnchor>
  <xdr:oneCellAnchor>
    <xdr:from>
      <xdr:col>11</xdr:col>
      <xdr:colOff>260350</xdr:colOff>
      <xdr:row>4</xdr:row>
      <xdr:rowOff>146050</xdr:rowOff>
    </xdr:from>
    <xdr:ext cx="1098550" cy="400050"/>
    <xdr:sp macro="" textlink="">
      <xdr:nvSpPr>
        <xdr:cNvPr id="4" name="TextBox 3">
          <a:extLst>
            <a:ext uri="{FF2B5EF4-FFF2-40B4-BE49-F238E27FC236}">
              <a16:creationId xmlns:a16="http://schemas.microsoft.com/office/drawing/2014/main" id="{EA70FD1C-FF3A-31A0-8C26-16DFE3325607}"/>
            </a:ext>
          </a:extLst>
        </xdr:cNvPr>
        <xdr:cNvSpPr txBox="1"/>
      </xdr:nvSpPr>
      <xdr:spPr>
        <a:xfrm>
          <a:off x="6965950" y="882650"/>
          <a:ext cx="1098550" cy="4000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GB" sz="1100"/>
        </a:p>
      </xdr:txBody>
    </xdr:sp>
    <xdr:clientData/>
  </xdr:oneCellAnchor>
  <xdr:twoCellAnchor>
    <xdr:from>
      <xdr:col>0</xdr:col>
      <xdr:colOff>18141</xdr:colOff>
      <xdr:row>2</xdr:row>
      <xdr:rowOff>72572</xdr:rowOff>
    </xdr:from>
    <xdr:to>
      <xdr:col>2</xdr:col>
      <xdr:colOff>535215</xdr:colOff>
      <xdr:row>5</xdr:row>
      <xdr:rowOff>104322</xdr:rowOff>
    </xdr:to>
    <xdr:sp macro="" textlink="Sheet4!A4">
      <xdr:nvSpPr>
        <xdr:cNvPr id="5" name="Rectangle 4">
          <a:extLst>
            <a:ext uri="{FF2B5EF4-FFF2-40B4-BE49-F238E27FC236}">
              <a16:creationId xmlns:a16="http://schemas.microsoft.com/office/drawing/2014/main" id="{83DA2CDC-DCF6-FAAB-C124-82E94BFD2C17}"/>
            </a:ext>
          </a:extLst>
        </xdr:cNvPr>
        <xdr:cNvSpPr/>
      </xdr:nvSpPr>
      <xdr:spPr>
        <a:xfrm>
          <a:off x="18141" y="435429"/>
          <a:ext cx="1732645" cy="576036"/>
        </a:xfrm>
        <a:prstGeom prst="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C65DEF4-1297-4ECF-A65C-0320BE25A146}" type="TxLink">
            <a:rPr lang="en-US" sz="1400" b="1" i="0" u="none" strike="noStrike">
              <a:solidFill>
                <a:srgbClr val="000000"/>
              </a:solidFill>
              <a:latin typeface="Calibri"/>
              <a:ea typeface="Calibri"/>
              <a:cs typeface="Calibri"/>
            </a:rPr>
            <a:pPr algn="ctr"/>
            <a:t>766</a:t>
          </a:fld>
          <a:endParaRPr lang="en-GB" sz="1400" b="1">
            <a:latin typeface="+mj-lt"/>
          </a:endParaRPr>
        </a:p>
      </xdr:txBody>
    </xdr:sp>
    <xdr:clientData/>
  </xdr:twoCellAnchor>
  <xdr:oneCellAnchor>
    <xdr:from>
      <xdr:col>0</xdr:col>
      <xdr:colOff>36286</xdr:colOff>
      <xdr:row>1</xdr:row>
      <xdr:rowOff>172356</xdr:rowOff>
    </xdr:from>
    <xdr:ext cx="1796143" cy="326572"/>
    <xdr:sp macro="" textlink="">
      <xdr:nvSpPr>
        <xdr:cNvPr id="6" name="TextBox 5">
          <a:extLst>
            <a:ext uri="{FF2B5EF4-FFF2-40B4-BE49-F238E27FC236}">
              <a16:creationId xmlns:a16="http://schemas.microsoft.com/office/drawing/2014/main" id="{8CAAD911-69B1-FE0A-28EC-FD8B55CDFEE6}"/>
            </a:ext>
          </a:extLst>
        </xdr:cNvPr>
        <xdr:cNvSpPr txBox="1"/>
      </xdr:nvSpPr>
      <xdr:spPr>
        <a:xfrm>
          <a:off x="36286" y="353785"/>
          <a:ext cx="1796143" cy="3265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noAutofit/>
        </a:bodyPr>
        <a:lstStyle/>
        <a:p>
          <a:pPr algn="ctr"/>
          <a:r>
            <a:rPr lang="en-GB" sz="1200" b="1"/>
            <a:t>Total Customers</a:t>
          </a:r>
        </a:p>
      </xdr:txBody>
    </xdr:sp>
    <xdr:clientData/>
  </xdr:oneCellAnchor>
  <xdr:oneCellAnchor>
    <xdr:from>
      <xdr:col>10</xdr:col>
      <xdr:colOff>50800</xdr:colOff>
      <xdr:row>6</xdr:row>
      <xdr:rowOff>82550</xdr:rowOff>
    </xdr:from>
    <xdr:ext cx="596900" cy="406400"/>
    <xdr:sp macro="" textlink="Sheet4!A4">
      <xdr:nvSpPr>
        <xdr:cNvPr id="7" name="TextBox 6">
          <a:extLst>
            <a:ext uri="{FF2B5EF4-FFF2-40B4-BE49-F238E27FC236}">
              <a16:creationId xmlns:a16="http://schemas.microsoft.com/office/drawing/2014/main" id="{41DFCA00-D408-2BFC-56A8-297106DB4960}"/>
            </a:ext>
          </a:extLst>
        </xdr:cNvPr>
        <xdr:cNvSpPr txBox="1"/>
      </xdr:nvSpPr>
      <xdr:spPr>
        <a:xfrm>
          <a:off x="6146800" y="1187450"/>
          <a:ext cx="596900" cy="406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GB" sz="1100"/>
        </a:p>
      </xdr:txBody>
    </xdr:sp>
    <xdr:clientData/>
  </xdr:oneCellAnchor>
  <xdr:oneCellAnchor>
    <xdr:from>
      <xdr:col>8</xdr:col>
      <xdr:colOff>582083</xdr:colOff>
      <xdr:row>3</xdr:row>
      <xdr:rowOff>160867</xdr:rowOff>
    </xdr:from>
    <xdr:ext cx="1289050" cy="279400"/>
    <xdr:sp macro="" textlink="">
      <xdr:nvSpPr>
        <xdr:cNvPr id="8" name="TextBox 7">
          <a:extLst>
            <a:ext uri="{FF2B5EF4-FFF2-40B4-BE49-F238E27FC236}">
              <a16:creationId xmlns:a16="http://schemas.microsoft.com/office/drawing/2014/main" id="{F6FBA72B-2971-5A77-FAE7-89D57E9B978A}"/>
            </a:ext>
          </a:extLst>
        </xdr:cNvPr>
        <xdr:cNvSpPr txBox="1"/>
      </xdr:nvSpPr>
      <xdr:spPr>
        <a:xfrm>
          <a:off x="5458883" y="719667"/>
          <a:ext cx="1289050" cy="279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lang="en-GB" sz="1400" b="1">
              <a:solidFill>
                <a:schemeClr val="bg1"/>
              </a:solidFill>
              <a:latin typeface="Georgia" panose="02040502050405020303" pitchFamily="18" charset="0"/>
            </a:rPr>
            <a:t>TtT HECCALTH DATA</a:t>
          </a:r>
          <a:r>
            <a:rPr lang="en-GB" sz="1400" b="1" baseline="0">
              <a:solidFill>
                <a:schemeClr val="bg1"/>
              </a:solidFill>
              <a:latin typeface="Georgia" panose="02040502050405020303" pitchFamily="18" charset="0"/>
            </a:rPr>
            <a:t> ANALYSIS</a:t>
          </a:r>
          <a:endParaRPr lang="en-GB" sz="1400" b="1">
            <a:solidFill>
              <a:schemeClr val="bg1"/>
            </a:solidFill>
            <a:latin typeface="Georgia" panose="02040502050405020303" pitchFamily="18" charset="0"/>
          </a:endParaRPr>
        </a:p>
      </xdr:txBody>
    </xdr:sp>
    <xdr:clientData/>
  </xdr:oneCellAnchor>
  <xdr:oneCellAnchor>
    <xdr:from>
      <xdr:col>7</xdr:col>
      <xdr:colOff>508000</xdr:colOff>
      <xdr:row>1</xdr:row>
      <xdr:rowOff>57150</xdr:rowOff>
    </xdr:from>
    <xdr:ext cx="3562350" cy="336550"/>
    <xdr:sp macro="" textlink="">
      <xdr:nvSpPr>
        <xdr:cNvPr id="9" name="TextBox 8">
          <a:extLst>
            <a:ext uri="{FF2B5EF4-FFF2-40B4-BE49-F238E27FC236}">
              <a16:creationId xmlns:a16="http://schemas.microsoft.com/office/drawing/2014/main" id="{4D798C9C-582C-A380-AC14-22E0C3812E2C}"/>
            </a:ext>
          </a:extLst>
        </xdr:cNvPr>
        <xdr:cNvSpPr txBox="1"/>
      </xdr:nvSpPr>
      <xdr:spPr>
        <a:xfrm>
          <a:off x="4775200" y="241300"/>
          <a:ext cx="3562350" cy="3365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endParaRPr lang="en-GB" sz="1400" b="1">
            <a:solidFill>
              <a:schemeClr val="bg1"/>
            </a:solidFill>
            <a:latin typeface="Georgia" panose="02040502050405020303" pitchFamily="18" charset="0"/>
          </a:endParaRPr>
        </a:p>
      </xdr:txBody>
    </xdr:sp>
    <xdr:clientData/>
  </xdr:oneCellAnchor>
  <xdr:twoCellAnchor>
    <xdr:from>
      <xdr:col>2</xdr:col>
      <xdr:colOff>562430</xdr:colOff>
      <xdr:row>2</xdr:row>
      <xdr:rowOff>60778</xdr:rowOff>
    </xdr:from>
    <xdr:to>
      <xdr:col>5</xdr:col>
      <xdr:colOff>462642</xdr:colOff>
      <xdr:row>5</xdr:row>
      <xdr:rowOff>126999</xdr:rowOff>
    </xdr:to>
    <xdr:sp macro="" textlink="Sheet4!A7">
      <xdr:nvSpPr>
        <xdr:cNvPr id="10" name="Rectangle 9">
          <a:extLst>
            <a:ext uri="{FF2B5EF4-FFF2-40B4-BE49-F238E27FC236}">
              <a16:creationId xmlns:a16="http://schemas.microsoft.com/office/drawing/2014/main" id="{5935693F-B9A4-ACF8-E0D3-C79CD3AFBEB6}"/>
            </a:ext>
          </a:extLst>
        </xdr:cNvPr>
        <xdr:cNvSpPr/>
      </xdr:nvSpPr>
      <xdr:spPr>
        <a:xfrm>
          <a:off x="1778001" y="423635"/>
          <a:ext cx="1723570" cy="610507"/>
        </a:xfrm>
        <a:prstGeom prst="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A274D58-0E35-4A7A-9F74-4B473A56BDAC}" type="TxLink">
            <a:rPr lang="en-US" sz="1400" b="1" i="0" u="none" strike="noStrike">
              <a:solidFill>
                <a:srgbClr val="000000"/>
              </a:solidFill>
              <a:latin typeface="+mj-lt"/>
              <a:ea typeface="Calibri"/>
              <a:cs typeface="Calibri"/>
            </a:rPr>
            <a:pPr algn="ctr"/>
            <a:t>£19,886,784.59</a:t>
          </a:fld>
          <a:endParaRPr lang="en-GB" sz="1400" b="1">
            <a:latin typeface="+mj-lt"/>
          </a:endParaRPr>
        </a:p>
      </xdr:txBody>
    </xdr:sp>
    <xdr:clientData/>
  </xdr:twoCellAnchor>
  <xdr:oneCellAnchor>
    <xdr:from>
      <xdr:col>2</xdr:col>
      <xdr:colOff>508000</xdr:colOff>
      <xdr:row>2</xdr:row>
      <xdr:rowOff>80736</xdr:rowOff>
    </xdr:from>
    <xdr:ext cx="1832429" cy="254907"/>
    <xdr:sp macro="" textlink="">
      <xdr:nvSpPr>
        <xdr:cNvPr id="11" name="TextBox 10">
          <a:extLst>
            <a:ext uri="{FF2B5EF4-FFF2-40B4-BE49-F238E27FC236}">
              <a16:creationId xmlns:a16="http://schemas.microsoft.com/office/drawing/2014/main" id="{6B1DBD7F-8469-C835-B7DA-1A21F428564A}"/>
            </a:ext>
          </a:extLst>
        </xdr:cNvPr>
        <xdr:cNvSpPr txBox="1"/>
      </xdr:nvSpPr>
      <xdr:spPr>
        <a:xfrm>
          <a:off x="1723571" y="443593"/>
          <a:ext cx="1832429" cy="2549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noAutofit/>
        </a:bodyPr>
        <a:lstStyle/>
        <a:p>
          <a:pPr algn="ctr"/>
          <a:r>
            <a:rPr lang="en-GB" sz="1200" b="1"/>
            <a:t>Total Revenue</a:t>
          </a:r>
        </a:p>
      </xdr:txBody>
    </xdr:sp>
    <xdr:clientData/>
  </xdr:oneCellAnchor>
  <xdr:twoCellAnchor>
    <xdr:from>
      <xdr:col>5</xdr:col>
      <xdr:colOff>480784</xdr:colOff>
      <xdr:row>2</xdr:row>
      <xdr:rowOff>51707</xdr:rowOff>
    </xdr:from>
    <xdr:to>
      <xdr:col>9</xdr:col>
      <xdr:colOff>63500</xdr:colOff>
      <xdr:row>5</xdr:row>
      <xdr:rowOff>136070</xdr:rowOff>
    </xdr:to>
    <xdr:sp macro="" textlink="Sheet4!A11">
      <xdr:nvSpPr>
        <xdr:cNvPr id="12" name="Rectangle 11">
          <a:extLst>
            <a:ext uri="{FF2B5EF4-FFF2-40B4-BE49-F238E27FC236}">
              <a16:creationId xmlns:a16="http://schemas.microsoft.com/office/drawing/2014/main" id="{B9EC2CD0-EEC3-5E7C-5686-A89F150D9097}"/>
            </a:ext>
          </a:extLst>
        </xdr:cNvPr>
        <xdr:cNvSpPr/>
      </xdr:nvSpPr>
      <xdr:spPr>
        <a:xfrm>
          <a:off x="3519713" y="414564"/>
          <a:ext cx="2013858" cy="628649"/>
        </a:xfrm>
        <a:prstGeom prst="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F46BC38-32F6-49C2-81C6-9A2C8C6593B7}" type="TxLink">
            <a:rPr lang="en-US" sz="1400" b="1" i="0" u="none" strike="noStrike">
              <a:solidFill>
                <a:srgbClr val="000000"/>
              </a:solidFill>
              <a:latin typeface="+mj-lt"/>
              <a:ea typeface="Calibri"/>
              <a:cs typeface="Calibri"/>
            </a:rPr>
            <a:pPr algn="ctr"/>
            <a:t>7</a:t>
          </a:fld>
          <a:endParaRPr lang="en-GB" sz="1400" b="1">
            <a:latin typeface="+mj-lt"/>
          </a:endParaRPr>
        </a:p>
      </xdr:txBody>
    </xdr:sp>
    <xdr:clientData/>
  </xdr:twoCellAnchor>
  <xdr:oneCellAnchor>
    <xdr:from>
      <xdr:col>5</xdr:col>
      <xdr:colOff>435427</xdr:colOff>
      <xdr:row>2</xdr:row>
      <xdr:rowOff>108857</xdr:rowOff>
    </xdr:from>
    <xdr:ext cx="2041073" cy="226786"/>
    <xdr:sp macro="" textlink="">
      <xdr:nvSpPr>
        <xdr:cNvPr id="13" name="TextBox 12">
          <a:extLst>
            <a:ext uri="{FF2B5EF4-FFF2-40B4-BE49-F238E27FC236}">
              <a16:creationId xmlns:a16="http://schemas.microsoft.com/office/drawing/2014/main" id="{E7B2E235-9DD2-3E1F-990A-239CAACAEEFA}"/>
            </a:ext>
          </a:extLst>
        </xdr:cNvPr>
        <xdr:cNvSpPr txBox="1"/>
      </xdr:nvSpPr>
      <xdr:spPr>
        <a:xfrm>
          <a:off x="3474356" y="471714"/>
          <a:ext cx="2041073" cy="22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noAutofit/>
        </a:bodyPr>
        <a:lstStyle/>
        <a:p>
          <a:pPr algn="ctr"/>
          <a:r>
            <a:rPr lang="en-GB" sz="1200" b="1"/>
            <a:t>Average Admission Days</a:t>
          </a:r>
        </a:p>
      </xdr:txBody>
    </xdr:sp>
    <xdr:clientData/>
  </xdr:oneCellAnchor>
  <xdr:twoCellAnchor>
    <xdr:from>
      <xdr:col>9</xdr:col>
      <xdr:colOff>81644</xdr:colOff>
      <xdr:row>2</xdr:row>
      <xdr:rowOff>54427</xdr:rowOff>
    </xdr:from>
    <xdr:to>
      <xdr:col>12</xdr:col>
      <xdr:colOff>54428</xdr:colOff>
      <xdr:row>5</xdr:row>
      <xdr:rowOff>145142</xdr:rowOff>
    </xdr:to>
    <xdr:sp macro="" textlink="Sheet4!A15">
      <xdr:nvSpPr>
        <xdr:cNvPr id="14" name="Rectangle 13">
          <a:extLst>
            <a:ext uri="{FF2B5EF4-FFF2-40B4-BE49-F238E27FC236}">
              <a16:creationId xmlns:a16="http://schemas.microsoft.com/office/drawing/2014/main" id="{E2B7C79B-0CD4-714A-0E56-A6B1CDD19544}"/>
            </a:ext>
          </a:extLst>
        </xdr:cNvPr>
        <xdr:cNvSpPr/>
      </xdr:nvSpPr>
      <xdr:spPr>
        <a:xfrm>
          <a:off x="5551715" y="417284"/>
          <a:ext cx="1796142" cy="635001"/>
        </a:xfrm>
        <a:prstGeom prst="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AC60C82-0D8D-4776-BA0E-74C2C2BAA49A}" type="TxLink">
            <a:rPr lang="en-US" sz="1400" b="1" i="0" u="none" strike="noStrike">
              <a:solidFill>
                <a:srgbClr val="000000"/>
              </a:solidFill>
              <a:latin typeface="+mj-lt"/>
              <a:ea typeface="Calibri"/>
              <a:cs typeface="Calibri"/>
            </a:rPr>
            <a:pPr algn="ctr"/>
            <a:t>£25,961.86</a:t>
          </a:fld>
          <a:endParaRPr lang="en-GB" sz="1400" b="1">
            <a:latin typeface="+mj-lt"/>
          </a:endParaRPr>
        </a:p>
      </xdr:txBody>
    </xdr:sp>
    <xdr:clientData/>
  </xdr:twoCellAnchor>
  <xdr:oneCellAnchor>
    <xdr:from>
      <xdr:col>9</xdr:col>
      <xdr:colOff>90715</xdr:colOff>
      <xdr:row>2</xdr:row>
      <xdr:rowOff>127000</xdr:rowOff>
    </xdr:from>
    <xdr:ext cx="1723570" cy="190500"/>
    <xdr:sp macro="" textlink="">
      <xdr:nvSpPr>
        <xdr:cNvPr id="15" name="TextBox 14">
          <a:extLst>
            <a:ext uri="{FF2B5EF4-FFF2-40B4-BE49-F238E27FC236}">
              <a16:creationId xmlns:a16="http://schemas.microsoft.com/office/drawing/2014/main" id="{6FAAFD7A-8365-E241-89C5-C160DF8D70F9}"/>
            </a:ext>
          </a:extLst>
        </xdr:cNvPr>
        <xdr:cNvSpPr txBox="1"/>
      </xdr:nvSpPr>
      <xdr:spPr>
        <a:xfrm flipH="1">
          <a:off x="5560786" y="489857"/>
          <a:ext cx="1723570" cy="190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noAutofit/>
        </a:bodyPr>
        <a:lstStyle/>
        <a:p>
          <a:pPr algn="ctr"/>
          <a:r>
            <a:rPr lang="en-GB" sz="1200" b="1"/>
            <a:t>Average</a:t>
          </a:r>
          <a:r>
            <a:rPr lang="en-GB" sz="1200" b="1" baseline="0"/>
            <a:t> Billing Amount</a:t>
          </a:r>
          <a:endParaRPr lang="en-GB" sz="1200" b="1"/>
        </a:p>
      </xdr:txBody>
    </xdr:sp>
    <xdr:clientData/>
  </xdr:oneCellAnchor>
  <xdr:twoCellAnchor>
    <xdr:from>
      <xdr:col>0</xdr:col>
      <xdr:colOff>0</xdr:colOff>
      <xdr:row>5</xdr:row>
      <xdr:rowOff>127000</xdr:rowOff>
    </xdr:from>
    <xdr:to>
      <xdr:col>6</xdr:col>
      <xdr:colOff>215900</xdr:colOff>
      <xdr:row>15</xdr:row>
      <xdr:rowOff>114300</xdr:rowOff>
    </xdr:to>
    <xdr:graphicFrame macro="">
      <xdr:nvGraphicFramePr>
        <xdr:cNvPr id="16" name="Chart 15">
          <a:extLst>
            <a:ext uri="{FF2B5EF4-FFF2-40B4-BE49-F238E27FC236}">
              <a16:creationId xmlns:a16="http://schemas.microsoft.com/office/drawing/2014/main" id="{ADE9441A-EB72-4AE5-BA34-DBA63042C0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241300</xdr:colOff>
      <xdr:row>5</xdr:row>
      <xdr:rowOff>127000</xdr:rowOff>
    </xdr:from>
    <xdr:to>
      <xdr:col>12</xdr:col>
      <xdr:colOff>44450</xdr:colOff>
      <xdr:row>15</xdr:row>
      <xdr:rowOff>133349</xdr:rowOff>
    </xdr:to>
    <xdr:graphicFrame macro="">
      <xdr:nvGraphicFramePr>
        <xdr:cNvPr id="21" name="Chart 20">
          <a:extLst>
            <a:ext uri="{FF2B5EF4-FFF2-40B4-BE49-F238E27FC236}">
              <a16:creationId xmlns:a16="http://schemas.microsoft.com/office/drawing/2014/main" id="{2F857731-11BA-447A-9863-60288CDD5B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15</xdr:row>
      <xdr:rowOff>139700</xdr:rowOff>
    </xdr:from>
    <xdr:to>
      <xdr:col>6</xdr:col>
      <xdr:colOff>215900</xdr:colOff>
      <xdr:row>26</xdr:row>
      <xdr:rowOff>69850</xdr:rowOff>
    </xdr:to>
    <xdr:graphicFrame macro="">
      <xdr:nvGraphicFramePr>
        <xdr:cNvPr id="22" name="Chart 21">
          <a:extLst>
            <a:ext uri="{FF2B5EF4-FFF2-40B4-BE49-F238E27FC236}">
              <a16:creationId xmlns:a16="http://schemas.microsoft.com/office/drawing/2014/main" id="{ACDB800B-C155-4A8E-BB61-0598CF393E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235858</xdr:colOff>
      <xdr:row>15</xdr:row>
      <xdr:rowOff>165100</xdr:rowOff>
    </xdr:from>
    <xdr:to>
      <xdr:col>12</xdr:col>
      <xdr:colOff>57151</xdr:colOff>
      <xdr:row>26</xdr:row>
      <xdr:rowOff>88900</xdr:rowOff>
    </xdr:to>
    <xdr:graphicFrame macro="">
      <xdr:nvGraphicFramePr>
        <xdr:cNvPr id="23" name="Chart 22">
          <a:extLst>
            <a:ext uri="{FF2B5EF4-FFF2-40B4-BE49-F238E27FC236}">
              <a16:creationId xmlns:a16="http://schemas.microsoft.com/office/drawing/2014/main" id="{43D48B70-250A-45C0-9FBC-BE0D878937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76200</xdr:colOff>
      <xdr:row>5</xdr:row>
      <xdr:rowOff>152400</xdr:rowOff>
    </xdr:from>
    <xdr:to>
      <xdr:col>18</xdr:col>
      <xdr:colOff>247650</xdr:colOff>
      <xdr:row>15</xdr:row>
      <xdr:rowOff>139700</xdr:rowOff>
    </xdr:to>
    <xdr:graphicFrame macro="">
      <xdr:nvGraphicFramePr>
        <xdr:cNvPr id="24" name="Chart 23">
          <a:extLst>
            <a:ext uri="{FF2B5EF4-FFF2-40B4-BE49-F238E27FC236}">
              <a16:creationId xmlns:a16="http://schemas.microsoft.com/office/drawing/2014/main" id="{7FEBBDC0-96C9-4A09-B99B-D2DBDFBBD4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72572</xdr:colOff>
      <xdr:row>15</xdr:row>
      <xdr:rowOff>165100</xdr:rowOff>
    </xdr:from>
    <xdr:to>
      <xdr:col>18</xdr:col>
      <xdr:colOff>266700</xdr:colOff>
      <xdr:row>26</xdr:row>
      <xdr:rowOff>114300</xdr:rowOff>
    </xdr:to>
    <xdr:graphicFrame macro="">
      <xdr:nvGraphicFramePr>
        <xdr:cNvPr id="25" name="Chart 24">
          <a:extLst>
            <a:ext uri="{FF2B5EF4-FFF2-40B4-BE49-F238E27FC236}">
              <a16:creationId xmlns:a16="http://schemas.microsoft.com/office/drawing/2014/main" id="{2BEAD861-9339-4E72-8151-FA5D305DF7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57151</xdr:colOff>
      <xdr:row>0</xdr:row>
      <xdr:rowOff>6350</xdr:rowOff>
    </xdr:from>
    <xdr:to>
      <xdr:col>1</xdr:col>
      <xdr:colOff>19050</xdr:colOff>
      <xdr:row>2</xdr:row>
      <xdr:rowOff>43114</xdr:rowOff>
    </xdr:to>
    <xdr:pic>
      <xdr:nvPicPr>
        <xdr:cNvPr id="26" name="Picture 25">
          <a:extLst>
            <a:ext uri="{FF2B5EF4-FFF2-40B4-BE49-F238E27FC236}">
              <a16:creationId xmlns:a16="http://schemas.microsoft.com/office/drawing/2014/main" id="{6A1827B7-1F32-D645-6313-5762846A71D8}"/>
            </a:ext>
          </a:extLst>
        </xdr:cNvPr>
        <xdr:cNvPicPr>
          <a:picLocks noChangeAspect="1"/>
        </xdr:cNvPicPr>
      </xdr:nvPicPr>
      <xdr:blipFill>
        <a:blip xmlns:r="http://schemas.openxmlformats.org/officeDocument/2006/relationships" r:embed="rId7"/>
        <a:stretch>
          <a:fillRect/>
        </a:stretch>
      </xdr:blipFill>
      <xdr:spPr>
        <a:xfrm>
          <a:off x="57151" y="6350"/>
          <a:ext cx="571499" cy="405064"/>
        </a:xfrm>
        <a:prstGeom prst="rect">
          <a:avLst/>
        </a:prstGeom>
      </xdr:spPr>
    </xdr:pic>
    <xdr:clientData/>
  </xdr:twoCellAnchor>
  <xdr:twoCellAnchor editAs="oneCell">
    <xdr:from>
      <xdr:col>17</xdr:col>
      <xdr:colOff>323851</xdr:colOff>
      <xdr:row>0</xdr:row>
      <xdr:rowOff>12700</xdr:rowOff>
    </xdr:from>
    <xdr:to>
      <xdr:col>18</xdr:col>
      <xdr:colOff>285750</xdr:colOff>
      <xdr:row>2</xdr:row>
      <xdr:rowOff>49464</xdr:rowOff>
    </xdr:to>
    <xdr:pic>
      <xdr:nvPicPr>
        <xdr:cNvPr id="27" name="Picture 26">
          <a:extLst>
            <a:ext uri="{FF2B5EF4-FFF2-40B4-BE49-F238E27FC236}">
              <a16:creationId xmlns:a16="http://schemas.microsoft.com/office/drawing/2014/main" id="{B80D6826-7920-CAC1-AD8A-885671CB1313}"/>
            </a:ext>
          </a:extLst>
        </xdr:cNvPr>
        <xdr:cNvPicPr>
          <a:picLocks noChangeAspect="1"/>
        </xdr:cNvPicPr>
      </xdr:nvPicPr>
      <xdr:blipFill>
        <a:blip xmlns:r="http://schemas.openxmlformats.org/officeDocument/2006/relationships" r:embed="rId7"/>
        <a:stretch>
          <a:fillRect/>
        </a:stretch>
      </xdr:blipFill>
      <xdr:spPr>
        <a:xfrm>
          <a:off x="10656208" y="12700"/>
          <a:ext cx="569685" cy="399621"/>
        </a:xfrm>
        <a:prstGeom prst="rect">
          <a:avLst/>
        </a:prstGeom>
      </xdr:spPr>
    </xdr:pic>
    <xdr:clientData/>
  </xdr:twoCellAnchor>
  <xdr:twoCellAnchor>
    <xdr:from>
      <xdr:col>12</xdr:col>
      <xdr:colOff>72571</xdr:colOff>
      <xdr:row>2</xdr:row>
      <xdr:rowOff>58664</xdr:rowOff>
    </xdr:from>
    <xdr:to>
      <xdr:col>15</xdr:col>
      <xdr:colOff>117927</xdr:colOff>
      <xdr:row>5</xdr:row>
      <xdr:rowOff>145143</xdr:rowOff>
    </xdr:to>
    <xdr:sp macro="" textlink="Sheet4!B49">
      <xdr:nvSpPr>
        <xdr:cNvPr id="29" name="Rectangle 28">
          <a:extLst>
            <a:ext uri="{FF2B5EF4-FFF2-40B4-BE49-F238E27FC236}">
              <a16:creationId xmlns:a16="http://schemas.microsoft.com/office/drawing/2014/main" id="{7F75D286-ABCB-B160-E4BB-2C01CCC5326D}"/>
            </a:ext>
          </a:extLst>
        </xdr:cNvPr>
        <xdr:cNvSpPr/>
      </xdr:nvSpPr>
      <xdr:spPr>
        <a:xfrm>
          <a:off x="7366000" y="421521"/>
          <a:ext cx="1868713" cy="630765"/>
        </a:xfrm>
        <a:prstGeom prst="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0128AF9-72D3-4468-B5D8-FDBB892CAAC5}" type="TxLink">
            <a:rPr lang="en-US" sz="1400" b="1" i="0" u="none" strike="noStrike">
              <a:solidFill>
                <a:srgbClr val="000000"/>
              </a:solidFill>
              <a:latin typeface="Calibri"/>
              <a:ea typeface="Calibri"/>
              <a:cs typeface="Calibri"/>
            </a:rPr>
            <a:pPr algn="ctr"/>
            <a:t>Cancer</a:t>
          </a:fld>
          <a:endParaRPr lang="en-US" sz="1400" b="1" i="0" u="none" strike="noStrike">
            <a:solidFill>
              <a:srgbClr val="000000"/>
            </a:solidFill>
            <a:latin typeface="+mj-lt"/>
            <a:ea typeface="Calibri"/>
            <a:cs typeface="Calibri"/>
          </a:endParaRPr>
        </a:p>
      </xdr:txBody>
    </xdr:sp>
    <xdr:clientData/>
  </xdr:twoCellAnchor>
  <xdr:oneCellAnchor>
    <xdr:from>
      <xdr:col>12</xdr:col>
      <xdr:colOff>99785</xdr:colOff>
      <xdr:row>1</xdr:row>
      <xdr:rowOff>163286</xdr:rowOff>
    </xdr:from>
    <xdr:ext cx="1886857" cy="381000"/>
    <xdr:sp macro="" textlink="">
      <xdr:nvSpPr>
        <xdr:cNvPr id="31" name="TextBox 30">
          <a:extLst>
            <a:ext uri="{FF2B5EF4-FFF2-40B4-BE49-F238E27FC236}">
              <a16:creationId xmlns:a16="http://schemas.microsoft.com/office/drawing/2014/main" id="{B659D515-03ED-06B3-7721-5ABCB176271A}"/>
            </a:ext>
          </a:extLst>
        </xdr:cNvPr>
        <xdr:cNvSpPr txBox="1"/>
      </xdr:nvSpPr>
      <xdr:spPr>
        <a:xfrm flipH="1">
          <a:off x="7393214" y="344715"/>
          <a:ext cx="1886857"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noAutofit/>
        </a:bodyPr>
        <a:lstStyle/>
        <a:p>
          <a:pPr algn="ctr"/>
          <a:r>
            <a:rPr lang="en-GB" sz="1200" b="1"/>
            <a:t>Most</a:t>
          </a:r>
          <a:r>
            <a:rPr lang="en-GB" sz="1200" b="1" baseline="0"/>
            <a:t> Common Condition</a:t>
          </a:r>
          <a:endParaRPr lang="en-GB" sz="1200" b="1"/>
        </a:p>
      </xdr:txBody>
    </xdr:sp>
    <xdr:clientData/>
  </xdr:oneCellAnchor>
  <xdr:twoCellAnchor>
    <xdr:from>
      <xdr:col>15</xdr:col>
      <xdr:colOff>136071</xdr:colOff>
      <xdr:row>2</xdr:row>
      <xdr:rowOff>58662</xdr:rowOff>
    </xdr:from>
    <xdr:to>
      <xdr:col>18</xdr:col>
      <xdr:colOff>263071</xdr:colOff>
      <xdr:row>6</xdr:row>
      <xdr:rowOff>0</xdr:rowOff>
    </xdr:to>
    <xdr:sp macro="" textlink="Sheet4!B46">
      <xdr:nvSpPr>
        <xdr:cNvPr id="32" name="Rectangle 31">
          <a:extLst>
            <a:ext uri="{FF2B5EF4-FFF2-40B4-BE49-F238E27FC236}">
              <a16:creationId xmlns:a16="http://schemas.microsoft.com/office/drawing/2014/main" id="{9343DD75-C690-A22C-B925-CA62F6D54057}"/>
            </a:ext>
          </a:extLst>
        </xdr:cNvPr>
        <xdr:cNvSpPr/>
      </xdr:nvSpPr>
      <xdr:spPr>
        <a:xfrm>
          <a:off x="9252857" y="421519"/>
          <a:ext cx="1950357" cy="667052"/>
        </a:xfrm>
        <a:prstGeom prst="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50C8F70-8F03-40BC-BEDC-FCCB0A5BCA70}" type="TxLink">
            <a:rPr lang="en-US" sz="1400" b="1" i="0" u="none" strike="noStrike">
              <a:solidFill>
                <a:srgbClr val="000000"/>
              </a:solidFill>
              <a:latin typeface="Calibri"/>
              <a:ea typeface="Calibri"/>
              <a:cs typeface="Calibri"/>
            </a:rPr>
            <a:pPr algn="ctr"/>
            <a:t>Ibuprofen</a:t>
          </a:fld>
          <a:endParaRPr lang="en-GB" sz="1400" b="1">
            <a:latin typeface="+mj-lt"/>
          </a:endParaRPr>
        </a:p>
      </xdr:txBody>
    </xdr:sp>
    <xdr:clientData/>
  </xdr:twoCellAnchor>
  <xdr:oneCellAnchor>
    <xdr:from>
      <xdr:col>15</xdr:col>
      <xdr:colOff>145142</xdr:colOff>
      <xdr:row>2</xdr:row>
      <xdr:rowOff>0</xdr:rowOff>
    </xdr:from>
    <xdr:ext cx="1868714" cy="371929"/>
    <xdr:sp macro="" textlink="">
      <xdr:nvSpPr>
        <xdr:cNvPr id="34" name="TextBox 33">
          <a:extLst>
            <a:ext uri="{FF2B5EF4-FFF2-40B4-BE49-F238E27FC236}">
              <a16:creationId xmlns:a16="http://schemas.microsoft.com/office/drawing/2014/main" id="{751EFBE8-DC03-FE39-2140-79B0FC620537}"/>
            </a:ext>
          </a:extLst>
        </xdr:cNvPr>
        <xdr:cNvSpPr txBox="1"/>
      </xdr:nvSpPr>
      <xdr:spPr>
        <a:xfrm flipH="1">
          <a:off x="9261928" y="362857"/>
          <a:ext cx="1868714" cy="3719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noAutofit/>
        </a:bodyPr>
        <a:lstStyle/>
        <a:p>
          <a:pPr algn="ctr"/>
          <a:r>
            <a:rPr lang="en-GB" sz="1200" b="1"/>
            <a:t>Most</a:t>
          </a:r>
          <a:r>
            <a:rPr lang="en-GB" sz="1200" b="1" baseline="0"/>
            <a:t> Used Medication</a:t>
          </a:r>
          <a:endParaRPr lang="en-GB" sz="1200" b="1"/>
        </a:p>
      </xdr:txBody>
    </xdr:sp>
    <xdr:clientData/>
  </xdr:oneCellAnchor>
  <xdr:twoCellAnchor editAs="oneCell">
    <xdr:from>
      <xdr:col>21</xdr:col>
      <xdr:colOff>512536</xdr:colOff>
      <xdr:row>7</xdr:row>
      <xdr:rowOff>171149</xdr:rowOff>
    </xdr:from>
    <xdr:to>
      <xdr:col>24</xdr:col>
      <xdr:colOff>512536</xdr:colOff>
      <xdr:row>17</xdr:row>
      <xdr:rowOff>32053</xdr:rowOff>
    </xdr:to>
    <mc:AlternateContent xmlns:mc="http://schemas.openxmlformats.org/markup-compatibility/2006" xmlns:a14="http://schemas.microsoft.com/office/drawing/2010/main">
      <mc:Choice Requires="a14">
        <xdr:graphicFrame macro="">
          <xdr:nvGraphicFramePr>
            <xdr:cNvPr id="35" name="Age Range">
              <a:extLst>
                <a:ext uri="{FF2B5EF4-FFF2-40B4-BE49-F238E27FC236}">
                  <a16:creationId xmlns:a16="http://schemas.microsoft.com/office/drawing/2014/main" id="{53B1407E-64D6-B329-BB48-F246EA65CDED}"/>
                </a:ext>
              </a:extLst>
            </xdr:cNvPr>
            <xdr:cNvGraphicFramePr/>
          </xdr:nvGraphicFramePr>
          <xdr:xfrm>
            <a:off x="0" y="0"/>
            <a:ext cx="0" cy="0"/>
          </xdr:xfrm>
          <a:graphic>
            <a:graphicData uri="http://schemas.microsoft.com/office/drawing/2010/slicer">
              <sle:slicer xmlns:sle="http://schemas.microsoft.com/office/drawing/2010/slicer" name="Age Range"/>
            </a:graphicData>
          </a:graphic>
        </xdr:graphicFrame>
      </mc:Choice>
      <mc:Fallback xmlns="">
        <xdr:sp macro="" textlink="">
          <xdr:nvSpPr>
            <xdr:cNvPr id="0" name=""/>
            <xdr:cNvSpPr>
              <a:spLocks noTextEdit="1"/>
            </xdr:cNvSpPr>
          </xdr:nvSpPr>
          <xdr:spPr>
            <a:xfrm>
              <a:off x="13321154" y="1457860"/>
              <a:ext cx="1829803" cy="169906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335642</xdr:colOff>
      <xdr:row>17</xdr:row>
      <xdr:rowOff>68640</xdr:rowOff>
    </xdr:from>
    <xdr:to>
      <xdr:col>21</xdr:col>
      <xdr:colOff>484414</xdr:colOff>
      <xdr:row>22</xdr:row>
      <xdr:rowOff>15723</xdr:rowOff>
    </xdr:to>
    <mc:AlternateContent xmlns:mc="http://schemas.openxmlformats.org/markup-compatibility/2006" xmlns:a14="http://schemas.microsoft.com/office/drawing/2010/main">
      <mc:Choice Requires="a14">
        <xdr:graphicFrame macro="">
          <xdr:nvGraphicFramePr>
            <xdr:cNvPr id="36" name="Gender">
              <a:extLst>
                <a:ext uri="{FF2B5EF4-FFF2-40B4-BE49-F238E27FC236}">
                  <a16:creationId xmlns:a16="http://schemas.microsoft.com/office/drawing/2014/main" id="{8A30258C-CFA3-A095-8E4E-1A4729A33D3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314458" y="3193508"/>
              <a:ext cx="1978574" cy="86616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335643</xdr:colOff>
      <xdr:row>6</xdr:row>
      <xdr:rowOff>73781</xdr:rowOff>
    </xdr:from>
    <xdr:to>
      <xdr:col>21</xdr:col>
      <xdr:colOff>498929</xdr:colOff>
      <xdr:row>17</xdr:row>
      <xdr:rowOff>45357</xdr:rowOff>
    </xdr:to>
    <mc:AlternateContent xmlns:mc="http://schemas.openxmlformats.org/markup-compatibility/2006" xmlns:a14="http://schemas.microsoft.com/office/drawing/2010/main">
      <mc:Choice Requires="a14">
        <xdr:graphicFrame macro="">
          <xdr:nvGraphicFramePr>
            <xdr:cNvPr id="37" name="Medical Condition">
              <a:extLst>
                <a:ext uri="{FF2B5EF4-FFF2-40B4-BE49-F238E27FC236}">
                  <a16:creationId xmlns:a16="http://schemas.microsoft.com/office/drawing/2014/main" id="{79225826-8BD1-32CB-25B7-5C003BC082A3}"/>
                </a:ext>
              </a:extLst>
            </xdr:cNvPr>
            <xdr:cNvGraphicFramePr/>
          </xdr:nvGraphicFramePr>
          <xdr:xfrm>
            <a:off x="0" y="0"/>
            <a:ext cx="0" cy="0"/>
          </xdr:xfrm>
          <a:graphic>
            <a:graphicData uri="http://schemas.microsoft.com/office/drawing/2010/slicer">
              <sle:slicer xmlns:sle="http://schemas.microsoft.com/office/drawing/2010/slicer" name="Medical Condition"/>
            </a:graphicData>
          </a:graphic>
        </xdr:graphicFrame>
      </mc:Choice>
      <mc:Fallback xmlns="">
        <xdr:sp macro="" textlink="">
          <xdr:nvSpPr>
            <xdr:cNvPr id="0" name=""/>
            <xdr:cNvSpPr>
              <a:spLocks noTextEdit="1"/>
            </xdr:cNvSpPr>
          </xdr:nvSpPr>
          <xdr:spPr>
            <a:xfrm>
              <a:off x="11314459" y="1176676"/>
              <a:ext cx="1993088" cy="199354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520701</xdr:colOff>
      <xdr:row>0</xdr:row>
      <xdr:rowOff>35380</xdr:rowOff>
    </xdr:from>
    <xdr:to>
      <xdr:col>24</xdr:col>
      <xdr:colOff>520701</xdr:colOff>
      <xdr:row>7</xdr:row>
      <xdr:rowOff>142726</xdr:rowOff>
    </xdr:to>
    <mc:AlternateContent xmlns:mc="http://schemas.openxmlformats.org/markup-compatibility/2006" xmlns:a14="http://schemas.microsoft.com/office/drawing/2010/main">
      <mc:Choice Requires="a14">
        <xdr:graphicFrame macro="">
          <xdr:nvGraphicFramePr>
            <xdr:cNvPr id="38" name="Hospital">
              <a:extLst>
                <a:ext uri="{FF2B5EF4-FFF2-40B4-BE49-F238E27FC236}">
                  <a16:creationId xmlns:a16="http://schemas.microsoft.com/office/drawing/2014/main" id="{550D9EFE-0467-80FB-A683-C3E0B2CC2FD5}"/>
                </a:ext>
              </a:extLst>
            </xdr:cNvPr>
            <xdr:cNvGraphicFramePr/>
          </xdr:nvGraphicFramePr>
          <xdr:xfrm>
            <a:off x="0" y="0"/>
            <a:ext cx="0" cy="0"/>
          </xdr:xfrm>
          <a:graphic>
            <a:graphicData uri="http://schemas.microsoft.com/office/drawing/2010/slicer">
              <sle:slicer xmlns:sle="http://schemas.microsoft.com/office/drawing/2010/slicer" name="Hospital"/>
            </a:graphicData>
          </a:graphic>
        </xdr:graphicFrame>
      </mc:Choice>
      <mc:Fallback xmlns="">
        <xdr:sp macro="" textlink="">
          <xdr:nvSpPr>
            <xdr:cNvPr id="0" name=""/>
            <xdr:cNvSpPr>
              <a:spLocks noTextEdit="1"/>
            </xdr:cNvSpPr>
          </xdr:nvSpPr>
          <xdr:spPr>
            <a:xfrm>
              <a:off x="13329319" y="35380"/>
              <a:ext cx="1829803" cy="139405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353785</xdr:colOff>
      <xdr:row>0</xdr:row>
      <xdr:rowOff>20071</xdr:rowOff>
    </xdr:from>
    <xdr:to>
      <xdr:col>21</xdr:col>
      <xdr:colOff>496207</xdr:colOff>
      <xdr:row>6</xdr:row>
      <xdr:rowOff>70871</xdr:rowOff>
    </xdr:to>
    <mc:AlternateContent xmlns:mc="http://schemas.openxmlformats.org/markup-compatibility/2006" xmlns:a14="http://schemas.microsoft.com/office/drawing/2010/main">
      <mc:Choice Requires="a14">
        <xdr:graphicFrame macro="">
          <xdr:nvGraphicFramePr>
            <xdr:cNvPr id="39" name="Admission Type">
              <a:extLst>
                <a:ext uri="{FF2B5EF4-FFF2-40B4-BE49-F238E27FC236}">
                  <a16:creationId xmlns:a16="http://schemas.microsoft.com/office/drawing/2014/main" id="{B308C465-5655-D737-307F-D597B4FBC71E}"/>
                </a:ext>
              </a:extLst>
            </xdr:cNvPr>
            <xdr:cNvGraphicFramePr/>
          </xdr:nvGraphicFramePr>
          <xdr:xfrm>
            <a:off x="0" y="0"/>
            <a:ext cx="0" cy="0"/>
          </xdr:xfrm>
          <a:graphic>
            <a:graphicData uri="http://schemas.microsoft.com/office/drawing/2010/slicer">
              <sle:slicer xmlns:sle="http://schemas.microsoft.com/office/drawing/2010/slicer" name="Admission Type"/>
            </a:graphicData>
          </a:graphic>
        </xdr:graphicFrame>
      </mc:Choice>
      <mc:Fallback xmlns="">
        <xdr:sp macro="" textlink="">
          <xdr:nvSpPr>
            <xdr:cNvPr id="0" name=""/>
            <xdr:cNvSpPr>
              <a:spLocks noTextEdit="1"/>
            </xdr:cNvSpPr>
          </xdr:nvSpPr>
          <xdr:spPr>
            <a:xfrm>
              <a:off x="11332601" y="20071"/>
              <a:ext cx="1972224" cy="115369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nenna onye" refreshedDate="46123.523638310187" createdVersion="8" refreshedVersion="8" minRefreshableVersion="3" recordCount="766" xr:uid="{C2978159-326D-4E85-BFDE-B26EA2D70C39}">
  <cacheSource type="worksheet">
    <worksheetSource name="WilsonData"/>
  </cacheSource>
  <cacheFields count="16">
    <cacheField name="Customer" numFmtId="0">
      <sharedItems/>
    </cacheField>
    <cacheField name="Age" numFmtId="0">
      <sharedItems containsSemiMixedTypes="0" containsString="0" containsNumber="1" containsInteger="1" minValue="16" maxValue="86"/>
    </cacheField>
    <cacheField name="Age Range" numFmtId="0">
      <sharedItems count="5">
        <s v=" 66+"/>
        <s v="51-65"/>
        <s v="19-35"/>
        <s v="36-50"/>
        <s v="0-18"/>
      </sharedItems>
    </cacheField>
    <cacheField name="Gender" numFmtId="0">
      <sharedItems count="2">
        <s v="Female"/>
        <s v="Male"/>
      </sharedItems>
    </cacheField>
    <cacheField name="Blood Type" numFmtId="0">
      <sharedItems count="8">
        <s v="A-"/>
        <s v="AB+"/>
        <s v="B-"/>
        <s v="O+"/>
        <s v="A+"/>
        <s v="O-"/>
        <s v="AB-"/>
        <s v="B+"/>
      </sharedItems>
    </cacheField>
    <cacheField name="Medical Condition" numFmtId="0">
      <sharedItems count="6">
        <s v="Asthma"/>
        <s v="Hypertension"/>
        <s v="Arthritis"/>
        <s v="Diabetes"/>
        <s v="Cancer"/>
        <s v="Obesity"/>
      </sharedItems>
    </cacheField>
    <cacheField name="Date of Admission" numFmtId="14">
      <sharedItems containsSemiMixedTypes="0" containsNonDate="0" containsDate="1" containsString="0" minDate="2025-01-02T00:00:00" maxDate="2026-01-01T00:00:00" count="316">
        <d v="2025-11-26T00:00:00"/>
        <d v="2025-11-12T00:00:00"/>
        <d v="2025-12-11T00:00:00"/>
        <d v="2025-07-22T00:00:00"/>
        <d v="2025-01-29T00:00:00"/>
        <d v="2025-04-26T00:00:00"/>
        <d v="2025-06-24T00:00:00"/>
        <d v="2025-08-21T00:00:00"/>
        <d v="2025-01-21T00:00:00"/>
        <d v="2025-10-11T00:00:00"/>
        <d v="2025-06-23T00:00:00"/>
        <d v="2025-10-23T00:00:00"/>
        <d v="2025-12-08T00:00:00"/>
        <d v="2025-09-10T00:00:00"/>
        <d v="2025-01-07T00:00:00"/>
        <d v="2025-08-04T00:00:00"/>
        <d v="2025-01-02T00:00:00"/>
        <d v="2025-12-21T00:00:00"/>
        <d v="2025-09-26T00:00:00"/>
        <d v="2025-06-30T00:00:00"/>
        <d v="2025-01-27T00:00:00"/>
        <d v="2025-10-14T00:00:00"/>
        <d v="2025-07-17T00:00:00"/>
        <d v="2025-07-12T00:00:00"/>
        <d v="2025-07-26T00:00:00"/>
        <d v="2025-07-08T00:00:00"/>
        <d v="2025-11-20T00:00:00"/>
        <d v="2025-11-17T00:00:00"/>
        <d v="2025-08-30T00:00:00"/>
        <d v="2025-07-02T00:00:00"/>
        <d v="2025-08-14T00:00:00"/>
        <d v="2025-04-06T00:00:00"/>
        <d v="2025-10-03T00:00:00"/>
        <d v="2025-03-10T00:00:00"/>
        <d v="2025-11-25T00:00:00"/>
        <d v="2025-02-05T00:00:00"/>
        <d v="2025-08-03T00:00:00"/>
        <d v="2025-06-04T00:00:00"/>
        <d v="2025-06-01T00:00:00"/>
        <d v="2025-12-18T00:00:00"/>
        <d v="2025-04-02T00:00:00"/>
        <d v="2025-01-31T00:00:00"/>
        <d v="2025-03-21T00:00:00"/>
        <d v="2025-04-25T00:00:00"/>
        <d v="2025-12-13T00:00:00"/>
        <d v="2025-03-23T00:00:00"/>
        <d v="2025-09-24T00:00:00"/>
        <d v="2025-08-06T00:00:00"/>
        <d v="2025-09-20T00:00:00"/>
        <d v="2025-12-07T00:00:00"/>
        <d v="2025-10-05T00:00:00"/>
        <d v="2025-01-25T00:00:00"/>
        <d v="2025-07-03T00:00:00"/>
        <d v="2025-12-14T00:00:00"/>
        <d v="2025-11-07T00:00:00"/>
        <d v="2025-03-26T00:00:00"/>
        <d v="2025-09-18T00:00:00"/>
        <d v="2025-05-16T00:00:00"/>
        <d v="2025-08-13T00:00:00"/>
        <d v="2025-02-21T00:00:00"/>
        <d v="2025-03-12T00:00:00"/>
        <d v="2025-10-24T00:00:00"/>
        <d v="2025-08-29T00:00:00"/>
        <d v="2025-09-23T00:00:00"/>
        <d v="2025-02-13T00:00:00"/>
        <d v="2025-03-18T00:00:00"/>
        <d v="2025-11-21T00:00:00"/>
        <d v="2025-04-17T00:00:00"/>
        <d v="2025-04-11T00:00:00"/>
        <d v="2025-01-22T00:00:00"/>
        <d v="2025-08-18T00:00:00"/>
        <d v="2025-04-28T00:00:00"/>
        <d v="2025-02-04T00:00:00"/>
        <d v="2025-08-11T00:00:00"/>
        <d v="2025-10-18T00:00:00"/>
        <d v="2025-03-31T00:00:00"/>
        <d v="2025-06-02T00:00:00"/>
        <d v="2025-08-31T00:00:00"/>
        <d v="2025-01-30T00:00:00"/>
        <d v="2025-10-15T00:00:00"/>
        <d v="2025-05-08T00:00:00"/>
        <d v="2025-12-03T00:00:00"/>
        <d v="2025-10-10T00:00:00"/>
        <d v="2025-03-07T00:00:00"/>
        <d v="2025-05-17T00:00:00"/>
        <d v="2025-01-19T00:00:00"/>
        <d v="2025-10-02T00:00:00"/>
        <d v="2025-05-06T00:00:00"/>
        <d v="2025-01-10T00:00:00"/>
        <d v="2025-11-24T00:00:00"/>
        <d v="2025-10-08T00:00:00"/>
        <d v="2025-10-19T00:00:00"/>
        <d v="2025-05-30T00:00:00"/>
        <d v="2025-04-09T00:00:00"/>
        <d v="2025-06-15T00:00:00"/>
        <d v="2025-02-20T00:00:00"/>
        <d v="2025-01-20T00:00:00"/>
        <d v="2025-02-02T00:00:00"/>
        <d v="2025-10-04T00:00:00"/>
        <d v="2025-09-15T00:00:00"/>
        <d v="2025-04-05T00:00:00"/>
        <d v="2025-11-27T00:00:00"/>
        <d v="2025-09-19T00:00:00"/>
        <d v="2025-09-30T00:00:00"/>
        <d v="2025-12-27T00:00:00"/>
        <d v="2025-09-29T00:00:00"/>
        <d v="2025-03-11T00:00:00"/>
        <d v="2025-02-19T00:00:00"/>
        <d v="2025-12-05T00:00:00"/>
        <d v="2025-08-24T00:00:00"/>
        <d v="2025-02-16T00:00:00"/>
        <d v="2025-07-13T00:00:00"/>
        <d v="2025-02-23T00:00:00"/>
        <d v="2025-06-12T00:00:00"/>
        <d v="2025-05-23T00:00:00"/>
        <d v="2025-10-06T00:00:00"/>
        <d v="2025-10-09T00:00:00"/>
        <d v="2025-03-19T00:00:00"/>
        <d v="2025-12-28T00:00:00"/>
        <d v="2025-05-28T00:00:00"/>
        <d v="2025-10-29T00:00:00"/>
        <d v="2025-11-11T00:00:00"/>
        <d v="2025-12-25T00:00:00"/>
        <d v="2025-08-02T00:00:00"/>
        <d v="2025-12-31T00:00:00"/>
        <d v="2025-11-05T00:00:00"/>
        <d v="2025-05-21T00:00:00"/>
        <d v="2025-11-03T00:00:00"/>
        <d v="2025-09-07T00:00:00"/>
        <d v="2025-04-30T00:00:00"/>
        <d v="2025-06-26T00:00:00"/>
        <d v="2025-11-06T00:00:00"/>
        <d v="2025-01-26T00:00:00"/>
        <d v="2025-02-08T00:00:00"/>
        <d v="2025-07-19T00:00:00"/>
        <d v="2025-03-09T00:00:00"/>
        <d v="2025-04-27T00:00:00"/>
        <d v="2025-03-08T00:00:00"/>
        <d v="2025-05-18T00:00:00"/>
        <d v="2025-04-07T00:00:00"/>
        <d v="2025-09-21T00:00:00"/>
        <d v="2025-06-22T00:00:00"/>
        <d v="2025-09-08T00:00:00"/>
        <d v="2025-12-20T00:00:00"/>
        <d v="2025-10-30T00:00:00"/>
        <d v="2025-09-09T00:00:00"/>
        <d v="2025-11-08T00:00:00"/>
        <d v="2025-08-01T00:00:00"/>
        <d v="2025-08-15T00:00:00"/>
        <d v="2025-07-10T00:00:00"/>
        <d v="2025-11-28T00:00:00"/>
        <d v="2025-12-10T00:00:00"/>
        <d v="2025-10-31T00:00:00"/>
        <d v="2025-05-02T00:00:00"/>
        <d v="2025-05-11T00:00:00"/>
        <d v="2025-06-05T00:00:00"/>
        <d v="2025-07-11T00:00:00"/>
        <d v="2025-01-28T00:00:00"/>
        <d v="2025-04-19T00:00:00"/>
        <d v="2025-07-24T00:00:00"/>
        <d v="2025-06-07T00:00:00"/>
        <d v="2025-05-04T00:00:00"/>
        <d v="2025-07-30T00:00:00"/>
        <d v="2025-01-06T00:00:00"/>
        <d v="2025-07-05T00:00:00"/>
        <d v="2025-02-09T00:00:00"/>
        <d v="2025-06-19T00:00:00"/>
        <d v="2025-09-04T00:00:00"/>
        <d v="2025-05-24T00:00:00"/>
        <d v="2025-04-04T00:00:00"/>
        <d v="2025-11-13T00:00:00"/>
        <d v="2025-04-20T00:00:00"/>
        <d v="2025-03-29T00:00:00"/>
        <d v="2025-01-13T00:00:00"/>
        <d v="2025-06-09T00:00:00"/>
        <d v="2025-06-03T00:00:00"/>
        <d v="2025-03-17T00:00:00"/>
        <d v="2025-10-20T00:00:00"/>
        <d v="2025-02-01T00:00:00"/>
        <d v="2025-02-12T00:00:00"/>
        <d v="2025-11-19T00:00:00"/>
        <d v="2025-05-26T00:00:00"/>
        <d v="2025-09-02T00:00:00"/>
        <d v="2025-01-09T00:00:00"/>
        <d v="2025-10-28T00:00:00"/>
        <d v="2025-06-18T00:00:00"/>
        <d v="2025-11-18T00:00:00"/>
        <d v="2025-01-03T00:00:00"/>
        <d v="2025-06-14T00:00:00"/>
        <d v="2025-05-09T00:00:00"/>
        <d v="2025-07-27T00:00:00"/>
        <d v="2025-02-26T00:00:00"/>
        <d v="2025-04-24T00:00:00"/>
        <d v="2025-10-17T00:00:00"/>
        <d v="2025-01-08T00:00:00"/>
        <d v="2025-06-13T00:00:00"/>
        <d v="2025-05-14T00:00:00"/>
        <d v="2025-12-23T00:00:00"/>
        <d v="2025-08-22T00:00:00"/>
        <d v="2025-09-05T00:00:00"/>
        <d v="2025-09-01T00:00:00"/>
        <d v="2025-03-28T00:00:00"/>
        <d v="2025-09-17T00:00:00"/>
        <d v="2025-12-04T00:00:00"/>
        <d v="2025-06-17T00:00:00"/>
        <d v="2025-03-02T00:00:00"/>
        <d v="2025-06-11T00:00:00"/>
        <d v="2025-08-10T00:00:00"/>
        <d v="2025-02-06T00:00:00"/>
        <d v="2025-08-17T00:00:00"/>
        <d v="2025-05-31T00:00:00"/>
        <d v="2025-11-01T00:00:00"/>
        <d v="2025-04-08T00:00:00"/>
        <d v="2025-07-09T00:00:00"/>
        <d v="2025-11-16T00:00:00"/>
        <d v="2025-12-16T00:00:00"/>
        <d v="2025-10-22T00:00:00"/>
        <d v="2025-06-10T00:00:00"/>
        <d v="2025-12-24T00:00:00"/>
        <d v="2025-05-22T00:00:00"/>
        <d v="2025-07-29T00:00:00"/>
        <d v="2025-07-16T00:00:00"/>
        <d v="2025-06-21T00:00:00"/>
        <d v="2025-01-14T00:00:00"/>
        <d v="2025-02-22T00:00:00"/>
        <d v="2025-05-03T00:00:00"/>
        <d v="2025-10-16T00:00:00"/>
        <d v="2025-01-23T00:00:00"/>
        <d v="2025-10-21T00:00:00"/>
        <d v="2025-09-12T00:00:00"/>
        <d v="2025-03-15T00:00:00"/>
        <d v="2025-08-08T00:00:00"/>
        <d v="2025-08-07T00:00:00"/>
        <d v="2025-02-27T00:00:00"/>
        <d v="2025-03-22T00:00:00"/>
        <d v="2025-02-25T00:00:00"/>
        <d v="2025-04-18T00:00:00"/>
        <d v="2025-12-09T00:00:00"/>
        <d v="2025-08-25T00:00:00"/>
        <d v="2025-03-13T00:00:00"/>
        <d v="2025-03-04T00:00:00"/>
        <d v="2025-11-30T00:00:00"/>
        <d v="2025-01-24T00:00:00"/>
        <d v="2025-08-12T00:00:00"/>
        <d v="2025-02-28T00:00:00"/>
        <d v="2025-11-29T00:00:00"/>
        <d v="2025-01-16T00:00:00"/>
        <d v="2025-09-13T00:00:00"/>
        <d v="2025-03-06T00:00:00"/>
        <d v="2025-06-16T00:00:00"/>
        <d v="2025-10-27T00:00:00"/>
        <d v="2025-01-15T00:00:00"/>
        <d v="2025-01-17T00:00:00"/>
        <d v="2025-03-03T00:00:00"/>
        <d v="2025-01-11T00:00:00"/>
        <d v="2025-04-22T00:00:00"/>
        <d v="2025-05-12T00:00:00"/>
        <d v="2025-03-01T00:00:00"/>
        <d v="2025-10-01T00:00:00"/>
        <d v="2025-03-05T00:00:00"/>
        <d v="2025-07-31T00:00:00"/>
        <d v="2025-02-24T00:00:00"/>
        <d v="2025-08-26T00:00:00"/>
        <d v="2025-10-25T00:00:00"/>
        <d v="2025-07-07T00:00:00"/>
        <d v="2025-05-20T00:00:00"/>
        <d v="2025-04-29T00:00:00"/>
        <d v="2025-11-15T00:00:00"/>
        <d v="2025-08-05T00:00:00"/>
        <d v="2025-02-17T00:00:00"/>
        <d v="2025-09-16T00:00:00"/>
        <d v="2025-07-06T00:00:00"/>
        <d v="2025-11-22T00:00:00"/>
        <d v="2025-06-06T00:00:00"/>
        <d v="2025-08-09T00:00:00"/>
        <d v="2025-11-09T00:00:00"/>
        <d v="2025-04-12T00:00:00"/>
        <d v="2025-11-02T00:00:00"/>
        <d v="2025-04-21T00:00:00"/>
        <d v="2025-09-11T00:00:00"/>
        <d v="2025-08-20T00:00:00"/>
        <d v="2025-12-19T00:00:00"/>
        <d v="2025-02-10T00:00:00"/>
        <d v="2025-12-22T00:00:00"/>
        <d v="2025-05-25T00:00:00"/>
        <d v="2025-12-15T00:00:00"/>
        <d v="2025-05-01T00:00:00"/>
        <d v="2025-08-23T00:00:00"/>
        <d v="2025-04-15T00:00:00"/>
        <d v="2025-05-05T00:00:00"/>
        <d v="2025-12-02T00:00:00"/>
        <d v="2025-03-14T00:00:00"/>
        <d v="2025-08-16T00:00:00"/>
        <d v="2025-04-01T00:00:00"/>
        <d v="2025-01-12T00:00:00"/>
        <d v="2025-07-21T00:00:00"/>
        <d v="2025-04-10T00:00:00"/>
        <d v="2025-07-23T00:00:00"/>
        <d v="2025-03-16T00:00:00"/>
        <d v="2025-03-20T00:00:00"/>
        <d v="2025-04-03T00:00:00"/>
        <d v="2025-05-10T00:00:00"/>
        <d v="2025-05-27T00:00:00"/>
        <d v="2025-12-30T00:00:00"/>
        <d v="2025-07-01T00:00:00"/>
        <d v="2025-02-03T00:00:00"/>
        <d v="2025-04-13T00:00:00"/>
        <d v="2025-10-12T00:00:00"/>
        <d v="2025-06-27T00:00:00"/>
        <d v="2025-11-10T00:00:00"/>
        <d v="2025-02-18T00:00:00"/>
        <d v="2025-11-14T00:00:00"/>
        <d v="2025-10-13T00:00:00"/>
        <d v="2025-12-29T00:00:00"/>
        <d v="2025-09-14T00:00:00"/>
        <d v="2025-06-29T00:00:00"/>
      </sharedItems>
      <fieldGroup par="15"/>
    </cacheField>
    <cacheField name="Hospital" numFmtId="0">
      <sharedItems count="4">
        <s v="Wilson Branch B"/>
        <s v="Wilson Branch A"/>
        <s v="Wilson Branch C"/>
        <s v="Wilson Branch D"/>
      </sharedItems>
    </cacheField>
    <cacheField name="Billing Amount" numFmtId="165">
      <sharedItems containsSemiMixedTypes="0" containsString="0" containsNumber="1" minValue="-1310.272894708412" maxValue="51899.015476957124"/>
    </cacheField>
    <cacheField name="Room Number" numFmtId="0">
      <sharedItems containsSemiMixedTypes="0" containsString="0" containsNumber="1" containsInteger="1" minValue="101" maxValue="499"/>
    </cacheField>
    <cacheField name="Admission Type" numFmtId="0">
      <sharedItems count="3">
        <s v="Elective"/>
        <s v="Emergency"/>
        <s v="Urgent"/>
      </sharedItems>
    </cacheField>
    <cacheField name="Discharge Date" numFmtId="14">
      <sharedItems containsSemiMixedTypes="0" containsNonDate="0" containsDate="1" containsString="0" minDate="2025-01-03T00:00:00" maxDate="2026-01-02T00:00:00"/>
    </cacheField>
    <cacheField name="Average days" numFmtId="1">
      <sharedItems containsSemiMixedTypes="0" containsString="0" containsNumber="1" containsInteger="1" minValue="1" maxValue="14"/>
    </cacheField>
    <cacheField name="Medication" numFmtId="0">
      <sharedItems count="5">
        <s v="Aspirin"/>
        <s v="Paracetamol"/>
        <s v="Penicillin"/>
        <s v="Lipitor"/>
        <s v="Ibuprofen"/>
      </sharedItems>
    </cacheField>
    <cacheField name="Days (Date of Admission)" numFmtId="0" databaseField="0">
      <fieldGroup base="6">
        <rangePr groupBy="days" startDate="2025-01-02T00:00:00" endDate="2026-01-01T00:00:00"/>
        <groupItems count="368">
          <s v="&lt;02/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Months (Date of Admission)" numFmtId="0" databaseField="0">
      <fieldGroup base="6">
        <rangePr groupBy="months" startDate="2025-01-02T00:00:00" endDate="2026-01-01T00:00:00"/>
        <groupItems count="14">
          <s v="&lt;02/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pivotCacheId="3860121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66">
  <r>
    <s v="Bobby Jackson"/>
    <n v="67"/>
    <x v="0"/>
    <x v="0"/>
    <x v="0"/>
    <x v="0"/>
    <x v="0"/>
    <x v="0"/>
    <n v="42.514588553324302"/>
    <n v="115"/>
    <x v="0"/>
    <d v="2025-11-27T00:00:00"/>
    <n v="1"/>
    <x v="0"/>
  </r>
  <r>
    <s v="Leslie Terry"/>
    <n v="72"/>
    <x v="0"/>
    <x v="0"/>
    <x v="1"/>
    <x v="1"/>
    <x v="1"/>
    <x v="1"/>
    <n v="33211.295419012022"/>
    <n v="109"/>
    <x v="1"/>
    <d v="2025-11-17T00:00:00"/>
    <n v="5"/>
    <x v="1"/>
  </r>
  <r>
    <s v="Danny Smith"/>
    <n v="57"/>
    <x v="1"/>
    <x v="1"/>
    <x v="2"/>
    <x v="2"/>
    <x v="2"/>
    <x v="2"/>
    <n v="46429.508203722617"/>
    <n v="233"/>
    <x v="0"/>
    <d v="2025-12-21T00:00:00"/>
    <n v="10"/>
    <x v="1"/>
  </r>
  <r>
    <s v="Andrew Watts"/>
    <n v="21"/>
    <x v="2"/>
    <x v="1"/>
    <x v="3"/>
    <x v="3"/>
    <x v="3"/>
    <x v="0"/>
    <n v="12880.652412771489"/>
    <n v="267"/>
    <x v="2"/>
    <d v="2025-07-27T00:00:00"/>
    <n v="5"/>
    <x v="2"/>
  </r>
  <r>
    <s v="Adrienne Bell"/>
    <n v="34"/>
    <x v="2"/>
    <x v="0"/>
    <x v="3"/>
    <x v="4"/>
    <x v="4"/>
    <x v="0"/>
    <n v="18524.86663748576"/>
    <n v="472"/>
    <x v="2"/>
    <d v="2025-02-01T00:00:00"/>
    <n v="3"/>
    <x v="3"/>
  </r>
  <r>
    <s v="Emily Johnson"/>
    <n v="56"/>
    <x v="1"/>
    <x v="1"/>
    <x v="2"/>
    <x v="3"/>
    <x v="5"/>
    <x v="1"/>
    <n v="26437.774630145719"/>
    <n v="267"/>
    <x v="1"/>
    <d v="2025-05-01T00:00:00"/>
    <n v="5"/>
    <x v="4"/>
  </r>
  <r>
    <s v="Edward Edwards"/>
    <n v="30"/>
    <x v="2"/>
    <x v="1"/>
    <x v="0"/>
    <x v="4"/>
    <x v="6"/>
    <x v="3"/>
    <n v="2879.4605320542428"/>
    <n v="183"/>
    <x v="2"/>
    <d v="2025-06-27T00:00:00"/>
    <n v="3"/>
    <x v="4"/>
  </r>
  <r>
    <s v="Christina Martinez"/>
    <n v="25"/>
    <x v="2"/>
    <x v="0"/>
    <x v="4"/>
    <x v="4"/>
    <x v="7"/>
    <x v="2"/>
    <n v="36990.455775325318"/>
    <n v="356"/>
    <x v="2"/>
    <d v="2025-08-23T00:00:00"/>
    <n v="2"/>
    <x v="0"/>
  </r>
  <r>
    <s v="Jasmine Aguilar"/>
    <n v="49"/>
    <x v="3"/>
    <x v="0"/>
    <x v="3"/>
    <x v="3"/>
    <x v="8"/>
    <x v="3"/>
    <n v="2133.7372022713962"/>
    <n v="189"/>
    <x v="2"/>
    <d v="2025-01-26T00:00:00"/>
    <n v="5"/>
    <x v="4"/>
  </r>
  <r>
    <s v="Christopher Berg"/>
    <n v="49"/>
    <x v="3"/>
    <x v="1"/>
    <x v="0"/>
    <x v="3"/>
    <x v="9"/>
    <x v="1"/>
    <n v="37636.441661616896"/>
    <n v="385"/>
    <x v="0"/>
    <d v="2025-10-23T00:00:00"/>
    <n v="12"/>
    <x v="4"/>
  </r>
  <r>
    <s v="Michelle Daniels"/>
    <n v="61"/>
    <x v="1"/>
    <x v="0"/>
    <x v="1"/>
    <x v="1"/>
    <x v="10"/>
    <x v="3"/>
    <n v="20577.708926659619"/>
    <n v="387"/>
    <x v="0"/>
    <d v="2025-06-24T00:00:00"/>
    <n v="1"/>
    <x v="2"/>
  </r>
  <r>
    <s v="Aaron Martinez"/>
    <n v="85"/>
    <x v="0"/>
    <x v="0"/>
    <x v="4"/>
    <x v="4"/>
    <x v="11"/>
    <x v="0"/>
    <n v="27971.280360766319"/>
    <n v="120"/>
    <x v="1"/>
    <d v="2025-10-31T00:00:00"/>
    <n v="8"/>
    <x v="3"/>
  </r>
  <r>
    <s v="Connor Hansen"/>
    <n v="59"/>
    <x v="1"/>
    <x v="0"/>
    <x v="3"/>
    <x v="2"/>
    <x v="12"/>
    <x v="0"/>
    <n v="7796.2596143766759"/>
    <n v="144"/>
    <x v="2"/>
    <d v="2025-12-13T00:00:00"/>
    <n v="5"/>
    <x v="4"/>
  </r>
  <r>
    <s v="Robert Bauer"/>
    <n v="77"/>
    <x v="0"/>
    <x v="0"/>
    <x v="1"/>
    <x v="3"/>
    <x v="13"/>
    <x v="1"/>
    <n v="28228.694722456519"/>
    <n v="277"/>
    <x v="2"/>
    <d v="2025-09-13T00:00:00"/>
    <n v="3"/>
    <x v="1"/>
  </r>
  <r>
    <s v="Brooke Brady"/>
    <n v="24"/>
    <x v="2"/>
    <x v="1"/>
    <x v="0"/>
    <x v="2"/>
    <x v="14"/>
    <x v="2"/>
    <n v="7192.6281782379574"/>
    <n v="443"/>
    <x v="1"/>
    <d v="2025-01-20T00:00:00"/>
    <n v="13"/>
    <x v="2"/>
  </r>
  <r>
    <s v="Ms. Natalie Gamble"/>
    <n v="63"/>
    <x v="1"/>
    <x v="1"/>
    <x v="0"/>
    <x v="3"/>
    <x v="15"/>
    <x v="2"/>
    <n v="22361.147596566221"/>
    <n v="445"/>
    <x v="1"/>
    <d v="2025-08-09T00:00:00"/>
    <n v="5"/>
    <x v="1"/>
  </r>
  <r>
    <s v="Haley Perkins"/>
    <n v="51"/>
    <x v="1"/>
    <x v="0"/>
    <x v="0"/>
    <x v="5"/>
    <x v="16"/>
    <x v="2"/>
    <n v="32006.03156588805"/>
    <n v="200"/>
    <x v="2"/>
    <d v="2025-01-07T00:00:00"/>
    <n v="5"/>
    <x v="2"/>
  </r>
  <r>
    <s v="Mrs. Jamie Campbell"/>
    <n v="26"/>
    <x v="2"/>
    <x v="1"/>
    <x v="5"/>
    <x v="0"/>
    <x v="17"/>
    <x v="1"/>
    <n v="45916.324833865241"/>
    <n v="301"/>
    <x v="0"/>
    <d v="2025-12-27T00:00:00"/>
    <n v="6"/>
    <x v="2"/>
  </r>
  <r>
    <s v="Luke Burgess"/>
    <n v="44"/>
    <x v="3"/>
    <x v="1"/>
    <x v="2"/>
    <x v="2"/>
    <x v="18"/>
    <x v="1"/>
    <n v="19691.420685517242"/>
    <n v="264"/>
    <x v="0"/>
    <d v="2025-10-06T00:00:00"/>
    <n v="10"/>
    <x v="0"/>
  </r>
  <r>
    <s v="Daniel Schmidt"/>
    <n v="81"/>
    <x v="0"/>
    <x v="0"/>
    <x v="6"/>
    <x v="2"/>
    <x v="19"/>
    <x v="2"/>
    <n v="3638.2461963533001"/>
    <n v="125"/>
    <x v="1"/>
    <d v="2025-07-09T00:00:00"/>
    <n v="9"/>
    <x v="0"/>
  </r>
  <r>
    <s v="Timothy Burns"/>
    <n v="78"/>
    <x v="0"/>
    <x v="1"/>
    <x v="3"/>
    <x v="4"/>
    <x v="20"/>
    <x v="1"/>
    <n v="30549.653324730469"/>
    <n v="314"/>
    <x v="1"/>
    <d v="2025-01-29T00:00:00"/>
    <n v="2"/>
    <x v="1"/>
  </r>
  <r>
    <s v="Christopher Bright"/>
    <n v="44"/>
    <x v="3"/>
    <x v="0"/>
    <x v="7"/>
    <x v="4"/>
    <x v="21"/>
    <x v="3"/>
    <n v="4794.7513545462562"/>
    <n v="382"/>
    <x v="1"/>
    <d v="2025-10-22T00:00:00"/>
    <n v="8"/>
    <x v="1"/>
  </r>
  <r>
    <s v="Kathryn Stewart"/>
    <n v="19"/>
    <x v="2"/>
    <x v="0"/>
    <x v="4"/>
    <x v="1"/>
    <x v="22"/>
    <x v="3"/>
    <n v="41794.355426215472"/>
    <n v="354"/>
    <x v="1"/>
    <d v="2025-07-29T00:00:00"/>
    <n v="12"/>
    <x v="0"/>
  </r>
  <r>
    <s v="Dr. Eileen Thompson"/>
    <n v="65"/>
    <x v="1"/>
    <x v="1"/>
    <x v="0"/>
    <x v="5"/>
    <x v="23"/>
    <x v="1"/>
    <n v="13302.22990824893"/>
    <n v="494"/>
    <x v="0"/>
    <d v="2025-07-14T00:00:00"/>
    <n v="2"/>
    <x v="2"/>
  </r>
  <r>
    <s v="Paul Henderson"/>
    <n v="85"/>
    <x v="0"/>
    <x v="0"/>
    <x v="1"/>
    <x v="1"/>
    <x v="24"/>
    <x v="2"/>
    <n v="13924.723861179849"/>
    <n v="147"/>
    <x v="0"/>
    <d v="2025-07-27T00:00:00"/>
    <n v="1"/>
    <x v="3"/>
  </r>
  <r>
    <s v="Peter Fitzgerald"/>
    <n v="79"/>
    <x v="0"/>
    <x v="0"/>
    <x v="6"/>
    <x v="2"/>
    <x v="25"/>
    <x v="2"/>
    <n v="18609.8981700976"/>
    <n v="127"/>
    <x v="0"/>
    <d v="2025-07-15T00:00:00"/>
    <n v="7"/>
    <x v="3"/>
  </r>
  <r>
    <s v="Cathy Small"/>
    <n v="66"/>
    <x v="0"/>
    <x v="0"/>
    <x v="5"/>
    <x v="0"/>
    <x v="22"/>
    <x v="1"/>
    <n v="26911.222987495701"/>
    <n v="249"/>
    <x v="0"/>
    <d v="2025-07-28T00:00:00"/>
    <n v="11"/>
    <x v="1"/>
  </r>
  <r>
    <s v="Mr. Kenneth Moore"/>
    <n v="63"/>
    <x v="1"/>
    <x v="1"/>
    <x v="4"/>
    <x v="4"/>
    <x v="26"/>
    <x v="3"/>
    <n v="21380.197228861711"/>
    <n v="406"/>
    <x v="0"/>
    <d v="2025-12-03T00:00:00"/>
    <n v="13"/>
    <x v="3"/>
  </r>
  <r>
    <s v="Mary Hunter"/>
    <n v="75"/>
    <x v="0"/>
    <x v="0"/>
    <x v="3"/>
    <x v="1"/>
    <x v="27"/>
    <x v="0"/>
    <n v="13354.514225106581"/>
    <n v="361"/>
    <x v="0"/>
    <d v="2025-11-19T00:00:00"/>
    <n v="2"/>
    <x v="4"/>
  </r>
  <r>
    <s v="Joshua Oliver"/>
    <n v="21"/>
    <x v="2"/>
    <x v="0"/>
    <x v="6"/>
    <x v="2"/>
    <x v="28"/>
    <x v="3"/>
    <n v="24809.717443047339"/>
    <n v="379"/>
    <x v="0"/>
    <d v="2025-09-08T00:00:00"/>
    <n v="9"/>
    <x v="2"/>
  </r>
  <r>
    <s v="Thomas Martinez"/>
    <n v="55"/>
    <x v="1"/>
    <x v="0"/>
    <x v="3"/>
    <x v="2"/>
    <x v="29"/>
    <x v="0"/>
    <n v="27643.32340185776"/>
    <n v="183"/>
    <x v="0"/>
    <d v="2025-07-12T00:00:00"/>
    <n v="10"/>
    <x v="0"/>
  </r>
  <r>
    <s v="James Patterson"/>
    <n v="55"/>
    <x v="1"/>
    <x v="0"/>
    <x v="2"/>
    <x v="5"/>
    <x v="15"/>
    <x v="3"/>
    <n v="26408.469156782219"/>
    <n v="236"/>
    <x v="0"/>
    <d v="2025-08-15T00:00:00"/>
    <n v="11"/>
    <x v="1"/>
  </r>
  <r>
    <s v="William Cooper"/>
    <n v="19"/>
    <x v="2"/>
    <x v="1"/>
    <x v="7"/>
    <x v="1"/>
    <x v="30"/>
    <x v="1"/>
    <n v="49167.762946447008"/>
    <n v="254"/>
    <x v="0"/>
    <d v="2025-08-25T00:00:00"/>
    <n v="11"/>
    <x v="3"/>
  </r>
  <r>
    <s v="Erin Ortega"/>
    <n v="32"/>
    <x v="2"/>
    <x v="1"/>
    <x v="6"/>
    <x v="4"/>
    <x v="31"/>
    <x v="0"/>
    <n v="28814.06695021379"/>
    <n v="189"/>
    <x v="0"/>
    <d v="2025-04-07T00:00:00"/>
    <n v="1"/>
    <x v="3"/>
  </r>
  <r>
    <s v="Nicole Rodriguez"/>
    <n v="57"/>
    <x v="1"/>
    <x v="1"/>
    <x v="1"/>
    <x v="3"/>
    <x v="32"/>
    <x v="0"/>
    <n v="21505.4210748726"/>
    <n v="252"/>
    <x v="0"/>
    <d v="2025-10-12T00:00:00"/>
    <n v="9"/>
    <x v="4"/>
  </r>
  <r>
    <s v="David Anderson"/>
    <n v="22"/>
    <x v="2"/>
    <x v="1"/>
    <x v="6"/>
    <x v="4"/>
    <x v="33"/>
    <x v="1"/>
    <n v="29133.32202906816"/>
    <n v="354"/>
    <x v="0"/>
    <d v="2025-03-11T00:00:00"/>
    <n v="1"/>
    <x v="2"/>
  </r>
  <r>
    <s v="Denise Torres"/>
    <n v="44"/>
    <x v="3"/>
    <x v="0"/>
    <x v="1"/>
    <x v="2"/>
    <x v="34"/>
    <x v="3"/>
    <n v="48106.412366043762"/>
    <n v="155"/>
    <x v="0"/>
    <d v="2025-11-26T00:00:00"/>
    <n v="1"/>
    <x v="1"/>
  </r>
  <r>
    <s v="Cassandra Robinson"/>
    <n v="50"/>
    <x v="3"/>
    <x v="1"/>
    <x v="5"/>
    <x v="4"/>
    <x v="35"/>
    <x v="3"/>
    <n v="9434.7608310983924"/>
    <n v="372"/>
    <x v="0"/>
    <d v="2025-02-10T00:00:00"/>
    <n v="5"/>
    <x v="0"/>
  </r>
  <r>
    <s v="Nicole Lucero"/>
    <n v="33"/>
    <x v="2"/>
    <x v="1"/>
    <x v="3"/>
    <x v="2"/>
    <x v="36"/>
    <x v="1"/>
    <n v="15663.98853978353"/>
    <n v="496"/>
    <x v="0"/>
    <d v="2025-08-04T00:00:00"/>
    <n v="1"/>
    <x v="0"/>
  </r>
  <r>
    <s v="Pamela Fernandez"/>
    <n v="75"/>
    <x v="0"/>
    <x v="0"/>
    <x v="5"/>
    <x v="4"/>
    <x v="37"/>
    <x v="0"/>
    <n v="7733.7898217749471"/>
    <n v="224"/>
    <x v="0"/>
    <d v="2025-06-13T00:00:00"/>
    <n v="9"/>
    <x v="2"/>
  </r>
  <r>
    <s v="Christopher Lee"/>
    <n v="59"/>
    <x v="1"/>
    <x v="0"/>
    <x v="4"/>
    <x v="1"/>
    <x v="38"/>
    <x v="0"/>
    <n v="7633.1365610129924"/>
    <n v="459"/>
    <x v="0"/>
    <d v="2025-06-10T00:00:00"/>
    <n v="9"/>
    <x v="0"/>
  </r>
  <r>
    <s v="Thomas Morse"/>
    <n v="37"/>
    <x v="3"/>
    <x v="0"/>
    <x v="6"/>
    <x v="3"/>
    <x v="39"/>
    <x v="3"/>
    <n v="32521.057620464449"/>
    <n v="376"/>
    <x v="0"/>
    <d v="2025-12-26T00:00:00"/>
    <n v="8"/>
    <x v="1"/>
  </r>
  <r>
    <s v="Mr. Eric Lane"/>
    <n v="77"/>
    <x v="0"/>
    <x v="0"/>
    <x v="7"/>
    <x v="3"/>
    <x v="40"/>
    <x v="1"/>
    <n v="12207.31620726869"/>
    <n v="189"/>
    <x v="0"/>
    <d v="2025-04-08T00:00:00"/>
    <n v="6"/>
    <x v="4"/>
  </r>
  <r>
    <s v="Katherine Smith"/>
    <n v="30"/>
    <x v="2"/>
    <x v="0"/>
    <x v="5"/>
    <x v="2"/>
    <x v="41"/>
    <x v="0"/>
    <n v="17602.655794869868"/>
    <n v="291"/>
    <x v="0"/>
    <d v="2025-02-01T00:00:00"/>
    <n v="1"/>
    <x v="3"/>
  </r>
  <r>
    <s v="Paul Williams"/>
    <n v="47"/>
    <x v="3"/>
    <x v="0"/>
    <x v="7"/>
    <x v="3"/>
    <x v="42"/>
    <x v="1"/>
    <n v="26489.573558170381"/>
    <n v="403"/>
    <x v="1"/>
    <d v="2025-03-25T00:00:00"/>
    <n v="4"/>
    <x v="4"/>
  </r>
  <r>
    <s v="Lynn Martinez"/>
    <n v="60"/>
    <x v="1"/>
    <x v="1"/>
    <x v="5"/>
    <x v="4"/>
    <x v="43"/>
    <x v="3"/>
    <n v="42320.295456327432"/>
    <n v="217"/>
    <x v="0"/>
    <d v="2025-05-07T00:00:00"/>
    <n v="12"/>
    <x v="3"/>
  </r>
  <r>
    <s v="Christopher Chapman"/>
    <n v="82"/>
    <x v="0"/>
    <x v="1"/>
    <x v="2"/>
    <x v="2"/>
    <x v="44"/>
    <x v="3"/>
    <n v="10551.277441968559"/>
    <n v="145"/>
    <x v="1"/>
    <d v="2025-12-25T00:00:00"/>
    <n v="12"/>
    <x v="3"/>
  </r>
  <r>
    <s v="Chris Frye"/>
    <n v="42"/>
    <x v="3"/>
    <x v="1"/>
    <x v="3"/>
    <x v="5"/>
    <x v="45"/>
    <x v="0"/>
    <n v="29620.696673653809"/>
    <n v="466"/>
    <x v="0"/>
    <d v="2025-03-31T00:00:00"/>
    <n v="8"/>
    <x v="0"/>
  </r>
  <r>
    <s v="Kyle Bennett"/>
    <n v="30"/>
    <x v="2"/>
    <x v="1"/>
    <x v="1"/>
    <x v="0"/>
    <x v="46"/>
    <x v="0"/>
    <n v="39420.130769473013"/>
    <n v="449"/>
    <x v="1"/>
    <d v="2025-10-08T00:00:00"/>
    <n v="14"/>
    <x v="4"/>
  </r>
  <r>
    <s v="Brandon Collins"/>
    <n v="23"/>
    <x v="2"/>
    <x v="0"/>
    <x v="1"/>
    <x v="2"/>
    <x v="47"/>
    <x v="3"/>
    <n v="26054.68493247962"/>
    <n v="343"/>
    <x v="0"/>
    <d v="2025-08-12T00:00:00"/>
    <n v="6"/>
    <x v="1"/>
  </r>
  <r>
    <s v="Michael Liu"/>
    <n v="54"/>
    <x v="1"/>
    <x v="0"/>
    <x v="0"/>
    <x v="2"/>
    <x v="48"/>
    <x v="3"/>
    <n v="24308.250870419972"/>
    <n v="367"/>
    <x v="0"/>
    <d v="2025-09-25T00:00:00"/>
    <n v="5"/>
    <x v="4"/>
  </r>
  <r>
    <s v="Stephanie Kent"/>
    <n v="35"/>
    <x v="2"/>
    <x v="1"/>
    <x v="2"/>
    <x v="0"/>
    <x v="39"/>
    <x v="3"/>
    <n v="11434.567168621639"/>
    <n v="223"/>
    <x v="1"/>
    <d v="2025-12-28T00:00:00"/>
    <n v="10"/>
    <x v="3"/>
  </r>
  <r>
    <s v="Jesse Banks"/>
    <n v="47"/>
    <x v="3"/>
    <x v="1"/>
    <x v="5"/>
    <x v="2"/>
    <x v="49"/>
    <x v="0"/>
    <n v="40168.579439122957"/>
    <n v="472"/>
    <x v="1"/>
    <d v="2025-12-10T00:00:00"/>
    <n v="3"/>
    <x v="4"/>
  </r>
  <r>
    <s v="Peggy Lee"/>
    <n v="73"/>
    <x v="0"/>
    <x v="1"/>
    <x v="2"/>
    <x v="2"/>
    <x v="50"/>
    <x v="0"/>
    <n v="26988.097230346539"/>
    <n v="450"/>
    <x v="0"/>
    <d v="2025-10-16T00:00:00"/>
    <n v="11"/>
    <x v="2"/>
  </r>
  <r>
    <s v="Tamara Hernandez"/>
    <n v="39"/>
    <x v="3"/>
    <x v="1"/>
    <x v="4"/>
    <x v="5"/>
    <x v="51"/>
    <x v="1"/>
    <n v="37607.162590914078"/>
    <n v="370"/>
    <x v="1"/>
    <d v="2025-01-26T00:00:00"/>
    <n v="1"/>
    <x v="4"/>
  </r>
  <r>
    <s v="Mr. David Pierce Md"/>
    <n v="19"/>
    <x v="2"/>
    <x v="1"/>
    <x v="2"/>
    <x v="3"/>
    <x v="52"/>
    <x v="1"/>
    <n v="36786.419594928811"/>
    <n v="170"/>
    <x v="1"/>
    <d v="2025-07-04T00:00:00"/>
    <n v="1"/>
    <x v="1"/>
  </r>
  <r>
    <s v="Bethany Moore"/>
    <n v="41"/>
    <x v="3"/>
    <x v="1"/>
    <x v="4"/>
    <x v="2"/>
    <x v="53"/>
    <x v="1"/>
    <n v="897.33512916354914"/>
    <n v="215"/>
    <x v="0"/>
    <d v="2025-12-27T00:00:00"/>
    <n v="13"/>
    <x v="3"/>
  </r>
  <r>
    <s v="Michael Mills"/>
    <n v="75"/>
    <x v="0"/>
    <x v="0"/>
    <x v="4"/>
    <x v="0"/>
    <x v="54"/>
    <x v="0"/>
    <n v="3529.128245917163"/>
    <n v="429"/>
    <x v="0"/>
    <d v="2025-11-13T00:00:00"/>
    <n v="6"/>
    <x v="4"/>
  </r>
  <r>
    <s v="Kyle Wiley"/>
    <n v="36"/>
    <x v="3"/>
    <x v="1"/>
    <x v="0"/>
    <x v="0"/>
    <x v="55"/>
    <x v="3"/>
    <n v="35398.709264291509"/>
    <n v="263"/>
    <x v="1"/>
    <d v="2025-04-01T00:00:00"/>
    <n v="6"/>
    <x v="1"/>
  </r>
  <r>
    <s v="Jacqueline Jordan"/>
    <n v="46"/>
    <x v="3"/>
    <x v="0"/>
    <x v="1"/>
    <x v="4"/>
    <x v="56"/>
    <x v="0"/>
    <n v="23103.0572294515"/>
    <n v="409"/>
    <x v="0"/>
    <d v="2025-10-02T00:00:00"/>
    <n v="14"/>
    <x v="3"/>
  </r>
  <r>
    <s v="Ashley Gutierrez"/>
    <n v="18"/>
    <x v="4"/>
    <x v="1"/>
    <x v="0"/>
    <x v="4"/>
    <x v="57"/>
    <x v="3"/>
    <n v="35709.072887239221"/>
    <n v="284"/>
    <x v="0"/>
    <d v="2025-05-21T00:00:00"/>
    <n v="5"/>
    <x v="1"/>
  </r>
  <r>
    <s v="Kim Scott"/>
    <n v="76"/>
    <x v="0"/>
    <x v="0"/>
    <x v="2"/>
    <x v="3"/>
    <x v="58"/>
    <x v="0"/>
    <n v="36792.385882096409"/>
    <n v="179"/>
    <x v="0"/>
    <d v="2025-08-26T00:00:00"/>
    <n v="13"/>
    <x v="2"/>
  </r>
  <r>
    <s v="Travis Carter"/>
    <n v="74"/>
    <x v="0"/>
    <x v="0"/>
    <x v="7"/>
    <x v="3"/>
    <x v="59"/>
    <x v="1"/>
    <n v="30961.244737653731"/>
    <n v="413"/>
    <x v="1"/>
    <d v="2025-02-28T00:00:00"/>
    <n v="7"/>
    <x v="0"/>
  </r>
  <r>
    <s v="Larry Rodgers"/>
    <n v="41"/>
    <x v="3"/>
    <x v="1"/>
    <x v="1"/>
    <x v="5"/>
    <x v="60"/>
    <x v="0"/>
    <n v="29881.638125413891"/>
    <n v="169"/>
    <x v="0"/>
    <d v="2025-03-19T00:00:00"/>
    <n v="7"/>
    <x v="2"/>
  </r>
  <r>
    <s v="Nancy Glover"/>
    <n v="56"/>
    <x v="1"/>
    <x v="1"/>
    <x v="2"/>
    <x v="4"/>
    <x v="61"/>
    <x v="1"/>
    <n v="33066.42532790258"/>
    <n v="312"/>
    <x v="0"/>
    <d v="2025-10-28T00:00:00"/>
    <n v="4"/>
    <x v="0"/>
  </r>
  <r>
    <s v="Jessica King"/>
    <n v="48"/>
    <x v="3"/>
    <x v="1"/>
    <x v="1"/>
    <x v="3"/>
    <x v="62"/>
    <x v="1"/>
    <n v="35684.392045078253"/>
    <n v="411"/>
    <x v="0"/>
    <d v="2025-09-08T00:00:00"/>
    <n v="10"/>
    <x v="1"/>
  </r>
  <r>
    <s v="Christopher Gonzalez"/>
    <n v="51"/>
    <x v="1"/>
    <x v="0"/>
    <x v="4"/>
    <x v="0"/>
    <x v="63"/>
    <x v="3"/>
    <n v="24271.130884345781"/>
    <n v="226"/>
    <x v="1"/>
    <d v="2025-10-01T00:00:00"/>
    <n v="8"/>
    <x v="3"/>
  </r>
  <r>
    <s v="John Hartman"/>
    <n v="42"/>
    <x v="3"/>
    <x v="1"/>
    <x v="7"/>
    <x v="5"/>
    <x v="64"/>
    <x v="3"/>
    <n v="3263.4972347163061"/>
    <n v="248"/>
    <x v="1"/>
    <d v="2025-02-19T00:00:00"/>
    <n v="6"/>
    <x v="4"/>
  </r>
  <r>
    <s v="Michael Miller"/>
    <n v="48"/>
    <x v="3"/>
    <x v="1"/>
    <x v="3"/>
    <x v="4"/>
    <x v="65"/>
    <x v="0"/>
    <n v="24330.424672958241"/>
    <n v="122"/>
    <x v="0"/>
    <d v="2025-03-21T00:00:00"/>
    <n v="3"/>
    <x v="3"/>
  </r>
  <r>
    <s v="Erica Myers"/>
    <n v="21"/>
    <x v="2"/>
    <x v="1"/>
    <x v="2"/>
    <x v="5"/>
    <x v="66"/>
    <x v="1"/>
    <n v="35165.347545991361"/>
    <n v="148"/>
    <x v="0"/>
    <d v="2025-12-01T00:00:00"/>
    <n v="10"/>
    <x v="3"/>
  </r>
  <r>
    <s v="Carol Patterson"/>
    <n v="31"/>
    <x v="2"/>
    <x v="1"/>
    <x v="3"/>
    <x v="4"/>
    <x v="67"/>
    <x v="1"/>
    <n v="36250.968878310239"/>
    <n v="201"/>
    <x v="0"/>
    <d v="2025-04-28T00:00:00"/>
    <n v="11"/>
    <x v="2"/>
  </r>
  <r>
    <s v="Jose Lopez"/>
    <n v="24"/>
    <x v="2"/>
    <x v="1"/>
    <x v="1"/>
    <x v="1"/>
    <x v="68"/>
    <x v="1"/>
    <n v="12637.0756825794"/>
    <n v="499"/>
    <x v="0"/>
    <d v="2025-04-24T00:00:00"/>
    <n v="13"/>
    <x v="2"/>
  </r>
  <r>
    <s v="Kevin Simmons Jr."/>
    <n v="76"/>
    <x v="0"/>
    <x v="0"/>
    <x v="5"/>
    <x v="2"/>
    <x v="69"/>
    <x v="3"/>
    <n v="24984.323711030938"/>
    <n v="131"/>
    <x v="0"/>
    <d v="2025-01-30T00:00:00"/>
    <n v="8"/>
    <x v="4"/>
  </r>
  <r>
    <s v="Duane Haney"/>
    <n v="33"/>
    <x v="2"/>
    <x v="1"/>
    <x v="2"/>
    <x v="1"/>
    <x v="70"/>
    <x v="0"/>
    <n v="5340.0514148335988"/>
    <n v="252"/>
    <x v="0"/>
    <d v="2025-08-22T00:00:00"/>
    <n v="4"/>
    <x v="4"/>
  </r>
  <r>
    <s v="Jonathan Yates"/>
    <n v="53"/>
    <x v="1"/>
    <x v="0"/>
    <x v="7"/>
    <x v="2"/>
    <x v="71"/>
    <x v="1"/>
    <n v="27967.388343924489"/>
    <n v="498"/>
    <x v="1"/>
    <d v="2025-05-02T00:00:00"/>
    <n v="4"/>
    <x v="1"/>
  </r>
  <r>
    <s v="John Thomas"/>
    <n v="37"/>
    <x v="3"/>
    <x v="0"/>
    <x v="0"/>
    <x v="1"/>
    <x v="45"/>
    <x v="3"/>
    <n v="18083.789523970041"/>
    <n v="337"/>
    <x v="1"/>
    <d v="2025-04-05T00:00:00"/>
    <n v="13"/>
    <x v="0"/>
  </r>
  <r>
    <s v="Adrian Buckley"/>
    <n v="50"/>
    <x v="3"/>
    <x v="1"/>
    <x v="3"/>
    <x v="1"/>
    <x v="72"/>
    <x v="0"/>
    <n v="22361.29684207536"/>
    <n v="265"/>
    <x v="0"/>
    <d v="2025-02-17T00:00:00"/>
    <n v="13"/>
    <x v="2"/>
  </r>
  <r>
    <s v="April Santiago"/>
    <n v="78"/>
    <x v="0"/>
    <x v="1"/>
    <x v="3"/>
    <x v="4"/>
    <x v="73"/>
    <x v="1"/>
    <n v="31725.722306520471"/>
    <n v="372"/>
    <x v="1"/>
    <d v="2025-08-15T00:00:00"/>
    <n v="4"/>
    <x v="0"/>
  </r>
  <r>
    <s v="Diane Schultz"/>
    <n v="57"/>
    <x v="1"/>
    <x v="0"/>
    <x v="7"/>
    <x v="5"/>
    <x v="74"/>
    <x v="0"/>
    <n v="47552.063053740443"/>
    <n v="212"/>
    <x v="0"/>
    <d v="2025-10-26T00:00:00"/>
    <n v="8"/>
    <x v="2"/>
  </r>
  <r>
    <s v="Timothy Myers"/>
    <n v="26"/>
    <x v="2"/>
    <x v="1"/>
    <x v="5"/>
    <x v="0"/>
    <x v="75"/>
    <x v="3"/>
    <n v="27118.758269869191"/>
    <n v="236"/>
    <x v="1"/>
    <d v="2025-04-12T00:00:00"/>
    <n v="12"/>
    <x v="3"/>
  </r>
  <r>
    <s v="Nicole Hughes"/>
    <n v="67"/>
    <x v="0"/>
    <x v="0"/>
    <x v="6"/>
    <x v="5"/>
    <x v="76"/>
    <x v="0"/>
    <n v="14528.200868985439"/>
    <n v="397"/>
    <x v="0"/>
    <d v="2025-06-16T00:00:00"/>
    <n v="14"/>
    <x v="2"/>
  </r>
  <r>
    <s v="Chad Moreno"/>
    <n v="61"/>
    <x v="1"/>
    <x v="1"/>
    <x v="6"/>
    <x v="1"/>
    <x v="77"/>
    <x v="3"/>
    <n v="9333.1694948133754"/>
    <n v="212"/>
    <x v="0"/>
    <d v="2025-09-03T00:00:00"/>
    <n v="3"/>
    <x v="0"/>
  </r>
  <r>
    <s v="Sean Jennings"/>
    <n v="24"/>
    <x v="2"/>
    <x v="1"/>
    <x v="4"/>
    <x v="1"/>
    <x v="78"/>
    <x v="3"/>
    <n v="19782.6389913577"/>
    <n v="438"/>
    <x v="1"/>
    <d v="2025-02-03T00:00:00"/>
    <n v="4"/>
    <x v="4"/>
  </r>
  <r>
    <s v="Diane Branch"/>
    <n v="46"/>
    <x v="3"/>
    <x v="0"/>
    <x v="4"/>
    <x v="4"/>
    <x v="79"/>
    <x v="0"/>
    <n v="28119.131954616299"/>
    <n v="200"/>
    <x v="0"/>
    <d v="2025-10-26T00:00:00"/>
    <n v="11"/>
    <x v="4"/>
  </r>
  <r>
    <s v="Cindy Orozco"/>
    <n v="52"/>
    <x v="1"/>
    <x v="1"/>
    <x v="0"/>
    <x v="4"/>
    <x v="80"/>
    <x v="1"/>
    <n v="22014.36322015616"/>
    <n v="206"/>
    <x v="1"/>
    <d v="2025-05-16T00:00:00"/>
    <n v="8"/>
    <x v="4"/>
  </r>
  <r>
    <s v="Patricia Medina"/>
    <n v="63"/>
    <x v="1"/>
    <x v="0"/>
    <x v="6"/>
    <x v="4"/>
    <x v="81"/>
    <x v="1"/>
    <n v="7872.138635918418"/>
    <n v="121"/>
    <x v="1"/>
    <d v="2025-12-10T00:00:00"/>
    <n v="7"/>
    <x v="4"/>
  </r>
  <r>
    <s v="Kayla Padilla"/>
    <n v="71"/>
    <x v="0"/>
    <x v="1"/>
    <x v="6"/>
    <x v="2"/>
    <x v="82"/>
    <x v="3"/>
    <n v="46271.376196317018"/>
    <n v="145"/>
    <x v="0"/>
    <d v="2025-10-16T00:00:00"/>
    <n v="6"/>
    <x v="3"/>
  </r>
  <r>
    <s v="Juan Klein"/>
    <n v="20"/>
    <x v="2"/>
    <x v="1"/>
    <x v="0"/>
    <x v="4"/>
    <x v="71"/>
    <x v="0"/>
    <n v="20616.550195486539"/>
    <n v="426"/>
    <x v="0"/>
    <d v="2025-05-03T00:00:00"/>
    <n v="5"/>
    <x v="4"/>
  </r>
  <r>
    <s v="William Hill"/>
    <n v="72"/>
    <x v="0"/>
    <x v="0"/>
    <x v="3"/>
    <x v="1"/>
    <x v="83"/>
    <x v="0"/>
    <n v="47267.928203278279"/>
    <n v="170"/>
    <x v="0"/>
    <d v="2025-03-20T00:00:00"/>
    <n v="13"/>
    <x v="2"/>
  </r>
  <r>
    <s v="Carl Best"/>
    <n v="58"/>
    <x v="1"/>
    <x v="0"/>
    <x v="0"/>
    <x v="4"/>
    <x v="64"/>
    <x v="0"/>
    <n v="2403.2908991141949"/>
    <n v="349"/>
    <x v="0"/>
    <d v="2025-02-26T00:00:00"/>
    <n v="13"/>
    <x v="2"/>
  </r>
  <r>
    <s v="Tina Griffin"/>
    <n v="23"/>
    <x v="2"/>
    <x v="1"/>
    <x v="7"/>
    <x v="0"/>
    <x v="84"/>
    <x v="1"/>
    <n v="49817.112709190013"/>
    <n v="422"/>
    <x v="1"/>
    <d v="2025-05-31T00:00:00"/>
    <n v="14"/>
    <x v="0"/>
  </r>
  <r>
    <s v="Mr. Tyler Taylor Phd"/>
    <n v="33"/>
    <x v="2"/>
    <x v="0"/>
    <x v="1"/>
    <x v="0"/>
    <x v="85"/>
    <x v="1"/>
    <n v="44302.237204928053"/>
    <n v="289"/>
    <x v="0"/>
    <d v="2025-01-23T00:00:00"/>
    <n v="4"/>
    <x v="2"/>
  </r>
  <r>
    <s v="Taylor Howell Dds"/>
    <n v="69"/>
    <x v="0"/>
    <x v="0"/>
    <x v="7"/>
    <x v="5"/>
    <x v="8"/>
    <x v="3"/>
    <n v="24579.105440731211"/>
    <n v="205"/>
    <x v="0"/>
    <d v="2025-02-03T00:00:00"/>
    <n v="13"/>
    <x v="3"/>
  </r>
  <r>
    <s v="Michael Martin"/>
    <n v="49"/>
    <x v="3"/>
    <x v="1"/>
    <x v="2"/>
    <x v="1"/>
    <x v="60"/>
    <x v="0"/>
    <n v="4372.7058190851922"/>
    <n v="469"/>
    <x v="0"/>
    <d v="2025-03-22T00:00:00"/>
    <n v="10"/>
    <x v="4"/>
  </r>
  <r>
    <s v="Heather Miller"/>
    <n v="65"/>
    <x v="1"/>
    <x v="1"/>
    <x v="1"/>
    <x v="0"/>
    <x v="24"/>
    <x v="0"/>
    <n v="33093.480796531549"/>
    <n v="447"/>
    <x v="0"/>
    <d v="2025-08-02T00:00:00"/>
    <n v="7"/>
    <x v="0"/>
  </r>
  <r>
    <s v="Catherine Gardner"/>
    <n v="29"/>
    <x v="2"/>
    <x v="1"/>
    <x v="4"/>
    <x v="2"/>
    <x v="86"/>
    <x v="3"/>
    <n v="24035.26042122404"/>
    <n v="279"/>
    <x v="1"/>
    <d v="2025-10-06T00:00:00"/>
    <n v="4"/>
    <x v="2"/>
  </r>
  <r>
    <s v="Anne Thompson"/>
    <n v="56"/>
    <x v="1"/>
    <x v="0"/>
    <x v="3"/>
    <x v="0"/>
    <x v="87"/>
    <x v="0"/>
    <n v="43338.856482574731"/>
    <n v="370"/>
    <x v="0"/>
    <d v="2025-05-16T00:00:00"/>
    <n v="10"/>
    <x v="2"/>
  </r>
  <r>
    <s v="Todd Cooper"/>
    <n v="18"/>
    <x v="4"/>
    <x v="0"/>
    <x v="0"/>
    <x v="2"/>
    <x v="88"/>
    <x v="1"/>
    <n v="23994.01574671215"/>
    <n v="399"/>
    <x v="0"/>
    <d v="2025-01-21T00:00:00"/>
    <n v="11"/>
    <x v="1"/>
  </r>
  <r>
    <s v="Phillip Lyons"/>
    <n v="38"/>
    <x v="3"/>
    <x v="1"/>
    <x v="5"/>
    <x v="5"/>
    <x v="89"/>
    <x v="0"/>
    <n v="17312.715680722849"/>
    <n v="442"/>
    <x v="0"/>
    <d v="2025-12-02T00:00:00"/>
    <n v="8"/>
    <x v="0"/>
  </r>
  <r>
    <s v="Mark Ford"/>
    <n v="42"/>
    <x v="3"/>
    <x v="1"/>
    <x v="7"/>
    <x v="2"/>
    <x v="36"/>
    <x v="1"/>
    <n v="45128.61868448554"/>
    <n v="203"/>
    <x v="0"/>
    <d v="2025-08-15T00:00:00"/>
    <n v="12"/>
    <x v="1"/>
  </r>
  <r>
    <s v="Marcus Zamora"/>
    <n v="21"/>
    <x v="2"/>
    <x v="0"/>
    <x v="5"/>
    <x v="5"/>
    <x v="71"/>
    <x v="1"/>
    <n v="49577.493746851898"/>
    <n v="438"/>
    <x v="0"/>
    <d v="2025-05-03T00:00:00"/>
    <n v="5"/>
    <x v="0"/>
  </r>
  <r>
    <s v="Katie Henry"/>
    <n v="81"/>
    <x v="0"/>
    <x v="1"/>
    <x v="2"/>
    <x v="0"/>
    <x v="90"/>
    <x v="1"/>
    <n v="2504.204965769301"/>
    <n v="225"/>
    <x v="1"/>
    <d v="2025-10-10T00:00:00"/>
    <n v="2"/>
    <x v="1"/>
  </r>
  <r>
    <s v="William Morton"/>
    <n v="73"/>
    <x v="0"/>
    <x v="1"/>
    <x v="5"/>
    <x v="4"/>
    <x v="91"/>
    <x v="3"/>
    <n v="41191.887321978567"/>
    <n v="348"/>
    <x v="1"/>
    <d v="2025-10-29T00:00:00"/>
    <n v="10"/>
    <x v="0"/>
  </r>
  <r>
    <s v="Katrina Martin"/>
    <n v="33"/>
    <x v="2"/>
    <x v="0"/>
    <x v="4"/>
    <x v="5"/>
    <x v="12"/>
    <x v="1"/>
    <n v="30219.21558658464"/>
    <n v="125"/>
    <x v="1"/>
    <d v="2025-12-19T00:00:00"/>
    <n v="11"/>
    <x v="4"/>
  </r>
  <r>
    <s v="Hunter Mckay"/>
    <n v="48"/>
    <x v="3"/>
    <x v="1"/>
    <x v="5"/>
    <x v="5"/>
    <x v="7"/>
    <x v="1"/>
    <n v="17223.815442985619"/>
    <n v="467"/>
    <x v="1"/>
    <d v="2025-08-25T00:00:00"/>
    <n v="4"/>
    <x v="1"/>
  </r>
  <r>
    <s v="Dwayne Davis"/>
    <n v="48"/>
    <x v="3"/>
    <x v="0"/>
    <x v="3"/>
    <x v="4"/>
    <x v="92"/>
    <x v="1"/>
    <n v="32178.919828630289"/>
    <n v="325"/>
    <x v="0"/>
    <d v="2025-06-08T00:00:00"/>
    <n v="9"/>
    <x v="4"/>
  </r>
  <r>
    <s v="Sarah Caldwell"/>
    <n v="66"/>
    <x v="0"/>
    <x v="1"/>
    <x v="5"/>
    <x v="0"/>
    <x v="93"/>
    <x v="0"/>
    <n v="33342.063686175992"/>
    <n v="448"/>
    <x v="0"/>
    <d v="2025-04-11T00:00:00"/>
    <n v="2"/>
    <x v="1"/>
  </r>
  <r>
    <s v="David Higgins"/>
    <n v="52"/>
    <x v="1"/>
    <x v="1"/>
    <x v="7"/>
    <x v="0"/>
    <x v="94"/>
    <x v="0"/>
    <n v="12242.96951293959"/>
    <n v="288"/>
    <x v="0"/>
    <d v="2025-06-24T00:00:00"/>
    <n v="9"/>
    <x v="1"/>
  </r>
  <r>
    <s v="Bradley Combs"/>
    <n v="64"/>
    <x v="1"/>
    <x v="0"/>
    <x v="3"/>
    <x v="4"/>
    <x v="92"/>
    <x v="1"/>
    <n v="49088.077953631189"/>
    <n v="161"/>
    <x v="1"/>
    <d v="2025-06-08T00:00:00"/>
    <n v="9"/>
    <x v="2"/>
  </r>
  <r>
    <s v="Christina Schmitt"/>
    <n v="72"/>
    <x v="0"/>
    <x v="0"/>
    <x v="7"/>
    <x v="1"/>
    <x v="95"/>
    <x v="1"/>
    <n v="1174.2596511194511"/>
    <n v="228"/>
    <x v="1"/>
    <d v="2025-03-02T00:00:00"/>
    <n v="10"/>
    <x v="0"/>
  </r>
  <r>
    <s v="Colton Strong"/>
    <n v="59"/>
    <x v="1"/>
    <x v="0"/>
    <x v="4"/>
    <x v="1"/>
    <x v="85"/>
    <x v="3"/>
    <n v="44039.045414918473"/>
    <n v="104"/>
    <x v="1"/>
    <d v="2025-01-25T00:00:00"/>
    <n v="6"/>
    <x v="2"/>
  </r>
  <r>
    <s v="Mark Price"/>
    <n v="19"/>
    <x v="2"/>
    <x v="0"/>
    <x v="4"/>
    <x v="4"/>
    <x v="96"/>
    <x v="0"/>
    <n v="34841.526279194717"/>
    <n v="227"/>
    <x v="0"/>
    <d v="2025-01-22T00:00:00"/>
    <n v="2"/>
    <x v="0"/>
  </r>
  <r>
    <s v="Suzanne Schneider"/>
    <n v="57"/>
    <x v="1"/>
    <x v="1"/>
    <x v="4"/>
    <x v="5"/>
    <x v="67"/>
    <x v="3"/>
    <n v="24972.101953197671"/>
    <n v="492"/>
    <x v="0"/>
    <d v="2025-04-27T00:00:00"/>
    <n v="10"/>
    <x v="0"/>
  </r>
  <r>
    <s v="Michael Hurley"/>
    <n v="37"/>
    <x v="3"/>
    <x v="0"/>
    <x v="2"/>
    <x v="5"/>
    <x v="73"/>
    <x v="3"/>
    <n v="15528.373245424589"/>
    <n v="309"/>
    <x v="1"/>
    <d v="2025-08-22T00:00:00"/>
    <n v="11"/>
    <x v="2"/>
  </r>
  <r>
    <s v="Lindsey Lambert"/>
    <n v="39"/>
    <x v="3"/>
    <x v="0"/>
    <x v="4"/>
    <x v="0"/>
    <x v="97"/>
    <x v="1"/>
    <n v="45726.142715749193"/>
    <n v="487"/>
    <x v="0"/>
    <d v="2025-02-14T00:00:00"/>
    <n v="12"/>
    <x v="2"/>
  </r>
  <r>
    <s v="Rebecca Parsons"/>
    <n v="83"/>
    <x v="0"/>
    <x v="1"/>
    <x v="1"/>
    <x v="5"/>
    <x v="20"/>
    <x v="1"/>
    <n v="11734.61351509644"/>
    <n v="206"/>
    <x v="1"/>
    <d v="2025-02-10T00:00:00"/>
    <n v="14"/>
    <x v="4"/>
  </r>
  <r>
    <s v="Judy Johnson"/>
    <n v="70"/>
    <x v="0"/>
    <x v="0"/>
    <x v="7"/>
    <x v="0"/>
    <x v="98"/>
    <x v="1"/>
    <n v="36521.864234060064"/>
    <n v="345"/>
    <x v="1"/>
    <d v="2025-10-08T00:00:00"/>
    <n v="4"/>
    <x v="3"/>
  </r>
  <r>
    <s v="Tonya Campbell"/>
    <n v="76"/>
    <x v="0"/>
    <x v="1"/>
    <x v="3"/>
    <x v="1"/>
    <x v="9"/>
    <x v="1"/>
    <n v="19252.864675574579"/>
    <n v="297"/>
    <x v="0"/>
    <d v="2025-10-17T00:00:00"/>
    <n v="6"/>
    <x v="2"/>
  </r>
  <r>
    <s v="James Ross"/>
    <n v="19"/>
    <x v="2"/>
    <x v="1"/>
    <x v="7"/>
    <x v="3"/>
    <x v="99"/>
    <x v="3"/>
    <n v="8537.2245416379938"/>
    <n v="376"/>
    <x v="0"/>
    <d v="2025-09-17T00:00:00"/>
    <n v="2"/>
    <x v="0"/>
  </r>
  <r>
    <s v="Sara Cook"/>
    <n v="19"/>
    <x v="2"/>
    <x v="1"/>
    <x v="1"/>
    <x v="1"/>
    <x v="100"/>
    <x v="3"/>
    <n v="40147.11959375396"/>
    <n v="365"/>
    <x v="0"/>
    <d v="2025-04-06T00:00:00"/>
    <n v="1"/>
    <x v="1"/>
  </r>
  <r>
    <s v="Anne Howell"/>
    <n v="47"/>
    <x v="3"/>
    <x v="1"/>
    <x v="5"/>
    <x v="2"/>
    <x v="101"/>
    <x v="1"/>
    <n v="38078.95631060782"/>
    <n v="101"/>
    <x v="0"/>
    <d v="2025-12-05T00:00:00"/>
    <n v="8"/>
    <x v="2"/>
  </r>
  <r>
    <s v="Renee Bailey"/>
    <n v="32"/>
    <x v="2"/>
    <x v="1"/>
    <x v="0"/>
    <x v="2"/>
    <x v="94"/>
    <x v="3"/>
    <n v="29400.900403814328"/>
    <n v="162"/>
    <x v="1"/>
    <d v="2025-06-16T00:00:00"/>
    <n v="1"/>
    <x v="2"/>
  </r>
  <r>
    <s v="Jeffrey Turner"/>
    <n v="71"/>
    <x v="0"/>
    <x v="0"/>
    <x v="1"/>
    <x v="2"/>
    <x v="74"/>
    <x v="3"/>
    <n v="46455.543023351252"/>
    <n v="341"/>
    <x v="0"/>
    <d v="2025-10-30T00:00:00"/>
    <n v="12"/>
    <x v="3"/>
  </r>
  <r>
    <s v="Dr. Lauren Clark Dds"/>
    <n v="47"/>
    <x v="3"/>
    <x v="0"/>
    <x v="3"/>
    <x v="1"/>
    <x v="22"/>
    <x v="1"/>
    <n v="5689.9941503376622"/>
    <n v="256"/>
    <x v="0"/>
    <d v="2025-07-31T00:00:00"/>
    <n v="14"/>
    <x v="0"/>
  </r>
  <r>
    <s v="Terry Thomas"/>
    <n v="28"/>
    <x v="2"/>
    <x v="0"/>
    <x v="4"/>
    <x v="3"/>
    <x v="15"/>
    <x v="3"/>
    <n v="7297.4709818187775"/>
    <n v="442"/>
    <x v="1"/>
    <d v="2025-08-11T00:00:00"/>
    <n v="7"/>
    <x v="4"/>
  </r>
  <r>
    <s v="Jason Baker"/>
    <n v="48"/>
    <x v="3"/>
    <x v="0"/>
    <x v="3"/>
    <x v="5"/>
    <x v="102"/>
    <x v="1"/>
    <n v="16419.093707440948"/>
    <n v="114"/>
    <x v="0"/>
    <d v="2025-10-03T00:00:00"/>
    <n v="14"/>
    <x v="2"/>
  </r>
  <r>
    <s v="Jessica Gutierrez"/>
    <n v="58"/>
    <x v="1"/>
    <x v="0"/>
    <x v="1"/>
    <x v="0"/>
    <x v="76"/>
    <x v="3"/>
    <n v="26001.63339521633"/>
    <n v="162"/>
    <x v="0"/>
    <d v="2025-06-10T00:00:00"/>
    <n v="8"/>
    <x v="4"/>
  </r>
  <r>
    <s v="Courtney Hodges"/>
    <n v="65"/>
    <x v="1"/>
    <x v="1"/>
    <x v="1"/>
    <x v="3"/>
    <x v="103"/>
    <x v="3"/>
    <n v="24994.77334558095"/>
    <n v="111"/>
    <x v="0"/>
    <d v="2025-10-09T00:00:00"/>
    <n v="9"/>
    <x v="4"/>
  </r>
  <r>
    <s v="Anthony Reyes"/>
    <n v="65"/>
    <x v="1"/>
    <x v="0"/>
    <x v="7"/>
    <x v="0"/>
    <x v="104"/>
    <x v="3"/>
    <n v="41521.996402825112"/>
    <n v="256"/>
    <x v="0"/>
    <d v="2025-12-30T00:00:00"/>
    <n v="3"/>
    <x v="1"/>
  </r>
  <r>
    <s v="Leah Cross Dds"/>
    <n v="23"/>
    <x v="2"/>
    <x v="0"/>
    <x v="3"/>
    <x v="4"/>
    <x v="105"/>
    <x v="1"/>
    <n v="3859.8851801063179"/>
    <n v="474"/>
    <x v="1"/>
    <d v="2025-10-10T00:00:00"/>
    <n v="11"/>
    <x v="0"/>
  </r>
  <r>
    <s v="Paul Martinez"/>
    <n v="61"/>
    <x v="1"/>
    <x v="1"/>
    <x v="5"/>
    <x v="4"/>
    <x v="106"/>
    <x v="1"/>
    <n v="24273.48737879414"/>
    <n v="312"/>
    <x v="0"/>
    <d v="2025-03-17T00:00:00"/>
    <n v="6"/>
    <x v="3"/>
  </r>
  <r>
    <s v="Denise Rodriguez"/>
    <n v="45"/>
    <x v="3"/>
    <x v="0"/>
    <x v="2"/>
    <x v="4"/>
    <x v="107"/>
    <x v="1"/>
    <n v="28406.33718004428"/>
    <n v="310"/>
    <x v="0"/>
    <d v="2025-03-02T00:00:00"/>
    <n v="11"/>
    <x v="3"/>
  </r>
  <r>
    <s v="Ashley Erickson"/>
    <n v="52"/>
    <x v="1"/>
    <x v="1"/>
    <x v="7"/>
    <x v="3"/>
    <x v="92"/>
    <x v="3"/>
    <n v="33038.502738682677"/>
    <n v="454"/>
    <x v="0"/>
    <d v="2025-06-07T00:00:00"/>
    <n v="8"/>
    <x v="1"/>
  </r>
  <r>
    <s v="Sean Cardenas"/>
    <n v="68"/>
    <x v="0"/>
    <x v="1"/>
    <x v="1"/>
    <x v="1"/>
    <x v="108"/>
    <x v="3"/>
    <n v="42227.726101736138"/>
    <n v="434"/>
    <x v="1"/>
    <d v="2025-12-09T00:00:00"/>
    <n v="4"/>
    <x v="0"/>
  </r>
  <r>
    <s v="Alan Alvarez"/>
    <n v="59"/>
    <x v="1"/>
    <x v="1"/>
    <x v="2"/>
    <x v="4"/>
    <x v="109"/>
    <x v="1"/>
    <n v="24057.29659438031"/>
    <n v="181"/>
    <x v="1"/>
    <d v="2025-08-27T00:00:00"/>
    <n v="3"/>
    <x v="0"/>
  </r>
  <r>
    <s v="Jessica Phillips"/>
    <n v="51"/>
    <x v="1"/>
    <x v="1"/>
    <x v="0"/>
    <x v="3"/>
    <x v="22"/>
    <x v="1"/>
    <n v="46743.776680204028"/>
    <n v="324"/>
    <x v="1"/>
    <d v="2025-07-20T00:00:00"/>
    <n v="3"/>
    <x v="1"/>
  </r>
  <r>
    <s v="Timothy Coleman"/>
    <n v="20"/>
    <x v="2"/>
    <x v="1"/>
    <x v="0"/>
    <x v="4"/>
    <x v="110"/>
    <x v="1"/>
    <n v="6259.4234207235468"/>
    <n v="214"/>
    <x v="0"/>
    <d v="2025-02-27T00:00:00"/>
    <n v="11"/>
    <x v="2"/>
  </r>
  <r>
    <s v="Christina Woods"/>
    <n v="49"/>
    <x v="3"/>
    <x v="1"/>
    <x v="6"/>
    <x v="0"/>
    <x v="111"/>
    <x v="3"/>
    <n v="15652.00792330142"/>
    <n v="114"/>
    <x v="0"/>
    <d v="2025-07-14T00:00:00"/>
    <n v="1"/>
    <x v="1"/>
  </r>
  <r>
    <s v="Melissa Scott"/>
    <n v="32"/>
    <x v="2"/>
    <x v="1"/>
    <x v="3"/>
    <x v="2"/>
    <x v="112"/>
    <x v="0"/>
    <n v="31289.441687456871"/>
    <n v="102"/>
    <x v="0"/>
    <d v="2025-03-07T00:00:00"/>
    <n v="12"/>
    <x v="0"/>
  </r>
  <r>
    <s v="Gary Hopkins"/>
    <n v="50"/>
    <x v="3"/>
    <x v="0"/>
    <x v="4"/>
    <x v="3"/>
    <x v="113"/>
    <x v="3"/>
    <n v="40720.99649456409"/>
    <n v="193"/>
    <x v="1"/>
    <d v="2025-06-21T00:00:00"/>
    <n v="9"/>
    <x v="0"/>
  </r>
  <r>
    <s v="April Valencia"/>
    <n v="50"/>
    <x v="3"/>
    <x v="1"/>
    <x v="2"/>
    <x v="0"/>
    <x v="94"/>
    <x v="1"/>
    <n v="34417.980749458089"/>
    <n v="298"/>
    <x v="1"/>
    <d v="2025-06-25T00:00:00"/>
    <n v="10"/>
    <x v="1"/>
  </r>
  <r>
    <s v="Rita Archer"/>
    <n v="43"/>
    <x v="3"/>
    <x v="0"/>
    <x v="0"/>
    <x v="2"/>
    <x v="66"/>
    <x v="0"/>
    <n v="15420.45726720126"/>
    <n v="416"/>
    <x v="0"/>
    <d v="2025-12-03T00:00:00"/>
    <n v="12"/>
    <x v="2"/>
  </r>
  <r>
    <s v="Kim Pena"/>
    <n v="60"/>
    <x v="1"/>
    <x v="1"/>
    <x v="1"/>
    <x v="1"/>
    <x v="114"/>
    <x v="3"/>
    <n v="37899.746910195863"/>
    <n v="183"/>
    <x v="0"/>
    <d v="2025-05-25T00:00:00"/>
    <n v="2"/>
    <x v="4"/>
  </r>
  <r>
    <s v="Jason Foley"/>
    <n v="41"/>
    <x v="3"/>
    <x v="1"/>
    <x v="4"/>
    <x v="1"/>
    <x v="115"/>
    <x v="1"/>
    <n v="45220.305255759238"/>
    <n v="467"/>
    <x v="0"/>
    <d v="2025-10-17T00:00:00"/>
    <n v="11"/>
    <x v="3"/>
  </r>
  <r>
    <s v="Shaun Guzman"/>
    <n v="63"/>
    <x v="1"/>
    <x v="1"/>
    <x v="7"/>
    <x v="2"/>
    <x v="116"/>
    <x v="1"/>
    <n v="46290.27864844686"/>
    <n v="278"/>
    <x v="1"/>
    <d v="2025-10-18T00:00:00"/>
    <n v="9"/>
    <x v="1"/>
  </r>
  <r>
    <s v="Matthew White"/>
    <n v="58"/>
    <x v="1"/>
    <x v="1"/>
    <x v="1"/>
    <x v="4"/>
    <x v="117"/>
    <x v="0"/>
    <n v="35447.793168772267"/>
    <n v="358"/>
    <x v="0"/>
    <d v="2025-03-23T00:00:00"/>
    <n v="4"/>
    <x v="1"/>
  </r>
  <r>
    <s v="Alexis Wilson"/>
    <n v="21"/>
    <x v="2"/>
    <x v="1"/>
    <x v="6"/>
    <x v="3"/>
    <x v="118"/>
    <x v="3"/>
    <n v="41696.314514859689"/>
    <n v="206"/>
    <x v="0"/>
    <d v="2025-12-30T00:00:00"/>
    <n v="2"/>
    <x v="1"/>
  </r>
  <r>
    <s v="Jacqueline Marshall"/>
    <n v="70"/>
    <x v="0"/>
    <x v="0"/>
    <x v="1"/>
    <x v="2"/>
    <x v="119"/>
    <x v="0"/>
    <n v="18994.46760270121"/>
    <n v="179"/>
    <x v="0"/>
    <d v="2025-05-30T00:00:00"/>
    <n v="2"/>
    <x v="3"/>
  </r>
  <r>
    <s v="Robert Higgins"/>
    <n v="48"/>
    <x v="3"/>
    <x v="0"/>
    <x v="7"/>
    <x v="2"/>
    <x v="120"/>
    <x v="0"/>
    <n v="48315.57321039708"/>
    <n v="107"/>
    <x v="0"/>
    <d v="2025-11-03T00:00:00"/>
    <n v="5"/>
    <x v="4"/>
  </r>
  <r>
    <s v="Sierra Morton"/>
    <n v="36"/>
    <x v="3"/>
    <x v="1"/>
    <x v="5"/>
    <x v="1"/>
    <x v="121"/>
    <x v="3"/>
    <n v="10525.179369001609"/>
    <n v="371"/>
    <x v="1"/>
    <d v="2025-11-13T00:00:00"/>
    <n v="2"/>
    <x v="3"/>
  </r>
  <r>
    <s v="Natalie Stanton"/>
    <n v="61"/>
    <x v="1"/>
    <x v="0"/>
    <x v="3"/>
    <x v="1"/>
    <x v="122"/>
    <x v="1"/>
    <n v="19260.400335808419"/>
    <n v="172"/>
    <x v="1"/>
    <d v="2025-12-26T00:00:00"/>
    <n v="1"/>
    <x v="0"/>
  </r>
  <r>
    <s v="Jessica Acevedo"/>
    <n v="37"/>
    <x v="3"/>
    <x v="1"/>
    <x v="7"/>
    <x v="1"/>
    <x v="123"/>
    <x v="1"/>
    <n v="36455.737490200263"/>
    <n v="411"/>
    <x v="1"/>
    <d v="2025-08-10T00:00:00"/>
    <n v="8"/>
    <x v="0"/>
  </r>
  <r>
    <s v="Jennifer Mcmillan"/>
    <n v="54"/>
    <x v="1"/>
    <x v="0"/>
    <x v="1"/>
    <x v="1"/>
    <x v="124"/>
    <x v="3"/>
    <n v="31570.63884216961"/>
    <n v="208"/>
    <x v="1"/>
    <d v="2026-01-01T00:00:00"/>
    <n v="1"/>
    <x v="3"/>
  </r>
  <r>
    <s v="Christopher Mcclain"/>
    <n v="58"/>
    <x v="1"/>
    <x v="1"/>
    <x v="7"/>
    <x v="2"/>
    <x v="83"/>
    <x v="3"/>
    <n v="4329.0720970202756"/>
    <n v="382"/>
    <x v="0"/>
    <d v="2025-03-08T00:00:00"/>
    <n v="1"/>
    <x v="0"/>
  </r>
  <r>
    <s v="Kevin Hicks"/>
    <n v="77"/>
    <x v="0"/>
    <x v="0"/>
    <x v="3"/>
    <x v="4"/>
    <x v="125"/>
    <x v="1"/>
    <n v="49367.765083075552"/>
    <n v="392"/>
    <x v="0"/>
    <d v="2025-11-16T00:00:00"/>
    <n v="11"/>
    <x v="1"/>
  </r>
  <r>
    <s v="Melinda Richards"/>
    <n v="80"/>
    <x v="0"/>
    <x v="0"/>
    <x v="5"/>
    <x v="4"/>
    <x v="126"/>
    <x v="0"/>
    <n v="4993.0296470344574"/>
    <n v="384"/>
    <x v="0"/>
    <d v="2025-05-28T00:00:00"/>
    <n v="7"/>
    <x v="1"/>
  </r>
  <r>
    <s v="Robyn Miranda"/>
    <n v="78"/>
    <x v="0"/>
    <x v="1"/>
    <x v="4"/>
    <x v="4"/>
    <x v="127"/>
    <x v="3"/>
    <n v="20433.618194508021"/>
    <n v="279"/>
    <x v="1"/>
    <d v="2025-11-05T00:00:00"/>
    <n v="2"/>
    <x v="1"/>
  </r>
  <r>
    <s v="Scott Castillo"/>
    <n v="27"/>
    <x v="2"/>
    <x v="0"/>
    <x v="2"/>
    <x v="1"/>
    <x v="128"/>
    <x v="1"/>
    <n v="19465.7478546848"/>
    <n v="173"/>
    <x v="0"/>
    <d v="2025-09-19T00:00:00"/>
    <n v="12"/>
    <x v="2"/>
  </r>
  <r>
    <s v="John Garcia"/>
    <n v="30"/>
    <x v="2"/>
    <x v="1"/>
    <x v="4"/>
    <x v="4"/>
    <x v="129"/>
    <x v="3"/>
    <n v="48066.241643821748"/>
    <n v="130"/>
    <x v="0"/>
    <d v="2025-05-13T00:00:00"/>
    <n v="13"/>
    <x v="2"/>
  </r>
  <r>
    <s v="Michael Taylor"/>
    <n v="38"/>
    <x v="3"/>
    <x v="0"/>
    <x v="2"/>
    <x v="5"/>
    <x v="130"/>
    <x v="1"/>
    <n v="41763.641007320242"/>
    <n v="209"/>
    <x v="0"/>
    <d v="2025-07-03T00:00:00"/>
    <n v="7"/>
    <x v="4"/>
  </r>
  <r>
    <s v="Jeffrey Wood"/>
    <n v="56"/>
    <x v="1"/>
    <x v="0"/>
    <x v="0"/>
    <x v="1"/>
    <x v="79"/>
    <x v="0"/>
    <n v="41552.120000541348"/>
    <n v="398"/>
    <x v="0"/>
    <d v="2025-10-19T00:00:00"/>
    <n v="4"/>
    <x v="0"/>
  </r>
  <r>
    <s v="Michael Smith"/>
    <n v="83"/>
    <x v="0"/>
    <x v="0"/>
    <x v="2"/>
    <x v="4"/>
    <x v="55"/>
    <x v="1"/>
    <n v="40580.751165894333"/>
    <n v="213"/>
    <x v="0"/>
    <d v="2025-04-02T00:00:00"/>
    <n v="7"/>
    <x v="2"/>
  </r>
  <r>
    <s v="William Griffith"/>
    <n v="71"/>
    <x v="0"/>
    <x v="0"/>
    <x v="5"/>
    <x v="3"/>
    <x v="22"/>
    <x v="3"/>
    <n v="43866.882683449403"/>
    <n v="314"/>
    <x v="0"/>
    <d v="2025-07-30T00:00:00"/>
    <n v="13"/>
    <x v="2"/>
  </r>
  <r>
    <s v="Christina Lawrence"/>
    <n v="73"/>
    <x v="0"/>
    <x v="0"/>
    <x v="5"/>
    <x v="0"/>
    <x v="131"/>
    <x v="0"/>
    <n v="35451.087032809599"/>
    <n v="128"/>
    <x v="0"/>
    <d v="2025-11-18T00:00:00"/>
    <n v="12"/>
    <x v="1"/>
  </r>
  <r>
    <s v="Jessica Holmes"/>
    <n v="80"/>
    <x v="0"/>
    <x v="1"/>
    <x v="3"/>
    <x v="1"/>
    <x v="132"/>
    <x v="1"/>
    <n v="23309.746558565668"/>
    <n v="107"/>
    <x v="1"/>
    <d v="2025-02-01T00:00:00"/>
    <n v="6"/>
    <x v="4"/>
  </r>
  <r>
    <s v="Tracey Greene"/>
    <n v="42"/>
    <x v="3"/>
    <x v="1"/>
    <x v="2"/>
    <x v="3"/>
    <x v="133"/>
    <x v="1"/>
    <n v="34014.462811270692"/>
    <n v="273"/>
    <x v="0"/>
    <d v="2025-02-16T00:00:00"/>
    <n v="8"/>
    <x v="0"/>
  </r>
  <r>
    <s v="Amanda Lopez"/>
    <n v="37"/>
    <x v="3"/>
    <x v="1"/>
    <x v="5"/>
    <x v="4"/>
    <x v="134"/>
    <x v="3"/>
    <n v="9181.8052137783634"/>
    <n v="252"/>
    <x v="0"/>
    <d v="2025-07-29T00:00:00"/>
    <n v="10"/>
    <x v="2"/>
  </r>
  <r>
    <s v="Laura Peters"/>
    <n v="67"/>
    <x v="0"/>
    <x v="1"/>
    <x v="3"/>
    <x v="2"/>
    <x v="41"/>
    <x v="3"/>
    <n v="25703.094811721279"/>
    <n v="281"/>
    <x v="1"/>
    <d v="2025-02-11T00:00:00"/>
    <n v="11"/>
    <x v="2"/>
  </r>
  <r>
    <s v="Lauren Anderson"/>
    <n v="28"/>
    <x v="2"/>
    <x v="0"/>
    <x v="5"/>
    <x v="3"/>
    <x v="78"/>
    <x v="1"/>
    <n v="38849.366081997061"/>
    <n v="220"/>
    <x v="0"/>
    <d v="2025-02-01T00:00:00"/>
    <n v="2"/>
    <x v="3"/>
  </r>
  <r>
    <s v="William Campos"/>
    <n v="60"/>
    <x v="1"/>
    <x v="1"/>
    <x v="6"/>
    <x v="4"/>
    <x v="135"/>
    <x v="3"/>
    <n v="28085.03790706952"/>
    <n v="218"/>
    <x v="1"/>
    <d v="2025-03-14T00:00:00"/>
    <n v="5"/>
    <x v="3"/>
  </r>
  <r>
    <s v="Jessica Gonzales"/>
    <n v="76"/>
    <x v="0"/>
    <x v="0"/>
    <x v="4"/>
    <x v="5"/>
    <x v="136"/>
    <x v="1"/>
    <n v="5808.0200857434884"/>
    <n v="327"/>
    <x v="1"/>
    <d v="2025-05-04T00:00:00"/>
    <n v="7"/>
    <x v="4"/>
  </r>
  <r>
    <s v="Bruce Gonzales"/>
    <n v="32"/>
    <x v="2"/>
    <x v="0"/>
    <x v="7"/>
    <x v="3"/>
    <x v="120"/>
    <x v="0"/>
    <n v="43824.209008108519"/>
    <n v="298"/>
    <x v="0"/>
    <d v="2025-10-31T00:00:00"/>
    <n v="2"/>
    <x v="4"/>
  </r>
  <r>
    <s v="Robert Walsh"/>
    <n v="42"/>
    <x v="3"/>
    <x v="0"/>
    <x v="6"/>
    <x v="4"/>
    <x v="137"/>
    <x v="0"/>
    <n v="34662.847580718742"/>
    <n v="255"/>
    <x v="0"/>
    <d v="2025-03-16T00:00:00"/>
    <n v="8"/>
    <x v="1"/>
  </r>
  <r>
    <s v="Lisa Lewis"/>
    <n v="46"/>
    <x v="3"/>
    <x v="0"/>
    <x v="3"/>
    <x v="1"/>
    <x v="127"/>
    <x v="3"/>
    <n v="12614.016082537441"/>
    <n v="426"/>
    <x v="1"/>
    <d v="2025-11-13T00:00:00"/>
    <n v="10"/>
    <x v="0"/>
  </r>
  <r>
    <s v="William Ruiz"/>
    <n v="43"/>
    <x v="3"/>
    <x v="0"/>
    <x v="1"/>
    <x v="5"/>
    <x v="138"/>
    <x v="1"/>
    <n v="7911.1512275112191"/>
    <n v="202"/>
    <x v="0"/>
    <d v="2025-05-23T00:00:00"/>
    <n v="5"/>
    <x v="3"/>
  </r>
  <r>
    <s v="Steven Baldwin"/>
    <n v="44"/>
    <x v="3"/>
    <x v="1"/>
    <x v="0"/>
    <x v="1"/>
    <x v="139"/>
    <x v="1"/>
    <n v="32092.548177050379"/>
    <n v="416"/>
    <x v="1"/>
    <d v="2025-04-10T00:00:00"/>
    <n v="3"/>
    <x v="0"/>
  </r>
  <r>
    <s v="Megan Colon"/>
    <n v="53"/>
    <x v="1"/>
    <x v="1"/>
    <x v="5"/>
    <x v="0"/>
    <x v="88"/>
    <x v="3"/>
    <n v="35852.726121806823"/>
    <n v="442"/>
    <x v="1"/>
    <d v="2025-01-16T00:00:00"/>
    <n v="6"/>
    <x v="3"/>
  </r>
  <r>
    <s v="Kimberly Brooks"/>
    <n v="43"/>
    <x v="3"/>
    <x v="0"/>
    <x v="4"/>
    <x v="1"/>
    <x v="59"/>
    <x v="3"/>
    <n v="11583.981532530361"/>
    <n v="158"/>
    <x v="1"/>
    <d v="2025-02-28T00:00:00"/>
    <n v="7"/>
    <x v="2"/>
  </r>
  <r>
    <s v="Edward Smith Jr."/>
    <n v="58"/>
    <x v="1"/>
    <x v="1"/>
    <x v="2"/>
    <x v="4"/>
    <x v="30"/>
    <x v="3"/>
    <n v="49375.424740498398"/>
    <n v="464"/>
    <x v="0"/>
    <d v="2025-08-19T00:00:00"/>
    <n v="5"/>
    <x v="2"/>
  </r>
  <r>
    <s v="Allison Cordova"/>
    <n v="82"/>
    <x v="0"/>
    <x v="1"/>
    <x v="3"/>
    <x v="4"/>
    <x v="18"/>
    <x v="1"/>
    <n v="37512.302782120831"/>
    <n v="125"/>
    <x v="0"/>
    <d v="2025-10-05T00:00:00"/>
    <n v="9"/>
    <x v="1"/>
  </r>
  <r>
    <s v="Linda Thomas"/>
    <n v="65"/>
    <x v="1"/>
    <x v="0"/>
    <x v="3"/>
    <x v="0"/>
    <x v="91"/>
    <x v="1"/>
    <n v="18535.912251779551"/>
    <n v="452"/>
    <x v="0"/>
    <d v="2025-10-29T00:00:00"/>
    <n v="10"/>
    <x v="3"/>
  </r>
  <r>
    <s v="Parker Moore"/>
    <n v="45"/>
    <x v="3"/>
    <x v="1"/>
    <x v="7"/>
    <x v="4"/>
    <x v="140"/>
    <x v="1"/>
    <n v="31822.46418563676"/>
    <n v="296"/>
    <x v="0"/>
    <d v="2025-10-02T00:00:00"/>
    <n v="11"/>
    <x v="1"/>
  </r>
  <r>
    <s v="Tanya Soto"/>
    <n v="26"/>
    <x v="2"/>
    <x v="1"/>
    <x v="4"/>
    <x v="0"/>
    <x v="141"/>
    <x v="3"/>
    <n v="36980.612257696521"/>
    <n v="476"/>
    <x v="1"/>
    <d v="2025-07-02T00:00:00"/>
    <n v="10"/>
    <x v="1"/>
  </r>
  <r>
    <s v="Michael Jordan"/>
    <n v="48"/>
    <x v="3"/>
    <x v="1"/>
    <x v="7"/>
    <x v="4"/>
    <x v="88"/>
    <x v="1"/>
    <n v="21451.218366239911"/>
    <n v="125"/>
    <x v="1"/>
    <d v="2025-01-16T00:00:00"/>
    <n v="6"/>
    <x v="4"/>
  </r>
  <r>
    <s v="Christina Martin"/>
    <n v="27"/>
    <x v="2"/>
    <x v="0"/>
    <x v="0"/>
    <x v="1"/>
    <x v="142"/>
    <x v="1"/>
    <n v="39643.56448076581"/>
    <n v="230"/>
    <x v="0"/>
    <d v="2025-09-14T00:00:00"/>
    <n v="6"/>
    <x v="1"/>
  </r>
  <r>
    <s v="Tracy Burke"/>
    <n v="68"/>
    <x v="0"/>
    <x v="0"/>
    <x v="0"/>
    <x v="1"/>
    <x v="61"/>
    <x v="1"/>
    <n v="37749.909643891813"/>
    <n v="420"/>
    <x v="1"/>
    <d v="2025-11-05T00:00:00"/>
    <n v="12"/>
    <x v="0"/>
  </r>
  <r>
    <s v="David Spence"/>
    <n v="72"/>
    <x v="0"/>
    <x v="0"/>
    <x v="4"/>
    <x v="5"/>
    <x v="143"/>
    <x v="1"/>
    <n v="24722.111772600179"/>
    <n v="115"/>
    <x v="1"/>
    <d v="2025-12-25T00:00:00"/>
    <n v="5"/>
    <x v="2"/>
  </r>
  <r>
    <s v="Joseph Foster"/>
    <n v="69"/>
    <x v="0"/>
    <x v="0"/>
    <x v="4"/>
    <x v="1"/>
    <x v="96"/>
    <x v="3"/>
    <n v="13924.83864927232"/>
    <n v="269"/>
    <x v="0"/>
    <d v="2025-01-31T00:00:00"/>
    <n v="11"/>
    <x v="1"/>
  </r>
  <r>
    <s v="Nicholas Hall"/>
    <n v="59"/>
    <x v="1"/>
    <x v="1"/>
    <x v="5"/>
    <x v="0"/>
    <x v="144"/>
    <x v="1"/>
    <n v="8532.934640820009"/>
    <n v="382"/>
    <x v="1"/>
    <d v="2025-10-31T00:00:00"/>
    <n v="1"/>
    <x v="1"/>
  </r>
  <r>
    <s v="Christina Macias"/>
    <n v="64"/>
    <x v="1"/>
    <x v="1"/>
    <x v="3"/>
    <x v="0"/>
    <x v="145"/>
    <x v="0"/>
    <n v="19594.935743510759"/>
    <n v="298"/>
    <x v="0"/>
    <d v="2025-09-13T00:00:00"/>
    <n v="4"/>
    <x v="1"/>
  </r>
  <r>
    <s v="Scott Jones"/>
    <n v="49"/>
    <x v="3"/>
    <x v="0"/>
    <x v="1"/>
    <x v="1"/>
    <x v="146"/>
    <x v="1"/>
    <n v="18532.665077670161"/>
    <n v="204"/>
    <x v="0"/>
    <d v="2025-11-09T00:00:00"/>
    <n v="1"/>
    <x v="3"/>
  </r>
  <r>
    <s v="James Anderson"/>
    <n v="47"/>
    <x v="3"/>
    <x v="0"/>
    <x v="4"/>
    <x v="1"/>
    <x v="147"/>
    <x v="3"/>
    <n v="20032.686567134358"/>
    <n v="231"/>
    <x v="0"/>
    <d v="2025-08-05T00:00:00"/>
    <n v="4"/>
    <x v="1"/>
  </r>
  <r>
    <s v="Shaun Long"/>
    <n v="68"/>
    <x v="0"/>
    <x v="1"/>
    <x v="1"/>
    <x v="1"/>
    <x v="148"/>
    <x v="3"/>
    <n v="23088.082118235681"/>
    <n v="283"/>
    <x v="0"/>
    <d v="2025-08-22T00:00:00"/>
    <n v="7"/>
    <x v="2"/>
  </r>
  <r>
    <s v="Kristina Mora"/>
    <n v="41"/>
    <x v="3"/>
    <x v="1"/>
    <x v="2"/>
    <x v="0"/>
    <x v="149"/>
    <x v="3"/>
    <n v="6509.4034385260384"/>
    <n v="138"/>
    <x v="0"/>
    <d v="2025-07-23T00:00:00"/>
    <n v="13"/>
    <x v="0"/>
  </r>
  <r>
    <s v="Joshua Richmond"/>
    <n v="41"/>
    <x v="3"/>
    <x v="1"/>
    <x v="3"/>
    <x v="5"/>
    <x v="150"/>
    <x v="1"/>
    <n v="41327.825678468856"/>
    <n v="470"/>
    <x v="0"/>
    <d v="2025-12-06T00:00:00"/>
    <n v="8"/>
    <x v="4"/>
  </r>
  <r>
    <s v="Mark Lawrence"/>
    <n v="41"/>
    <x v="3"/>
    <x v="1"/>
    <x v="4"/>
    <x v="0"/>
    <x v="151"/>
    <x v="0"/>
    <n v="41015.538951833318"/>
    <n v="405"/>
    <x v="1"/>
    <d v="2025-12-16T00:00:00"/>
    <n v="6"/>
    <x v="0"/>
  </r>
  <r>
    <s v="John Ellis"/>
    <n v="41"/>
    <x v="3"/>
    <x v="0"/>
    <x v="0"/>
    <x v="3"/>
    <x v="152"/>
    <x v="0"/>
    <n v="6925.9772458037969"/>
    <n v="270"/>
    <x v="1"/>
    <d v="2025-11-03T00:00:00"/>
    <n v="3"/>
    <x v="3"/>
  </r>
  <r>
    <s v="Mrs. Tiffany Dennis"/>
    <n v="77"/>
    <x v="0"/>
    <x v="0"/>
    <x v="0"/>
    <x v="5"/>
    <x v="153"/>
    <x v="1"/>
    <n v="4025.674819385139"/>
    <n v="265"/>
    <x v="1"/>
    <d v="2025-05-03T00:00:00"/>
    <n v="1"/>
    <x v="2"/>
  </r>
  <r>
    <s v="Cynthia Huang"/>
    <n v="22"/>
    <x v="2"/>
    <x v="1"/>
    <x v="4"/>
    <x v="0"/>
    <x v="154"/>
    <x v="3"/>
    <n v="1955.36851816289"/>
    <n v="331"/>
    <x v="1"/>
    <d v="2025-05-12T00:00:00"/>
    <n v="1"/>
    <x v="3"/>
  </r>
  <r>
    <s v="Melissa Lawrence"/>
    <n v="79"/>
    <x v="0"/>
    <x v="1"/>
    <x v="2"/>
    <x v="2"/>
    <x v="155"/>
    <x v="3"/>
    <n v="6573.1326965834824"/>
    <n v="281"/>
    <x v="0"/>
    <d v="2025-06-07T00:00:00"/>
    <n v="2"/>
    <x v="4"/>
  </r>
  <r>
    <s v="Steven Goodwin"/>
    <n v="36"/>
    <x v="3"/>
    <x v="1"/>
    <x v="2"/>
    <x v="2"/>
    <x v="72"/>
    <x v="3"/>
    <n v="21907.646610373311"/>
    <n v="246"/>
    <x v="1"/>
    <d v="2025-02-10T00:00:00"/>
    <n v="6"/>
    <x v="3"/>
  </r>
  <r>
    <s v="Mary Hunt"/>
    <n v="57"/>
    <x v="1"/>
    <x v="0"/>
    <x v="1"/>
    <x v="5"/>
    <x v="156"/>
    <x v="3"/>
    <n v="3827.8608580686769"/>
    <n v="114"/>
    <x v="1"/>
    <d v="2025-07-19T00:00:00"/>
    <n v="8"/>
    <x v="2"/>
  </r>
  <r>
    <s v="Eric Rivera"/>
    <n v="55"/>
    <x v="1"/>
    <x v="0"/>
    <x v="4"/>
    <x v="3"/>
    <x v="115"/>
    <x v="3"/>
    <n v="18422.074880086089"/>
    <n v="401"/>
    <x v="1"/>
    <d v="2025-10-14T00:00:00"/>
    <n v="8"/>
    <x v="3"/>
  </r>
  <r>
    <s v="Alan Taylor"/>
    <n v="57"/>
    <x v="1"/>
    <x v="0"/>
    <x v="0"/>
    <x v="4"/>
    <x v="109"/>
    <x v="0"/>
    <n v="15480.790812848159"/>
    <n v="192"/>
    <x v="1"/>
    <d v="2025-08-30T00:00:00"/>
    <n v="6"/>
    <x v="4"/>
  </r>
  <r>
    <s v="Michael Campbell"/>
    <n v="48"/>
    <x v="3"/>
    <x v="0"/>
    <x v="3"/>
    <x v="4"/>
    <x v="157"/>
    <x v="0"/>
    <n v="15594.83231652533"/>
    <n v="480"/>
    <x v="1"/>
    <d v="2025-02-04T00:00:00"/>
    <n v="7"/>
    <x v="4"/>
  </r>
  <r>
    <s v="Ashley Webb Dds"/>
    <n v="30"/>
    <x v="2"/>
    <x v="0"/>
    <x v="2"/>
    <x v="5"/>
    <x v="112"/>
    <x v="0"/>
    <n v="38270.31489433883"/>
    <n v="178"/>
    <x v="0"/>
    <d v="2025-03-05T00:00:00"/>
    <n v="10"/>
    <x v="4"/>
  </r>
  <r>
    <s v="Shannon Brown"/>
    <n v="84"/>
    <x v="0"/>
    <x v="1"/>
    <x v="7"/>
    <x v="2"/>
    <x v="27"/>
    <x v="3"/>
    <n v="5358.3327903784866"/>
    <n v="186"/>
    <x v="1"/>
    <d v="2025-11-26T00:00:00"/>
    <n v="9"/>
    <x v="2"/>
  </r>
  <r>
    <s v="Lawrence Shepherd"/>
    <n v="18"/>
    <x v="4"/>
    <x v="0"/>
    <x v="1"/>
    <x v="4"/>
    <x v="158"/>
    <x v="1"/>
    <n v="44798.051203568772"/>
    <n v="105"/>
    <x v="0"/>
    <d v="2025-05-01T00:00:00"/>
    <n v="12"/>
    <x v="4"/>
  </r>
  <r>
    <s v="Scott Wade"/>
    <n v="28"/>
    <x v="2"/>
    <x v="1"/>
    <x v="0"/>
    <x v="5"/>
    <x v="159"/>
    <x v="0"/>
    <n v="14332.982262964309"/>
    <n v="233"/>
    <x v="1"/>
    <d v="2025-07-25T00:00:00"/>
    <n v="1"/>
    <x v="4"/>
  </r>
  <r>
    <s v="Heather Curtis"/>
    <n v="46"/>
    <x v="3"/>
    <x v="1"/>
    <x v="6"/>
    <x v="3"/>
    <x v="160"/>
    <x v="1"/>
    <n v="13236.430005004269"/>
    <n v="388"/>
    <x v="1"/>
    <d v="2025-06-12T00:00:00"/>
    <n v="5"/>
    <x v="3"/>
  </r>
  <r>
    <s v="Kevin Jefferson"/>
    <n v="51"/>
    <x v="1"/>
    <x v="0"/>
    <x v="5"/>
    <x v="5"/>
    <x v="148"/>
    <x v="3"/>
    <n v="39607.768279087133"/>
    <n v="272"/>
    <x v="0"/>
    <d v="2025-08-23T00:00:00"/>
    <n v="8"/>
    <x v="0"/>
  </r>
  <r>
    <s v="David Griffin"/>
    <n v="35"/>
    <x v="2"/>
    <x v="0"/>
    <x v="7"/>
    <x v="2"/>
    <x v="161"/>
    <x v="3"/>
    <n v="27684.046934404771"/>
    <n v="283"/>
    <x v="1"/>
    <d v="2025-05-05T00:00:00"/>
    <n v="1"/>
    <x v="4"/>
  </r>
  <r>
    <s v="Grant George"/>
    <n v="44"/>
    <x v="3"/>
    <x v="0"/>
    <x v="0"/>
    <x v="3"/>
    <x v="121"/>
    <x v="1"/>
    <n v="6009.4695625819804"/>
    <n v="104"/>
    <x v="1"/>
    <d v="2025-11-14T00:00:00"/>
    <n v="3"/>
    <x v="4"/>
  </r>
  <r>
    <s v="Eric Stewart"/>
    <n v="82"/>
    <x v="0"/>
    <x v="1"/>
    <x v="1"/>
    <x v="0"/>
    <x v="19"/>
    <x v="0"/>
    <n v="2004.6195737182529"/>
    <n v="192"/>
    <x v="1"/>
    <d v="2025-07-01T00:00:00"/>
    <n v="1"/>
    <x v="2"/>
  </r>
  <r>
    <s v="Robert Pittman"/>
    <n v="66"/>
    <x v="0"/>
    <x v="0"/>
    <x v="2"/>
    <x v="3"/>
    <x v="162"/>
    <x v="0"/>
    <n v="23279.508886608401"/>
    <n v="481"/>
    <x v="0"/>
    <d v="2025-08-07T00:00:00"/>
    <n v="8"/>
    <x v="1"/>
  </r>
  <r>
    <s v="Sydney Cross"/>
    <n v="64"/>
    <x v="1"/>
    <x v="0"/>
    <x v="3"/>
    <x v="2"/>
    <x v="163"/>
    <x v="0"/>
    <n v="9003.4844037504099"/>
    <n v="448"/>
    <x v="1"/>
    <d v="2025-01-18T00:00:00"/>
    <n v="12"/>
    <x v="4"/>
  </r>
  <r>
    <s v="David Crawford"/>
    <n v="21"/>
    <x v="2"/>
    <x v="1"/>
    <x v="3"/>
    <x v="1"/>
    <x v="164"/>
    <x v="0"/>
    <n v="14661.67879715498"/>
    <n v="388"/>
    <x v="1"/>
    <d v="2025-07-16T00:00:00"/>
    <n v="11"/>
    <x v="4"/>
  </r>
  <r>
    <s v="Leah Drake"/>
    <n v="34"/>
    <x v="2"/>
    <x v="1"/>
    <x v="5"/>
    <x v="2"/>
    <x v="165"/>
    <x v="3"/>
    <n v="40092.68952429582"/>
    <n v="419"/>
    <x v="1"/>
    <d v="2025-02-11T00:00:00"/>
    <n v="2"/>
    <x v="4"/>
  </r>
  <r>
    <s v="Diana Hall"/>
    <n v="33"/>
    <x v="2"/>
    <x v="0"/>
    <x v="7"/>
    <x v="2"/>
    <x v="166"/>
    <x v="3"/>
    <n v="1681.0061836567349"/>
    <n v="300"/>
    <x v="0"/>
    <d v="2025-06-22T00:00:00"/>
    <n v="3"/>
    <x v="1"/>
  </r>
  <r>
    <s v="Justin Le"/>
    <n v="72"/>
    <x v="0"/>
    <x v="0"/>
    <x v="1"/>
    <x v="4"/>
    <x v="167"/>
    <x v="0"/>
    <n v="41397.672973311899"/>
    <n v="246"/>
    <x v="1"/>
    <d v="2025-09-13T00:00:00"/>
    <n v="9"/>
    <x v="3"/>
  </r>
  <r>
    <s v="Karen Price Dds"/>
    <n v="38"/>
    <x v="3"/>
    <x v="0"/>
    <x v="1"/>
    <x v="0"/>
    <x v="168"/>
    <x v="0"/>
    <n v="4187.8140173778738"/>
    <n v="196"/>
    <x v="1"/>
    <d v="2025-06-02T00:00:00"/>
    <n v="9"/>
    <x v="1"/>
  </r>
  <r>
    <s v="Carolyn Steele"/>
    <n v="24"/>
    <x v="2"/>
    <x v="0"/>
    <x v="3"/>
    <x v="4"/>
    <x v="135"/>
    <x v="3"/>
    <n v="38672.281955562648"/>
    <n v="184"/>
    <x v="1"/>
    <d v="2025-03-19T00:00:00"/>
    <n v="10"/>
    <x v="3"/>
  </r>
  <r>
    <s v="Lauren Ramirez"/>
    <n v="78"/>
    <x v="0"/>
    <x v="0"/>
    <x v="5"/>
    <x v="3"/>
    <x v="148"/>
    <x v="3"/>
    <n v="34877.75811241677"/>
    <n v="247"/>
    <x v="0"/>
    <d v="2025-08-19T00:00:00"/>
    <n v="4"/>
    <x v="0"/>
  </r>
  <r>
    <s v="Jacob Newman"/>
    <n v="48"/>
    <x v="3"/>
    <x v="1"/>
    <x v="1"/>
    <x v="3"/>
    <x v="105"/>
    <x v="1"/>
    <n v="1903.173657905654"/>
    <n v="145"/>
    <x v="1"/>
    <d v="2025-10-10T00:00:00"/>
    <n v="11"/>
    <x v="0"/>
  </r>
  <r>
    <s v="Katherine Barnett"/>
    <n v="71"/>
    <x v="0"/>
    <x v="0"/>
    <x v="5"/>
    <x v="2"/>
    <x v="101"/>
    <x v="1"/>
    <n v="32445.49574622092"/>
    <n v="497"/>
    <x v="1"/>
    <d v="2025-11-30T00:00:00"/>
    <n v="3"/>
    <x v="1"/>
  </r>
  <r>
    <s v="Jodi Martinez"/>
    <n v="76"/>
    <x v="0"/>
    <x v="1"/>
    <x v="6"/>
    <x v="3"/>
    <x v="96"/>
    <x v="1"/>
    <n v="1590.072876271553"/>
    <n v="268"/>
    <x v="0"/>
    <d v="2025-02-02T00:00:00"/>
    <n v="13"/>
    <x v="2"/>
  </r>
  <r>
    <s v="Andrea Allen"/>
    <n v="60"/>
    <x v="1"/>
    <x v="0"/>
    <x v="2"/>
    <x v="2"/>
    <x v="169"/>
    <x v="0"/>
    <n v="47434.193924261272"/>
    <n v="448"/>
    <x v="1"/>
    <d v="2025-04-15T00:00:00"/>
    <n v="11"/>
    <x v="1"/>
  </r>
  <r>
    <s v="Noah Baxter"/>
    <n v="68"/>
    <x v="0"/>
    <x v="1"/>
    <x v="6"/>
    <x v="2"/>
    <x v="170"/>
    <x v="3"/>
    <n v="17387.897948155471"/>
    <n v="108"/>
    <x v="1"/>
    <d v="2025-11-25T00:00:00"/>
    <n v="12"/>
    <x v="2"/>
  </r>
  <r>
    <s v="Hector Maxwell"/>
    <n v="61"/>
    <x v="1"/>
    <x v="1"/>
    <x v="2"/>
    <x v="3"/>
    <x v="165"/>
    <x v="3"/>
    <n v="13410.78564748242"/>
    <n v="484"/>
    <x v="1"/>
    <d v="2025-02-17T00:00:00"/>
    <n v="8"/>
    <x v="1"/>
  </r>
  <r>
    <s v="Holly Walters"/>
    <n v="20"/>
    <x v="2"/>
    <x v="0"/>
    <x v="2"/>
    <x v="3"/>
    <x v="171"/>
    <x v="1"/>
    <n v="42745.133582142364"/>
    <n v="432"/>
    <x v="0"/>
    <d v="2025-05-02T00:00:00"/>
    <n v="12"/>
    <x v="4"/>
  </r>
  <r>
    <s v="Joseph Smith"/>
    <n v="51"/>
    <x v="1"/>
    <x v="0"/>
    <x v="1"/>
    <x v="1"/>
    <x v="113"/>
    <x v="3"/>
    <n v="46292.147371948042"/>
    <n v="385"/>
    <x v="1"/>
    <d v="2025-06-14T00:00:00"/>
    <n v="2"/>
    <x v="0"/>
  </r>
  <r>
    <s v="Albert Thomas"/>
    <n v="18"/>
    <x v="4"/>
    <x v="0"/>
    <x v="4"/>
    <x v="1"/>
    <x v="172"/>
    <x v="3"/>
    <n v="45378.483888380753"/>
    <n v="223"/>
    <x v="1"/>
    <d v="2025-03-31T00:00:00"/>
    <n v="2"/>
    <x v="2"/>
  </r>
  <r>
    <s v="Jeffery Williamson"/>
    <n v="70"/>
    <x v="0"/>
    <x v="0"/>
    <x v="2"/>
    <x v="1"/>
    <x v="173"/>
    <x v="1"/>
    <n v="35319.123324266409"/>
    <n v="419"/>
    <x v="0"/>
    <d v="2025-01-17T00:00:00"/>
    <n v="4"/>
    <x v="4"/>
  </r>
  <r>
    <s v="Jonathan Meadows"/>
    <n v="82"/>
    <x v="0"/>
    <x v="0"/>
    <x v="2"/>
    <x v="2"/>
    <x v="89"/>
    <x v="3"/>
    <n v="45914.13809189805"/>
    <n v="119"/>
    <x v="1"/>
    <d v="2025-11-29T00:00:00"/>
    <n v="5"/>
    <x v="1"/>
  </r>
  <r>
    <s v="Kristin Bennett"/>
    <n v="60"/>
    <x v="1"/>
    <x v="0"/>
    <x v="6"/>
    <x v="3"/>
    <x v="174"/>
    <x v="1"/>
    <n v="4813.3558162763802"/>
    <n v="260"/>
    <x v="1"/>
    <d v="2025-06-22T00:00:00"/>
    <n v="13"/>
    <x v="3"/>
  </r>
  <r>
    <s v="Michael Smith"/>
    <n v="54"/>
    <x v="1"/>
    <x v="0"/>
    <x v="2"/>
    <x v="2"/>
    <x v="175"/>
    <x v="1"/>
    <n v="36856.204558072743"/>
    <n v="264"/>
    <x v="0"/>
    <d v="2025-06-14T00:00:00"/>
    <n v="11"/>
    <x v="0"/>
  </r>
  <r>
    <s v="Joseph Carpenter"/>
    <n v="47"/>
    <x v="3"/>
    <x v="0"/>
    <x v="0"/>
    <x v="4"/>
    <x v="176"/>
    <x v="3"/>
    <n v="-68.319620761113356"/>
    <n v="288"/>
    <x v="1"/>
    <d v="2025-03-29T00:00:00"/>
    <n v="12"/>
    <x v="4"/>
  </r>
  <r>
    <s v="Larry Mayer"/>
    <n v="57"/>
    <x v="1"/>
    <x v="1"/>
    <x v="0"/>
    <x v="1"/>
    <x v="177"/>
    <x v="0"/>
    <n v="1502.150642159766"/>
    <n v="351"/>
    <x v="0"/>
    <d v="2025-10-28T00:00:00"/>
    <n v="8"/>
    <x v="3"/>
  </r>
  <r>
    <s v="Clayton Peterson"/>
    <n v="52"/>
    <x v="1"/>
    <x v="1"/>
    <x v="5"/>
    <x v="5"/>
    <x v="136"/>
    <x v="1"/>
    <n v="44150.492444979573"/>
    <n v="370"/>
    <x v="1"/>
    <d v="2025-05-02T00:00:00"/>
    <n v="5"/>
    <x v="4"/>
  </r>
  <r>
    <s v="Donald Alvarez"/>
    <n v="52"/>
    <x v="1"/>
    <x v="0"/>
    <x v="1"/>
    <x v="0"/>
    <x v="178"/>
    <x v="1"/>
    <n v="44415.218284627997"/>
    <n v="136"/>
    <x v="1"/>
    <d v="2025-02-12T00:00:00"/>
    <n v="11"/>
    <x v="3"/>
  </r>
  <r>
    <s v="Sarah Lee"/>
    <n v="32"/>
    <x v="2"/>
    <x v="0"/>
    <x v="3"/>
    <x v="0"/>
    <x v="34"/>
    <x v="0"/>
    <n v="35844.142583219284"/>
    <n v="340"/>
    <x v="0"/>
    <d v="2025-12-06T00:00:00"/>
    <n v="11"/>
    <x v="0"/>
  </r>
  <r>
    <s v="John Perez"/>
    <n v="60"/>
    <x v="1"/>
    <x v="1"/>
    <x v="5"/>
    <x v="1"/>
    <x v="30"/>
    <x v="3"/>
    <n v="48916.870957018073"/>
    <n v="303"/>
    <x v="1"/>
    <d v="2025-08-24T00:00:00"/>
    <n v="10"/>
    <x v="3"/>
  </r>
  <r>
    <s v="Timothy Jacobs"/>
    <n v="64"/>
    <x v="1"/>
    <x v="1"/>
    <x v="0"/>
    <x v="1"/>
    <x v="179"/>
    <x v="0"/>
    <n v="16398.561572383809"/>
    <n v="158"/>
    <x v="1"/>
    <d v="2025-02-24T00:00:00"/>
    <n v="12"/>
    <x v="4"/>
  </r>
  <r>
    <s v="Nathan Small"/>
    <n v="46"/>
    <x v="3"/>
    <x v="1"/>
    <x v="7"/>
    <x v="1"/>
    <x v="180"/>
    <x v="0"/>
    <n v="37012.61499485837"/>
    <n v="367"/>
    <x v="0"/>
    <d v="2025-11-23T00:00:00"/>
    <n v="4"/>
    <x v="4"/>
  </r>
  <r>
    <s v="Dustin Wright"/>
    <n v="79"/>
    <x v="0"/>
    <x v="1"/>
    <x v="0"/>
    <x v="5"/>
    <x v="181"/>
    <x v="1"/>
    <n v="32498.691267998089"/>
    <n v="481"/>
    <x v="0"/>
    <d v="2025-05-29T00:00:00"/>
    <n v="3"/>
    <x v="3"/>
  </r>
  <r>
    <s v="Jacob Williams"/>
    <n v="66"/>
    <x v="0"/>
    <x v="0"/>
    <x v="0"/>
    <x v="4"/>
    <x v="182"/>
    <x v="1"/>
    <n v="15465.12504561622"/>
    <n v="392"/>
    <x v="0"/>
    <d v="2025-09-13T00:00:00"/>
    <n v="11"/>
    <x v="0"/>
  </r>
  <r>
    <s v="William Mccoy"/>
    <n v="23"/>
    <x v="2"/>
    <x v="1"/>
    <x v="4"/>
    <x v="4"/>
    <x v="183"/>
    <x v="0"/>
    <n v="35005.753942432697"/>
    <n v="326"/>
    <x v="1"/>
    <d v="2025-01-12T00:00:00"/>
    <n v="3"/>
    <x v="3"/>
  </r>
  <r>
    <s v="Dr. Matthew Wilkins"/>
    <n v="61"/>
    <x v="1"/>
    <x v="0"/>
    <x v="4"/>
    <x v="1"/>
    <x v="184"/>
    <x v="1"/>
    <n v="20372.19047269196"/>
    <n v="379"/>
    <x v="0"/>
    <d v="2025-11-09T00:00:00"/>
    <n v="12"/>
    <x v="3"/>
  </r>
  <r>
    <s v="Joseph Gonzalez"/>
    <n v="63"/>
    <x v="1"/>
    <x v="1"/>
    <x v="1"/>
    <x v="2"/>
    <x v="44"/>
    <x v="1"/>
    <n v="36260.227756632477"/>
    <n v="463"/>
    <x v="1"/>
    <d v="2025-12-27T00:00:00"/>
    <n v="14"/>
    <x v="4"/>
  </r>
  <r>
    <s v="Robert Fields"/>
    <n v="28"/>
    <x v="2"/>
    <x v="1"/>
    <x v="7"/>
    <x v="4"/>
    <x v="185"/>
    <x v="3"/>
    <n v="6802.0976449092777"/>
    <n v="209"/>
    <x v="0"/>
    <d v="2025-06-29T00:00:00"/>
    <n v="11"/>
    <x v="3"/>
  </r>
  <r>
    <s v="Lawrence Miranda"/>
    <n v="57"/>
    <x v="1"/>
    <x v="0"/>
    <x v="6"/>
    <x v="1"/>
    <x v="177"/>
    <x v="1"/>
    <n v="11898.809555485161"/>
    <n v="177"/>
    <x v="1"/>
    <d v="2025-10-24T00:00:00"/>
    <n v="4"/>
    <x v="0"/>
  </r>
  <r>
    <s v="Mitchell Carroll"/>
    <n v="20"/>
    <x v="2"/>
    <x v="0"/>
    <x v="1"/>
    <x v="0"/>
    <x v="186"/>
    <x v="3"/>
    <n v="44073.679816247837"/>
    <n v="257"/>
    <x v="0"/>
    <d v="2025-11-29T00:00:00"/>
    <n v="11"/>
    <x v="1"/>
  </r>
  <r>
    <s v="Cody Nichols"/>
    <n v="48"/>
    <x v="3"/>
    <x v="1"/>
    <x v="4"/>
    <x v="5"/>
    <x v="31"/>
    <x v="1"/>
    <n v="9809.1879612655321"/>
    <n v="148"/>
    <x v="0"/>
    <d v="2025-04-13T00:00:00"/>
    <n v="7"/>
    <x v="3"/>
  </r>
  <r>
    <s v="Kelli Thompson"/>
    <n v="47"/>
    <x v="3"/>
    <x v="1"/>
    <x v="5"/>
    <x v="4"/>
    <x v="100"/>
    <x v="1"/>
    <n v="24227.504396388249"/>
    <n v="486"/>
    <x v="0"/>
    <d v="2025-04-18T00:00:00"/>
    <n v="13"/>
    <x v="3"/>
  </r>
  <r>
    <s v="Danielle Lopez"/>
    <n v="68"/>
    <x v="0"/>
    <x v="0"/>
    <x v="0"/>
    <x v="4"/>
    <x v="59"/>
    <x v="0"/>
    <n v="26546.076911096439"/>
    <n v="101"/>
    <x v="0"/>
    <d v="2025-03-03T00:00:00"/>
    <n v="10"/>
    <x v="4"/>
  </r>
  <r>
    <s v="Melinda Jones"/>
    <n v="33"/>
    <x v="2"/>
    <x v="0"/>
    <x v="4"/>
    <x v="3"/>
    <x v="85"/>
    <x v="1"/>
    <n v="49277.839359361613"/>
    <n v="260"/>
    <x v="0"/>
    <d v="2025-01-21T00:00:00"/>
    <n v="2"/>
    <x v="1"/>
  </r>
  <r>
    <s v="Kristin Smith"/>
    <n v="25"/>
    <x v="2"/>
    <x v="0"/>
    <x v="7"/>
    <x v="4"/>
    <x v="187"/>
    <x v="3"/>
    <n v="37362.728019042581"/>
    <n v="440"/>
    <x v="0"/>
    <d v="2025-01-08T00:00:00"/>
    <n v="5"/>
    <x v="2"/>
  </r>
  <r>
    <s v="Stephanie Reynolds"/>
    <n v="63"/>
    <x v="1"/>
    <x v="1"/>
    <x v="0"/>
    <x v="5"/>
    <x v="188"/>
    <x v="3"/>
    <n v="19307.568465508219"/>
    <n v="403"/>
    <x v="1"/>
    <d v="2025-06-28T00:00:00"/>
    <n v="14"/>
    <x v="4"/>
  </r>
  <r>
    <s v="Anna Norman"/>
    <n v="41"/>
    <x v="3"/>
    <x v="0"/>
    <x v="1"/>
    <x v="4"/>
    <x v="101"/>
    <x v="3"/>
    <n v="7518.7657046318081"/>
    <n v="176"/>
    <x v="1"/>
    <d v="2025-11-28T00:00:00"/>
    <n v="1"/>
    <x v="4"/>
  </r>
  <r>
    <s v="Maria Hayes"/>
    <n v="36"/>
    <x v="3"/>
    <x v="0"/>
    <x v="5"/>
    <x v="3"/>
    <x v="189"/>
    <x v="0"/>
    <n v="9400.3344645859161"/>
    <n v="222"/>
    <x v="1"/>
    <d v="2025-05-13T00:00:00"/>
    <n v="4"/>
    <x v="4"/>
  </r>
  <r>
    <s v="Tonya Riley Md"/>
    <n v="30"/>
    <x v="2"/>
    <x v="1"/>
    <x v="5"/>
    <x v="2"/>
    <x v="190"/>
    <x v="3"/>
    <n v="31270.684820988368"/>
    <n v="458"/>
    <x v="0"/>
    <d v="2025-08-03T00:00:00"/>
    <n v="7"/>
    <x v="2"/>
  </r>
  <r>
    <s v="Regina Dunn"/>
    <n v="34"/>
    <x v="2"/>
    <x v="0"/>
    <x v="6"/>
    <x v="4"/>
    <x v="191"/>
    <x v="1"/>
    <n v="38636.517201554103"/>
    <n v="324"/>
    <x v="0"/>
    <d v="2025-03-05T00:00:00"/>
    <n v="7"/>
    <x v="2"/>
  </r>
  <r>
    <s v="Michael Jacobs"/>
    <n v="53"/>
    <x v="1"/>
    <x v="1"/>
    <x v="2"/>
    <x v="0"/>
    <x v="128"/>
    <x v="3"/>
    <n v="18221.30001628229"/>
    <n v="116"/>
    <x v="0"/>
    <d v="2025-09-20T00:00:00"/>
    <n v="13"/>
    <x v="1"/>
  </r>
  <r>
    <s v="Jason Moore Md"/>
    <n v="50"/>
    <x v="3"/>
    <x v="0"/>
    <x v="2"/>
    <x v="2"/>
    <x v="60"/>
    <x v="3"/>
    <n v="49112.824113704017"/>
    <n v="143"/>
    <x v="0"/>
    <d v="2025-03-24T00:00:00"/>
    <n v="12"/>
    <x v="1"/>
  </r>
  <r>
    <s v="Eric Hall"/>
    <n v="37"/>
    <x v="3"/>
    <x v="1"/>
    <x v="4"/>
    <x v="1"/>
    <x v="192"/>
    <x v="1"/>
    <n v="48615.662096945467"/>
    <n v="154"/>
    <x v="1"/>
    <d v="2025-04-26T00:00:00"/>
    <n v="2"/>
    <x v="1"/>
  </r>
  <r>
    <s v="Malik Martinez"/>
    <n v="29"/>
    <x v="2"/>
    <x v="0"/>
    <x v="1"/>
    <x v="5"/>
    <x v="118"/>
    <x v="1"/>
    <n v="6603.0979711016907"/>
    <n v="495"/>
    <x v="1"/>
    <d v="2025-12-30T00:00:00"/>
    <n v="2"/>
    <x v="1"/>
  </r>
  <r>
    <s v="Lisa Kennedy"/>
    <n v="62"/>
    <x v="1"/>
    <x v="1"/>
    <x v="3"/>
    <x v="3"/>
    <x v="172"/>
    <x v="1"/>
    <n v="37288.546771709742"/>
    <n v="408"/>
    <x v="1"/>
    <d v="2025-04-10T00:00:00"/>
    <n v="12"/>
    <x v="0"/>
  </r>
  <r>
    <s v="Kristin Ochoa"/>
    <n v="25"/>
    <x v="2"/>
    <x v="1"/>
    <x v="1"/>
    <x v="0"/>
    <x v="33"/>
    <x v="0"/>
    <n v="552.47113145317439"/>
    <n v="173"/>
    <x v="0"/>
    <d v="2025-03-15T00:00:00"/>
    <n v="5"/>
    <x v="1"/>
  </r>
  <r>
    <s v="Joseph Zuniga"/>
    <n v="61"/>
    <x v="1"/>
    <x v="1"/>
    <x v="4"/>
    <x v="4"/>
    <x v="193"/>
    <x v="3"/>
    <n v="4528.0775657350168"/>
    <n v="494"/>
    <x v="1"/>
    <d v="2025-10-27T00:00:00"/>
    <n v="10"/>
    <x v="1"/>
  </r>
  <r>
    <s v="Kyle Tyler"/>
    <n v="79"/>
    <x v="0"/>
    <x v="1"/>
    <x v="2"/>
    <x v="2"/>
    <x v="194"/>
    <x v="1"/>
    <n v="37114.740802724838"/>
    <n v="147"/>
    <x v="1"/>
    <d v="2025-01-09T00:00:00"/>
    <n v="1"/>
    <x v="4"/>
  </r>
  <r>
    <s v="Eric Duncan"/>
    <n v="28"/>
    <x v="2"/>
    <x v="0"/>
    <x v="4"/>
    <x v="2"/>
    <x v="195"/>
    <x v="0"/>
    <n v="29452.243295981931"/>
    <n v="208"/>
    <x v="0"/>
    <d v="2025-06-21T00:00:00"/>
    <n v="8"/>
    <x v="0"/>
  </r>
  <r>
    <s v="Rachel Romero"/>
    <n v="80"/>
    <x v="0"/>
    <x v="0"/>
    <x v="5"/>
    <x v="3"/>
    <x v="196"/>
    <x v="1"/>
    <n v="45853.230988562733"/>
    <n v="194"/>
    <x v="1"/>
    <d v="2025-05-15T00:00:00"/>
    <n v="1"/>
    <x v="2"/>
  </r>
  <r>
    <s v="Michael Anderson"/>
    <n v="22"/>
    <x v="2"/>
    <x v="0"/>
    <x v="3"/>
    <x v="1"/>
    <x v="197"/>
    <x v="1"/>
    <n v="5798.3774833590096"/>
    <n v="338"/>
    <x v="0"/>
    <d v="2025-12-25T00:00:00"/>
    <n v="2"/>
    <x v="2"/>
  </r>
  <r>
    <s v="Emily Clark"/>
    <n v="75"/>
    <x v="0"/>
    <x v="1"/>
    <x v="2"/>
    <x v="0"/>
    <x v="198"/>
    <x v="3"/>
    <n v="45898.334385357572"/>
    <n v="464"/>
    <x v="0"/>
    <d v="2025-09-05T00:00:00"/>
    <n v="14"/>
    <x v="4"/>
  </r>
  <r>
    <s v="Daniel Mckinney"/>
    <n v="58"/>
    <x v="1"/>
    <x v="0"/>
    <x v="5"/>
    <x v="5"/>
    <x v="174"/>
    <x v="1"/>
    <n v="44607.341294051468"/>
    <n v="476"/>
    <x v="0"/>
    <d v="2025-06-10T00:00:00"/>
    <n v="1"/>
    <x v="2"/>
  </r>
  <r>
    <s v="Bonnie Williams"/>
    <n v="42"/>
    <x v="3"/>
    <x v="1"/>
    <x v="7"/>
    <x v="4"/>
    <x v="199"/>
    <x v="0"/>
    <n v="48639.30239751943"/>
    <n v="141"/>
    <x v="1"/>
    <d v="2025-09-12T00:00:00"/>
    <n v="7"/>
    <x v="0"/>
  </r>
  <r>
    <s v="Marcus Henry"/>
    <n v="46"/>
    <x v="3"/>
    <x v="0"/>
    <x v="5"/>
    <x v="0"/>
    <x v="8"/>
    <x v="3"/>
    <n v="17107.631339002721"/>
    <n v="138"/>
    <x v="1"/>
    <d v="2025-01-30T00:00:00"/>
    <n v="9"/>
    <x v="0"/>
  </r>
  <r>
    <s v="Katherine Hart"/>
    <n v="65"/>
    <x v="1"/>
    <x v="0"/>
    <x v="7"/>
    <x v="4"/>
    <x v="179"/>
    <x v="1"/>
    <n v="23435.933207455069"/>
    <n v="325"/>
    <x v="1"/>
    <d v="2025-02-17T00:00:00"/>
    <n v="5"/>
    <x v="1"/>
  </r>
  <r>
    <s v="Michelle Pierce"/>
    <n v="47"/>
    <x v="3"/>
    <x v="1"/>
    <x v="3"/>
    <x v="0"/>
    <x v="170"/>
    <x v="3"/>
    <n v="38896.791016608622"/>
    <n v="437"/>
    <x v="1"/>
    <d v="2025-11-26T00:00:00"/>
    <n v="13"/>
    <x v="2"/>
  </r>
  <r>
    <s v="Julie Mejia"/>
    <n v="66"/>
    <x v="0"/>
    <x v="1"/>
    <x v="0"/>
    <x v="5"/>
    <x v="191"/>
    <x v="1"/>
    <n v="43001.222429068293"/>
    <n v="231"/>
    <x v="1"/>
    <d v="2025-02-28T00:00:00"/>
    <n v="2"/>
    <x v="1"/>
  </r>
  <r>
    <s v="Cameron Sanchez"/>
    <n v="74"/>
    <x v="0"/>
    <x v="0"/>
    <x v="4"/>
    <x v="1"/>
    <x v="200"/>
    <x v="3"/>
    <n v="43646.964459925191"/>
    <n v="494"/>
    <x v="1"/>
    <d v="2025-09-02T00:00:00"/>
    <n v="1"/>
    <x v="3"/>
  </r>
  <r>
    <s v="David Vincent"/>
    <n v="85"/>
    <x v="0"/>
    <x v="0"/>
    <x v="5"/>
    <x v="1"/>
    <x v="153"/>
    <x v="1"/>
    <n v="32784.881528278027"/>
    <n v="192"/>
    <x v="1"/>
    <d v="2025-05-04T00:00:00"/>
    <n v="2"/>
    <x v="3"/>
  </r>
  <r>
    <s v="Melissa Gomez"/>
    <n v="24"/>
    <x v="2"/>
    <x v="1"/>
    <x v="6"/>
    <x v="0"/>
    <x v="136"/>
    <x v="1"/>
    <n v="47226.355718550709"/>
    <n v="268"/>
    <x v="0"/>
    <d v="2025-04-29T00:00:00"/>
    <n v="2"/>
    <x v="2"/>
  </r>
  <r>
    <s v="Amanda Ponce"/>
    <n v="19"/>
    <x v="2"/>
    <x v="1"/>
    <x v="7"/>
    <x v="5"/>
    <x v="201"/>
    <x v="0"/>
    <n v="24251.869526322051"/>
    <n v="170"/>
    <x v="0"/>
    <d v="2025-04-04T00:00:00"/>
    <n v="7"/>
    <x v="3"/>
  </r>
  <r>
    <s v="Carol Gomez"/>
    <n v="33"/>
    <x v="2"/>
    <x v="1"/>
    <x v="4"/>
    <x v="1"/>
    <x v="202"/>
    <x v="1"/>
    <n v="6139.0386793870066"/>
    <n v="199"/>
    <x v="1"/>
    <d v="2025-09-28T00:00:00"/>
    <n v="11"/>
    <x v="2"/>
  </r>
  <r>
    <s v="Christopher Palmer"/>
    <n v="19"/>
    <x v="2"/>
    <x v="1"/>
    <x v="1"/>
    <x v="1"/>
    <x v="203"/>
    <x v="0"/>
    <n v="2635.0093102148221"/>
    <n v="236"/>
    <x v="1"/>
    <d v="2025-12-14T00:00:00"/>
    <n v="10"/>
    <x v="2"/>
  </r>
  <r>
    <s v="Paul Hahn"/>
    <n v="20"/>
    <x v="2"/>
    <x v="0"/>
    <x v="5"/>
    <x v="5"/>
    <x v="16"/>
    <x v="0"/>
    <n v="11150.563686100681"/>
    <n v="134"/>
    <x v="1"/>
    <d v="2025-01-03T00:00:00"/>
    <n v="1"/>
    <x v="3"/>
  </r>
  <r>
    <s v="Ashley Moore"/>
    <n v="84"/>
    <x v="0"/>
    <x v="1"/>
    <x v="0"/>
    <x v="2"/>
    <x v="32"/>
    <x v="3"/>
    <n v="39776.67135155655"/>
    <n v="194"/>
    <x v="0"/>
    <d v="2025-10-05T00:00:00"/>
    <n v="2"/>
    <x v="1"/>
  </r>
  <r>
    <s v="Linda Hamilton"/>
    <n v="20"/>
    <x v="2"/>
    <x v="1"/>
    <x v="4"/>
    <x v="1"/>
    <x v="194"/>
    <x v="0"/>
    <n v="38649.409857675171"/>
    <n v="277"/>
    <x v="0"/>
    <d v="2025-01-10T00:00:00"/>
    <n v="2"/>
    <x v="1"/>
  </r>
  <r>
    <s v="Robin Cox"/>
    <n v="82"/>
    <x v="0"/>
    <x v="1"/>
    <x v="3"/>
    <x v="3"/>
    <x v="204"/>
    <x v="1"/>
    <n v="42135.895928237856"/>
    <n v="370"/>
    <x v="0"/>
    <d v="2025-06-25T00:00:00"/>
    <n v="8"/>
    <x v="4"/>
  </r>
  <r>
    <s v="Anthony Hall"/>
    <n v="22"/>
    <x v="2"/>
    <x v="0"/>
    <x v="3"/>
    <x v="0"/>
    <x v="205"/>
    <x v="0"/>
    <n v="25889.10014762872"/>
    <n v="445"/>
    <x v="0"/>
    <d v="2025-03-12T00:00:00"/>
    <n v="10"/>
    <x v="2"/>
  </r>
  <r>
    <s v="Robert Smith"/>
    <n v="68"/>
    <x v="0"/>
    <x v="1"/>
    <x v="4"/>
    <x v="3"/>
    <x v="206"/>
    <x v="1"/>
    <n v="30988.775982701001"/>
    <n v="146"/>
    <x v="0"/>
    <d v="2025-06-14T00:00:00"/>
    <n v="3"/>
    <x v="2"/>
  </r>
  <r>
    <s v="Derek Carter"/>
    <n v="21"/>
    <x v="2"/>
    <x v="1"/>
    <x v="1"/>
    <x v="5"/>
    <x v="79"/>
    <x v="1"/>
    <n v="32032.764032635019"/>
    <n v="408"/>
    <x v="1"/>
    <d v="2025-10-28T00:00:00"/>
    <n v="13"/>
    <x v="2"/>
  </r>
  <r>
    <s v="Heather May"/>
    <n v="52"/>
    <x v="1"/>
    <x v="0"/>
    <x v="5"/>
    <x v="5"/>
    <x v="207"/>
    <x v="3"/>
    <n v="22695.732990980359"/>
    <n v="404"/>
    <x v="0"/>
    <d v="2025-08-20T00:00:00"/>
    <n v="10"/>
    <x v="4"/>
  </r>
  <r>
    <s v="Peter Gonzalez"/>
    <n v="24"/>
    <x v="2"/>
    <x v="0"/>
    <x v="5"/>
    <x v="0"/>
    <x v="208"/>
    <x v="0"/>
    <n v="14683.1068093924"/>
    <n v="151"/>
    <x v="0"/>
    <d v="2025-02-10T00:00:00"/>
    <n v="4"/>
    <x v="0"/>
  </r>
  <r>
    <s v="Chris Fletcher"/>
    <n v="55"/>
    <x v="1"/>
    <x v="0"/>
    <x v="2"/>
    <x v="5"/>
    <x v="64"/>
    <x v="3"/>
    <n v="16663.221949700612"/>
    <n v="399"/>
    <x v="1"/>
    <d v="2025-02-20T00:00:00"/>
    <n v="7"/>
    <x v="4"/>
  </r>
  <r>
    <s v="Shirley Wilkinson"/>
    <n v="68"/>
    <x v="0"/>
    <x v="1"/>
    <x v="1"/>
    <x v="2"/>
    <x v="209"/>
    <x v="0"/>
    <n v="29693.33339983421"/>
    <n v="434"/>
    <x v="1"/>
    <d v="2025-08-19T00:00:00"/>
    <n v="2"/>
    <x v="0"/>
  </r>
  <r>
    <s v="Courtney Farrell"/>
    <n v="41"/>
    <x v="3"/>
    <x v="1"/>
    <x v="4"/>
    <x v="2"/>
    <x v="210"/>
    <x v="1"/>
    <n v="28436.20900544136"/>
    <n v="443"/>
    <x v="0"/>
    <d v="2025-06-02T00:00:00"/>
    <n v="2"/>
    <x v="2"/>
  </r>
  <r>
    <s v="Andrea Willis"/>
    <n v="37"/>
    <x v="3"/>
    <x v="0"/>
    <x v="4"/>
    <x v="4"/>
    <x v="211"/>
    <x v="1"/>
    <n v="37033.843591424084"/>
    <n v="237"/>
    <x v="1"/>
    <d v="2025-11-14T00:00:00"/>
    <n v="13"/>
    <x v="1"/>
  </r>
  <r>
    <s v="Chad Huff"/>
    <n v="61"/>
    <x v="1"/>
    <x v="1"/>
    <x v="6"/>
    <x v="1"/>
    <x v="212"/>
    <x v="3"/>
    <n v="17054.481978924741"/>
    <n v="124"/>
    <x v="1"/>
    <d v="2025-04-10T00:00:00"/>
    <n v="2"/>
    <x v="1"/>
  </r>
  <r>
    <s v="Devin Gilbert"/>
    <n v="81"/>
    <x v="0"/>
    <x v="0"/>
    <x v="5"/>
    <x v="3"/>
    <x v="38"/>
    <x v="0"/>
    <n v="29683.307513197211"/>
    <n v="168"/>
    <x v="0"/>
    <d v="2025-06-12T00:00:00"/>
    <n v="11"/>
    <x v="1"/>
  </r>
  <r>
    <s v="Donald Davis"/>
    <n v="58"/>
    <x v="1"/>
    <x v="1"/>
    <x v="7"/>
    <x v="2"/>
    <x v="213"/>
    <x v="3"/>
    <n v="47340.747449676513"/>
    <n v="455"/>
    <x v="1"/>
    <d v="2025-07-17T00:00:00"/>
    <n v="8"/>
    <x v="3"/>
  </r>
  <r>
    <s v="Kurt Murphy"/>
    <n v="84"/>
    <x v="0"/>
    <x v="0"/>
    <x v="7"/>
    <x v="5"/>
    <x v="139"/>
    <x v="0"/>
    <n v="27984.930289228181"/>
    <n v="240"/>
    <x v="0"/>
    <d v="2025-04-09T00:00:00"/>
    <n v="2"/>
    <x v="0"/>
  </r>
  <r>
    <s v="Sylvia West"/>
    <n v="23"/>
    <x v="2"/>
    <x v="1"/>
    <x v="7"/>
    <x v="5"/>
    <x v="108"/>
    <x v="1"/>
    <n v="25686.523119858099"/>
    <n v="271"/>
    <x v="0"/>
    <d v="2025-12-14T00:00:00"/>
    <n v="9"/>
    <x v="1"/>
  </r>
  <r>
    <s v="Donald Vazquez"/>
    <n v="68"/>
    <x v="0"/>
    <x v="0"/>
    <x v="0"/>
    <x v="0"/>
    <x v="214"/>
    <x v="0"/>
    <n v="19551.246225975388"/>
    <n v="152"/>
    <x v="0"/>
    <d v="2025-11-25T00:00:00"/>
    <n v="9"/>
    <x v="2"/>
  </r>
  <r>
    <s v="Rebecca Rush"/>
    <n v="55"/>
    <x v="1"/>
    <x v="1"/>
    <x v="2"/>
    <x v="2"/>
    <x v="215"/>
    <x v="0"/>
    <n v="24975.924520232049"/>
    <n v="499"/>
    <x v="1"/>
    <d v="2025-12-22T00:00:00"/>
    <n v="6"/>
    <x v="3"/>
  </r>
  <r>
    <s v="Christopher Curry"/>
    <n v="84"/>
    <x v="0"/>
    <x v="1"/>
    <x v="4"/>
    <x v="3"/>
    <x v="43"/>
    <x v="3"/>
    <n v="4030.4499497178522"/>
    <n v="161"/>
    <x v="1"/>
    <d v="2025-05-09T00:00:00"/>
    <n v="14"/>
    <x v="4"/>
  </r>
  <r>
    <s v="Michael Edwards"/>
    <n v="63"/>
    <x v="1"/>
    <x v="1"/>
    <x v="0"/>
    <x v="3"/>
    <x v="158"/>
    <x v="1"/>
    <n v="31452.824927833492"/>
    <n v="306"/>
    <x v="0"/>
    <d v="2025-05-01T00:00:00"/>
    <n v="12"/>
    <x v="3"/>
  </r>
  <r>
    <s v="Christopher Arnold"/>
    <n v="44"/>
    <x v="3"/>
    <x v="0"/>
    <x v="5"/>
    <x v="5"/>
    <x v="10"/>
    <x v="1"/>
    <n v="5805.9611122889837"/>
    <n v="429"/>
    <x v="1"/>
    <d v="2025-06-24T00:00:00"/>
    <n v="1"/>
    <x v="0"/>
  </r>
  <r>
    <s v="Rachel Hickman"/>
    <n v="76"/>
    <x v="0"/>
    <x v="1"/>
    <x v="3"/>
    <x v="3"/>
    <x v="36"/>
    <x v="1"/>
    <n v="43107.023150004832"/>
    <n v="471"/>
    <x v="1"/>
    <d v="2025-08-11T00:00:00"/>
    <n v="8"/>
    <x v="1"/>
  </r>
  <r>
    <s v="Ashley Gray"/>
    <n v="54"/>
    <x v="1"/>
    <x v="1"/>
    <x v="5"/>
    <x v="4"/>
    <x v="216"/>
    <x v="0"/>
    <n v="11442.886155289751"/>
    <n v="135"/>
    <x v="0"/>
    <d v="2025-11-02T00:00:00"/>
    <n v="11"/>
    <x v="1"/>
  </r>
  <r>
    <s v="Elizabeth Perez"/>
    <n v="43"/>
    <x v="3"/>
    <x v="0"/>
    <x v="5"/>
    <x v="2"/>
    <x v="164"/>
    <x v="1"/>
    <n v="5918.0363643174678"/>
    <n v="317"/>
    <x v="0"/>
    <d v="2025-07-09T00:00:00"/>
    <n v="4"/>
    <x v="0"/>
  </r>
  <r>
    <s v="Angel Randolph Dds"/>
    <n v="26"/>
    <x v="2"/>
    <x v="0"/>
    <x v="4"/>
    <x v="4"/>
    <x v="80"/>
    <x v="1"/>
    <n v="44165.503936088076"/>
    <n v="303"/>
    <x v="1"/>
    <d v="2025-05-11T00:00:00"/>
    <n v="3"/>
    <x v="2"/>
  </r>
  <r>
    <s v="Mark Saunders"/>
    <n v="38"/>
    <x v="3"/>
    <x v="1"/>
    <x v="3"/>
    <x v="2"/>
    <x v="217"/>
    <x v="3"/>
    <n v="12769.088463860269"/>
    <n v="383"/>
    <x v="0"/>
    <d v="2025-06-14T00:00:00"/>
    <n v="4"/>
    <x v="4"/>
  </r>
  <r>
    <s v="Christian Lang"/>
    <n v="82"/>
    <x v="0"/>
    <x v="0"/>
    <x v="0"/>
    <x v="4"/>
    <x v="109"/>
    <x v="1"/>
    <n v="8506.4036580812717"/>
    <n v="159"/>
    <x v="0"/>
    <d v="2025-09-04T00:00:00"/>
    <n v="11"/>
    <x v="3"/>
  </r>
  <r>
    <s v="Pam Perkins"/>
    <n v="84"/>
    <x v="0"/>
    <x v="1"/>
    <x v="3"/>
    <x v="0"/>
    <x v="65"/>
    <x v="0"/>
    <n v="1754.178464631902"/>
    <n v="293"/>
    <x v="0"/>
    <d v="2025-03-27T00:00:00"/>
    <n v="9"/>
    <x v="1"/>
  </r>
  <r>
    <s v="Kayla Greene"/>
    <n v="44"/>
    <x v="3"/>
    <x v="0"/>
    <x v="0"/>
    <x v="3"/>
    <x v="218"/>
    <x v="0"/>
    <n v="31692.243956599152"/>
    <n v="422"/>
    <x v="1"/>
    <d v="2025-12-28T00:00:00"/>
    <n v="4"/>
    <x v="3"/>
  </r>
  <r>
    <s v="Michael David"/>
    <n v="51"/>
    <x v="1"/>
    <x v="1"/>
    <x v="3"/>
    <x v="1"/>
    <x v="173"/>
    <x v="3"/>
    <n v="21438.06223106389"/>
    <n v="139"/>
    <x v="0"/>
    <d v="2025-01-23T00:00:00"/>
    <n v="10"/>
    <x v="1"/>
  </r>
  <r>
    <s v="Alexis Mccall"/>
    <n v="75"/>
    <x v="0"/>
    <x v="1"/>
    <x v="2"/>
    <x v="2"/>
    <x v="219"/>
    <x v="3"/>
    <n v="2511.4796992707838"/>
    <n v="104"/>
    <x v="1"/>
    <d v="2025-05-24T00:00:00"/>
    <n v="2"/>
    <x v="2"/>
  </r>
  <r>
    <s v="Mr. Brandon Perez Md"/>
    <n v="43"/>
    <x v="3"/>
    <x v="0"/>
    <x v="2"/>
    <x v="4"/>
    <x v="220"/>
    <x v="0"/>
    <n v="40505.069077889289"/>
    <n v="432"/>
    <x v="1"/>
    <d v="2025-07-31T00:00:00"/>
    <n v="2"/>
    <x v="2"/>
  </r>
  <r>
    <s v="Dr. Jeffrey Cole"/>
    <n v="45"/>
    <x v="3"/>
    <x v="0"/>
    <x v="4"/>
    <x v="4"/>
    <x v="221"/>
    <x v="0"/>
    <n v="4767.9853310218896"/>
    <n v="262"/>
    <x v="0"/>
    <d v="2025-07-23T00:00:00"/>
    <n v="7"/>
    <x v="3"/>
  </r>
  <r>
    <s v="Matthew Brown"/>
    <n v="20"/>
    <x v="2"/>
    <x v="0"/>
    <x v="3"/>
    <x v="2"/>
    <x v="192"/>
    <x v="1"/>
    <n v="31694.778949560139"/>
    <n v="399"/>
    <x v="1"/>
    <d v="2025-04-26T00:00:00"/>
    <n v="2"/>
    <x v="2"/>
  </r>
  <r>
    <s v="Robert Sexton"/>
    <n v="61"/>
    <x v="1"/>
    <x v="1"/>
    <x v="0"/>
    <x v="5"/>
    <x v="6"/>
    <x v="0"/>
    <n v="769.95581761944209"/>
    <n v="388"/>
    <x v="0"/>
    <d v="2025-07-04T00:00:00"/>
    <n v="10"/>
    <x v="0"/>
  </r>
  <r>
    <s v="Ashley Vasquez"/>
    <n v="63"/>
    <x v="1"/>
    <x v="0"/>
    <x v="2"/>
    <x v="5"/>
    <x v="48"/>
    <x v="1"/>
    <n v="7078.1702306756988"/>
    <n v="427"/>
    <x v="1"/>
    <d v="2025-09-26T00:00:00"/>
    <n v="6"/>
    <x v="0"/>
  </r>
  <r>
    <s v="Michelle Flynn"/>
    <n v="84"/>
    <x v="0"/>
    <x v="0"/>
    <x v="7"/>
    <x v="5"/>
    <x v="135"/>
    <x v="0"/>
    <n v="16631.1972326828"/>
    <n v="484"/>
    <x v="0"/>
    <d v="2025-03-12T00:00:00"/>
    <n v="3"/>
    <x v="3"/>
  </r>
  <r>
    <s v="Steven Tran"/>
    <n v="27"/>
    <x v="2"/>
    <x v="1"/>
    <x v="4"/>
    <x v="4"/>
    <x v="222"/>
    <x v="1"/>
    <n v="39492.951406644701"/>
    <n v="469"/>
    <x v="0"/>
    <d v="2025-06-30T00:00:00"/>
    <n v="9"/>
    <x v="2"/>
  </r>
  <r>
    <s v="James Miller"/>
    <n v="35"/>
    <x v="2"/>
    <x v="0"/>
    <x v="4"/>
    <x v="2"/>
    <x v="89"/>
    <x v="1"/>
    <n v="44400.354792576378"/>
    <n v="153"/>
    <x v="0"/>
    <d v="2025-11-25T00:00:00"/>
    <n v="1"/>
    <x v="4"/>
  </r>
  <r>
    <s v="Bonnie Hill"/>
    <n v="45"/>
    <x v="3"/>
    <x v="0"/>
    <x v="3"/>
    <x v="0"/>
    <x v="223"/>
    <x v="0"/>
    <n v="39855.08428787921"/>
    <n v="131"/>
    <x v="1"/>
    <d v="2025-01-26T00:00:00"/>
    <n v="12"/>
    <x v="1"/>
  </r>
  <r>
    <s v="Anthony Davis"/>
    <n v="20"/>
    <x v="2"/>
    <x v="0"/>
    <x v="4"/>
    <x v="5"/>
    <x v="216"/>
    <x v="0"/>
    <n v="21597.760192668731"/>
    <n v="373"/>
    <x v="1"/>
    <d v="2025-10-24T00:00:00"/>
    <n v="2"/>
    <x v="2"/>
  </r>
  <r>
    <s v="David Sheppard"/>
    <n v="64"/>
    <x v="1"/>
    <x v="1"/>
    <x v="5"/>
    <x v="5"/>
    <x v="178"/>
    <x v="3"/>
    <n v="29951.073732757039"/>
    <n v="464"/>
    <x v="0"/>
    <d v="2025-02-02T00:00:00"/>
    <n v="1"/>
    <x v="3"/>
  </r>
  <r>
    <s v="Jodi Lang"/>
    <n v="52"/>
    <x v="1"/>
    <x v="0"/>
    <x v="5"/>
    <x v="5"/>
    <x v="46"/>
    <x v="0"/>
    <n v="29923.569658216002"/>
    <n v="114"/>
    <x v="1"/>
    <d v="2025-10-06T00:00:00"/>
    <n v="12"/>
    <x v="1"/>
  </r>
  <r>
    <s v="Vanessa Taylor"/>
    <n v="19"/>
    <x v="2"/>
    <x v="1"/>
    <x v="7"/>
    <x v="0"/>
    <x v="42"/>
    <x v="0"/>
    <n v="8086.9417503208579"/>
    <n v="241"/>
    <x v="1"/>
    <d v="2025-03-30T00:00:00"/>
    <n v="9"/>
    <x v="4"/>
  </r>
  <r>
    <s v="Wayne Lynch"/>
    <n v="35"/>
    <x v="2"/>
    <x v="0"/>
    <x v="7"/>
    <x v="0"/>
    <x v="89"/>
    <x v="3"/>
    <n v="25522.535459205312"/>
    <n v="489"/>
    <x v="1"/>
    <d v="2025-12-08T00:00:00"/>
    <n v="14"/>
    <x v="1"/>
  </r>
  <r>
    <s v="Yesenia Mcfarland"/>
    <n v="34"/>
    <x v="2"/>
    <x v="1"/>
    <x v="2"/>
    <x v="0"/>
    <x v="97"/>
    <x v="3"/>
    <n v="46504.061232192696"/>
    <n v="433"/>
    <x v="1"/>
    <d v="2025-02-05T00:00:00"/>
    <n v="3"/>
    <x v="4"/>
  </r>
  <r>
    <s v="Kenneth Wilson"/>
    <n v="27"/>
    <x v="2"/>
    <x v="0"/>
    <x v="6"/>
    <x v="5"/>
    <x v="224"/>
    <x v="0"/>
    <n v="49639.909413597517"/>
    <n v="463"/>
    <x v="1"/>
    <d v="2025-02-26T00:00:00"/>
    <n v="4"/>
    <x v="3"/>
  </r>
  <r>
    <s v="Jillian Marks"/>
    <n v="18"/>
    <x v="4"/>
    <x v="0"/>
    <x v="4"/>
    <x v="1"/>
    <x v="225"/>
    <x v="1"/>
    <n v="43940.01006249799"/>
    <n v="152"/>
    <x v="0"/>
    <d v="2025-05-10T00:00:00"/>
    <n v="7"/>
    <x v="0"/>
  </r>
  <r>
    <s v="Michelle Cruz Dds"/>
    <n v="18"/>
    <x v="4"/>
    <x v="0"/>
    <x v="3"/>
    <x v="3"/>
    <x v="217"/>
    <x v="1"/>
    <n v="34182.82490374583"/>
    <n v="439"/>
    <x v="0"/>
    <d v="2025-06-22T00:00:00"/>
    <n v="12"/>
    <x v="2"/>
  </r>
  <r>
    <s v="Clarence Ford Jr."/>
    <n v="48"/>
    <x v="3"/>
    <x v="0"/>
    <x v="5"/>
    <x v="4"/>
    <x v="226"/>
    <x v="3"/>
    <n v="30041.244969777879"/>
    <n v="286"/>
    <x v="0"/>
    <d v="2025-10-28T00:00:00"/>
    <n v="12"/>
    <x v="1"/>
  </r>
  <r>
    <s v="Donald Kane"/>
    <n v="49"/>
    <x v="3"/>
    <x v="0"/>
    <x v="3"/>
    <x v="2"/>
    <x v="217"/>
    <x v="1"/>
    <n v="12095.1000871658"/>
    <n v="103"/>
    <x v="1"/>
    <d v="2025-06-20T00:00:00"/>
    <n v="10"/>
    <x v="2"/>
  </r>
  <r>
    <s v="Zachary Larsen"/>
    <n v="29"/>
    <x v="2"/>
    <x v="1"/>
    <x v="4"/>
    <x v="1"/>
    <x v="227"/>
    <x v="1"/>
    <n v="31930.467192794211"/>
    <n v="103"/>
    <x v="1"/>
    <d v="2025-01-31T00:00:00"/>
    <n v="8"/>
    <x v="3"/>
  </r>
  <r>
    <s v="Sheryl Martinez"/>
    <n v="61"/>
    <x v="1"/>
    <x v="0"/>
    <x v="1"/>
    <x v="4"/>
    <x v="196"/>
    <x v="3"/>
    <n v="36841.283471282921"/>
    <n v="394"/>
    <x v="1"/>
    <d v="2025-05-19T00:00:00"/>
    <n v="5"/>
    <x v="3"/>
  </r>
  <r>
    <s v="Mr. Nathan Avila"/>
    <n v="67"/>
    <x v="0"/>
    <x v="0"/>
    <x v="5"/>
    <x v="3"/>
    <x v="189"/>
    <x v="0"/>
    <n v="50992.175655011699"/>
    <n v="127"/>
    <x v="1"/>
    <d v="2025-05-21T00:00:00"/>
    <n v="12"/>
    <x v="0"/>
  </r>
  <r>
    <s v="Anne Anthony"/>
    <n v="53"/>
    <x v="1"/>
    <x v="0"/>
    <x v="2"/>
    <x v="2"/>
    <x v="62"/>
    <x v="1"/>
    <n v="11148.96495819823"/>
    <n v="202"/>
    <x v="0"/>
    <d v="2025-09-02T00:00:00"/>
    <n v="4"/>
    <x v="3"/>
  </r>
  <r>
    <s v="Holly Lambert"/>
    <n v="32"/>
    <x v="2"/>
    <x v="1"/>
    <x v="4"/>
    <x v="5"/>
    <x v="19"/>
    <x v="1"/>
    <n v="32694.2296149223"/>
    <n v="485"/>
    <x v="0"/>
    <d v="2025-07-09T00:00:00"/>
    <n v="9"/>
    <x v="4"/>
  </r>
  <r>
    <s v="James Rasmussen"/>
    <n v="19"/>
    <x v="2"/>
    <x v="0"/>
    <x v="0"/>
    <x v="3"/>
    <x v="228"/>
    <x v="3"/>
    <n v="31591.867102285629"/>
    <n v="185"/>
    <x v="1"/>
    <d v="2025-11-04T00:00:00"/>
    <n v="14"/>
    <x v="0"/>
  </r>
  <r>
    <s v="Sarah Cannon"/>
    <n v="58"/>
    <x v="1"/>
    <x v="1"/>
    <x v="0"/>
    <x v="5"/>
    <x v="137"/>
    <x v="1"/>
    <n v="29837.638823315221"/>
    <n v="295"/>
    <x v="0"/>
    <d v="2025-03-17T00:00:00"/>
    <n v="9"/>
    <x v="4"/>
  </r>
  <r>
    <s v="Melinda Tanner"/>
    <n v="32"/>
    <x v="2"/>
    <x v="1"/>
    <x v="2"/>
    <x v="0"/>
    <x v="52"/>
    <x v="0"/>
    <n v="42801.228007707847"/>
    <n v="353"/>
    <x v="0"/>
    <d v="2025-07-08T00:00:00"/>
    <n v="5"/>
    <x v="2"/>
  </r>
  <r>
    <s v="Laurie Joseph"/>
    <n v="62"/>
    <x v="1"/>
    <x v="0"/>
    <x v="5"/>
    <x v="0"/>
    <x v="28"/>
    <x v="0"/>
    <n v="34798.711807462583"/>
    <n v="239"/>
    <x v="1"/>
    <d v="2025-09-02T00:00:00"/>
    <n v="3"/>
    <x v="4"/>
  </r>
  <r>
    <s v="Stephanie Hunter"/>
    <n v="68"/>
    <x v="0"/>
    <x v="0"/>
    <x v="3"/>
    <x v="2"/>
    <x v="229"/>
    <x v="0"/>
    <n v="30141.61805318034"/>
    <n v="375"/>
    <x v="1"/>
    <d v="2025-09-17T00:00:00"/>
    <n v="5"/>
    <x v="4"/>
  </r>
  <r>
    <s v="Gina Davis"/>
    <n v="80"/>
    <x v="0"/>
    <x v="0"/>
    <x v="5"/>
    <x v="3"/>
    <x v="121"/>
    <x v="3"/>
    <n v="19452.84147472358"/>
    <n v="406"/>
    <x v="0"/>
    <d v="2025-11-13T00:00:00"/>
    <n v="2"/>
    <x v="4"/>
  </r>
  <r>
    <s v="Christopher Shea Jr."/>
    <n v="18"/>
    <x v="4"/>
    <x v="0"/>
    <x v="2"/>
    <x v="2"/>
    <x v="230"/>
    <x v="3"/>
    <n v="17738.628627940299"/>
    <n v="176"/>
    <x v="0"/>
    <d v="2025-03-21T00:00:00"/>
    <n v="6"/>
    <x v="4"/>
  </r>
  <r>
    <s v="Mrs. Sabrina Ball"/>
    <n v="48"/>
    <x v="3"/>
    <x v="0"/>
    <x v="2"/>
    <x v="3"/>
    <x v="136"/>
    <x v="3"/>
    <n v="35155.63656253308"/>
    <n v="140"/>
    <x v="0"/>
    <d v="2025-05-11T00:00:00"/>
    <n v="14"/>
    <x v="1"/>
  </r>
  <r>
    <s v="Joyce Mccormick"/>
    <n v="65"/>
    <x v="1"/>
    <x v="0"/>
    <x v="4"/>
    <x v="2"/>
    <x v="166"/>
    <x v="1"/>
    <n v="41110.215340288392"/>
    <n v="486"/>
    <x v="0"/>
    <d v="2025-07-01T00:00:00"/>
    <n v="12"/>
    <x v="4"/>
  </r>
  <r>
    <s v="Devin Bell"/>
    <n v="34"/>
    <x v="2"/>
    <x v="1"/>
    <x v="3"/>
    <x v="0"/>
    <x v="168"/>
    <x v="3"/>
    <n v="19017.87666199392"/>
    <n v="233"/>
    <x v="0"/>
    <d v="2025-06-01T00:00:00"/>
    <n v="8"/>
    <x v="0"/>
  </r>
  <r>
    <s v="Allison Ramirez"/>
    <n v="38"/>
    <x v="3"/>
    <x v="0"/>
    <x v="5"/>
    <x v="0"/>
    <x v="182"/>
    <x v="1"/>
    <n v="33375.115177997301"/>
    <n v="444"/>
    <x v="0"/>
    <d v="2025-09-16T00:00:00"/>
    <n v="14"/>
    <x v="3"/>
  </r>
  <r>
    <s v="Laura Romero"/>
    <n v="81"/>
    <x v="0"/>
    <x v="0"/>
    <x v="3"/>
    <x v="0"/>
    <x v="231"/>
    <x v="0"/>
    <n v="23956.517200305771"/>
    <n v="371"/>
    <x v="0"/>
    <d v="2025-08-09T00:00:00"/>
    <n v="1"/>
    <x v="0"/>
  </r>
  <r>
    <s v="Toni Faulkner"/>
    <n v="79"/>
    <x v="0"/>
    <x v="1"/>
    <x v="0"/>
    <x v="3"/>
    <x v="183"/>
    <x v="0"/>
    <n v="34516.088462945518"/>
    <n v="382"/>
    <x v="1"/>
    <d v="2025-01-23T00:00:00"/>
    <n v="14"/>
    <x v="3"/>
  </r>
  <r>
    <s v="Patricia Turner"/>
    <n v="63"/>
    <x v="1"/>
    <x v="1"/>
    <x v="6"/>
    <x v="4"/>
    <x v="38"/>
    <x v="0"/>
    <n v="35250.772327574152"/>
    <n v="477"/>
    <x v="1"/>
    <d v="2025-06-11T00:00:00"/>
    <n v="10"/>
    <x v="4"/>
  </r>
  <r>
    <s v="Nathan Ray"/>
    <n v="55"/>
    <x v="1"/>
    <x v="1"/>
    <x v="5"/>
    <x v="5"/>
    <x v="232"/>
    <x v="1"/>
    <n v="42768.303602027889"/>
    <n v="283"/>
    <x v="1"/>
    <d v="2025-08-12T00:00:00"/>
    <n v="5"/>
    <x v="0"/>
  </r>
  <r>
    <s v="Ryan Sanchez"/>
    <n v="34"/>
    <x v="2"/>
    <x v="1"/>
    <x v="1"/>
    <x v="3"/>
    <x v="47"/>
    <x v="0"/>
    <n v="19590.977802837839"/>
    <n v="481"/>
    <x v="0"/>
    <d v="2025-08-11T00:00:00"/>
    <n v="5"/>
    <x v="2"/>
  </r>
  <r>
    <s v="Thomas Dennis"/>
    <n v="41"/>
    <x v="3"/>
    <x v="0"/>
    <x v="4"/>
    <x v="2"/>
    <x v="175"/>
    <x v="1"/>
    <n v="13667.63805176461"/>
    <n v="339"/>
    <x v="0"/>
    <d v="2025-06-08T00:00:00"/>
    <n v="5"/>
    <x v="1"/>
  </r>
  <r>
    <s v="Mr. Timothy Flores"/>
    <n v="66"/>
    <x v="0"/>
    <x v="0"/>
    <x v="1"/>
    <x v="4"/>
    <x v="231"/>
    <x v="3"/>
    <n v="5060.0484911824406"/>
    <n v="296"/>
    <x v="1"/>
    <d v="2025-08-09T00:00:00"/>
    <n v="1"/>
    <x v="1"/>
  </r>
  <r>
    <s v="Wendy Levine"/>
    <n v="21"/>
    <x v="2"/>
    <x v="0"/>
    <x v="0"/>
    <x v="2"/>
    <x v="78"/>
    <x v="0"/>
    <n v="37591.085670777436"/>
    <n v="336"/>
    <x v="0"/>
    <d v="2025-01-31T00:00:00"/>
    <n v="1"/>
    <x v="0"/>
  </r>
  <r>
    <s v="Nicole Gonzalez"/>
    <n v="37"/>
    <x v="3"/>
    <x v="0"/>
    <x v="1"/>
    <x v="1"/>
    <x v="233"/>
    <x v="1"/>
    <n v="11557.17870104"/>
    <n v="119"/>
    <x v="0"/>
    <d v="2025-02-28T00:00:00"/>
    <n v="1"/>
    <x v="1"/>
  </r>
  <r>
    <s v="Michael Ellison"/>
    <n v="67"/>
    <x v="0"/>
    <x v="1"/>
    <x v="4"/>
    <x v="0"/>
    <x v="36"/>
    <x v="3"/>
    <n v="4567.2953240707184"/>
    <n v="352"/>
    <x v="0"/>
    <d v="2025-08-06T00:00:00"/>
    <n v="3"/>
    <x v="3"/>
  </r>
  <r>
    <s v="Brandon Davis"/>
    <n v="62"/>
    <x v="1"/>
    <x v="1"/>
    <x v="2"/>
    <x v="2"/>
    <x v="234"/>
    <x v="0"/>
    <n v="16853.97640432198"/>
    <n v="265"/>
    <x v="1"/>
    <d v="2025-03-23T00:00:00"/>
    <n v="1"/>
    <x v="3"/>
  </r>
  <r>
    <s v="Vanessa Garcia"/>
    <n v="45"/>
    <x v="3"/>
    <x v="0"/>
    <x v="4"/>
    <x v="3"/>
    <x v="235"/>
    <x v="3"/>
    <n v="2699.6802290435339"/>
    <n v="187"/>
    <x v="1"/>
    <d v="2025-02-26T00:00:00"/>
    <n v="1"/>
    <x v="0"/>
  </r>
  <r>
    <s v="Autumn Peck"/>
    <n v="37"/>
    <x v="3"/>
    <x v="1"/>
    <x v="2"/>
    <x v="4"/>
    <x v="181"/>
    <x v="0"/>
    <n v="17448.936400215978"/>
    <n v="109"/>
    <x v="1"/>
    <d v="2025-06-09T00:00:00"/>
    <n v="14"/>
    <x v="2"/>
  </r>
  <r>
    <s v="Nathaniel Reynolds"/>
    <n v="33"/>
    <x v="2"/>
    <x v="1"/>
    <x v="2"/>
    <x v="5"/>
    <x v="236"/>
    <x v="0"/>
    <n v="9495.8285526264517"/>
    <n v="309"/>
    <x v="0"/>
    <d v="2025-04-26T00:00:00"/>
    <n v="8"/>
    <x v="3"/>
  </r>
  <r>
    <s v="Joyce Moody"/>
    <n v="26"/>
    <x v="2"/>
    <x v="1"/>
    <x v="7"/>
    <x v="4"/>
    <x v="93"/>
    <x v="1"/>
    <n v="9934.6823182864682"/>
    <n v="120"/>
    <x v="0"/>
    <d v="2025-04-16T00:00:00"/>
    <n v="7"/>
    <x v="0"/>
  </r>
  <r>
    <s v="Mark Fuentes"/>
    <n v="66"/>
    <x v="0"/>
    <x v="1"/>
    <x v="1"/>
    <x v="4"/>
    <x v="176"/>
    <x v="1"/>
    <n v="34523.223636791903"/>
    <n v="167"/>
    <x v="1"/>
    <d v="2025-03-24T00:00:00"/>
    <n v="7"/>
    <x v="4"/>
  </r>
  <r>
    <s v="Brett Ferguson"/>
    <n v="23"/>
    <x v="2"/>
    <x v="0"/>
    <x v="4"/>
    <x v="4"/>
    <x v="170"/>
    <x v="3"/>
    <n v="33553.581054646893"/>
    <n v="323"/>
    <x v="1"/>
    <d v="2025-11-27T00:00:00"/>
    <n v="14"/>
    <x v="2"/>
  </r>
  <r>
    <s v="Travis Simmons"/>
    <n v="35"/>
    <x v="2"/>
    <x v="0"/>
    <x v="5"/>
    <x v="5"/>
    <x v="21"/>
    <x v="0"/>
    <n v="14243.9745296213"/>
    <n v="179"/>
    <x v="1"/>
    <d v="2025-10-23T00:00:00"/>
    <n v="9"/>
    <x v="3"/>
  </r>
  <r>
    <s v="Jeremy Frye"/>
    <n v="30"/>
    <x v="2"/>
    <x v="0"/>
    <x v="6"/>
    <x v="2"/>
    <x v="111"/>
    <x v="0"/>
    <n v="47905.472460575344"/>
    <n v="106"/>
    <x v="0"/>
    <d v="2025-07-19T00:00:00"/>
    <n v="6"/>
    <x v="4"/>
  </r>
  <r>
    <s v="Cameron Miller"/>
    <n v="66"/>
    <x v="0"/>
    <x v="1"/>
    <x v="7"/>
    <x v="4"/>
    <x v="237"/>
    <x v="1"/>
    <n v="21848.64370006735"/>
    <n v="209"/>
    <x v="0"/>
    <d v="2025-12-15T00:00:00"/>
    <n v="6"/>
    <x v="4"/>
  </r>
  <r>
    <s v="William Williams Dds"/>
    <n v="34"/>
    <x v="2"/>
    <x v="0"/>
    <x v="6"/>
    <x v="0"/>
    <x v="238"/>
    <x v="1"/>
    <n v="13136.392522152069"/>
    <n v="310"/>
    <x v="1"/>
    <d v="2025-09-01T00:00:00"/>
    <n v="7"/>
    <x v="2"/>
  </r>
  <r>
    <s v="Tracie Wright"/>
    <n v="78"/>
    <x v="0"/>
    <x v="0"/>
    <x v="1"/>
    <x v="0"/>
    <x v="16"/>
    <x v="1"/>
    <n v="34437.765067103654"/>
    <n v="223"/>
    <x v="0"/>
    <d v="2025-01-13T00:00:00"/>
    <n v="11"/>
    <x v="0"/>
  </r>
  <r>
    <s v="David Reyes"/>
    <n v="63"/>
    <x v="1"/>
    <x v="1"/>
    <x v="5"/>
    <x v="2"/>
    <x v="239"/>
    <x v="3"/>
    <n v="35149.098182446192"/>
    <n v="231"/>
    <x v="0"/>
    <d v="2025-03-22T00:00:00"/>
    <n v="9"/>
    <x v="4"/>
  </r>
  <r>
    <s v="Paige King"/>
    <n v="58"/>
    <x v="1"/>
    <x v="1"/>
    <x v="2"/>
    <x v="4"/>
    <x v="33"/>
    <x v="0"/>
    <n v="41520.098568556677"/>
    <n v="269"/>
    <x v="0"/>
    <d v="2025-03-11T00:00:00"/>
    <n v="1"/>
    <x v="2"/>
  </r>
  <r>
    <s v="James Garcia"/>
    <n v="31"/>
    <x v="2"/>
    <x v="0"/>
    <x v="1"/>
    <x v="5"/>
    <x v="231"/>
    <x v="3"/>
    <n v="2894.124207860576"/>
    <n v="460"/>
    <x v="0"/>
    <d v="2025-08-19T00:00:00"/>
    <n v="11"/>
    <x v="3"/>
  </r>
  <r>
    <s v="Lori Harvey"/>
    <n v="48"/>
    <x v="3"/>
    <x v="0"/>
    <x v="0"/>
    <x v="0"/>
    <x v="240"/>
    <x v="0"/>
    <n v="22399.532791006641"/>
    <n v="297"/>
    <x v="0"/>
    <d v="2025-03-08T00:00:00"/>
    <n v="4"/>
    <x v="3"/>
  </r>
  <r>
    <s v="Amy Wang"/>
    <n v="47"/>
    <x v="3"/>
    <x v="1"/>
    <x v="5"/>
    <x v="4"/>
    <x v="241"/>
    <x v="0"/>
    <n v="44777.476637747583"/>
    <n v="478"/>
    <x v="1"/>
    <d v="2025-12-01T00:00:00"/>
    <n v="1"/>
    <x v="2"/>
  </r>
  <r>
    <s v="Jordan Vargas"/>
    <n v="49"/>
    <x v="3"/>
    <x v="1"/>
    <x v="0"/>
    <x v="0"/>
    <x v="242"/>
    <x v="1"/>
    <n v="46984.445856520018"/>
    <n v="360"/>
    <x v="1"/>
    <d v="2025-02-06T00:00:00"/>
    <n v="13"/>
    <x v="0"/>
  </r>
  <r>
    <s v="Gordon Kelly"/>
    <n v="62"/>
    <x v="1"/>
    <x v="0"/>
    <x v="1"/>
    <x v="3"/>
    <x v="33"/>
    <x v="1"/>
    <n v="36832.964708241198"/>
    <n v="423"/>
    <x v="1"/>
    <d v="2025-03-18T00:00:00"/>
    <n v="8"/>
    <x v="4"/>
  </r>
  <r>
    <s v="Nathan Scott"/>
    <n v="52"/>
    <x v="1"/>
    <x v="1"/>
    <x v="0"/>
    <x v="4"/>
    <x v="7"/>
    <x v="1"/>
    <n v="27323.104277139311"/>
    <n v="232"/>
    <x v="1"/>
    <d v="2025-08-27T00:00:00"/>
    <n v="6"/>
    <x v="4"/>
  </r>
  <r>
    <s v="Lisa Green"/>
    <n v="38"/>
    <x v="3"/>
    <x v="0"/>
    <x v="3"/>
    <x v="3"/>
    <x v="31"/>
    <x v="0"/>
    <n v="27260.16841969957"/>
    <n v="154"/>
    <x v="1"/>
    <d v="2025-04-10T00:00:00"/>
    <n v="4"/>
    <x v="1"/>
  </r>
  <r>
    <s v="Amy Combs"/>
    <n v="19"/>
    <x v="2"/>
    <x v="0"/>
    <x v="3"/>
    <x v="1"/>
    <x v="243"/>
    <x v="3"/>
    <n v="42157.22298233107"/>
    <n v="149"/>
    <x v="0"/>
    <d v="2025-08-20T00:00:00"/>
    <n v="8"/>
    <x v="3"/>
  </r>
  <r>
    <s v="Kelly Sanford"/>
    <n v="74"/>
    <x v="0"/>
    <x v="1"/>
    <x v="3"/>
    <x v="0"/>
    <x v="168"/>
    <x v="0"/>
    <n v="20945.369101023221"/>
    <n v="417"/>
    <x v="1"/>
    <d v="2025-06-07T00:00:00"/>
    <n v="14"/>
    <x v="2"/>
  </r>
  <r>
    <s v="Mrs. Jessica Black Md"/>
    <n v="80"/>
    <x v="0"/>
    <x v="0"/>
    <x v="4"/>
    <x v="5"/>
    <x v="90"/>
    <x v="3"/>
    <n v="10481.84109590047"/>
    <n v="284"/>
    <x v="1"/>
    <d v="2025-10-17T00:00:00"/>
    <n v="9"/>
    <x v="2"/>
  </r>
  <r>
    <s v="Robert Gould"/>
    <n v="20"/>
    <x v="2"/>
    <x v="0"/>
    <x v="3"/>
    <x v="1"/>
    <x v="40"/>
    <x v="3"/>
    <n v="29504.13504027648"/>
    <n v="428"/>
    <x v="0"/>
    <d v="2025-04-04T00:00:00"/>
    <n v="2"/>
    <x v="1"/>
  </r>
  <r>
    <s v="Christine Vargas"/>
    <n v="34"/>
    <x v="2"/>
    <x v="0"/>
    <x v="5"/>
    <x v="4"/>
    <x v="22"/>
    <x v="3"/>
    <n v="7877.4761779105611"/>
    <n v="286"/>
    <x v="0"/>
    <d v="2025-07-28T00:00:00"/>
    <n v="11"/>
    <x v="3"/>
  </r>
  <r>
    <s v="Barbara Diaz"/>
    <n v="67"/>
    <x v="0"/>
    <x v="0"/>
    <x v="0"/>
    <x v="1"/>
    <x v="244"/>
    <x v="1"/>
    <n v="13358.79530642829"/>
    <n v="391"/>
    <x v="1"/>
    <d v="2025-03-07T00:00:00"/>
    <n v="7"/>
    <x v="4"/>
  </r>
  <r>
    <s v="John Washington"/>
    <n v="45"/>
    <x v="3"/>
    <x v="0"/>
    <x v="1"/>
    <x v="1"/>
    <x v="245"/>
    <x v="3"/>
    <n v="33544.367599028643"/>
    <n v="391"/>
    <x v="1"/>
    <d v="2025-12-06T00:00:00"/>
    <n v="7"/>
    <x v="3"/>
  </r>
  <r>
    <s v="Devin Stewart"/>
    <n v="48"/>
    <x v="3"/>
    <x v="1"/>
    <x v="0"/>
    <x v="5"/>
    <x v="179"/>
    <x v="0"/>
    <n v="50780.706852468313"/>
    <n v="203"/>
    <x v="1"/>
    <d v="2025-02-24T00:00:00"/>
    <n v="12"/>
    <x v="2"/>
  </r>
  <r>
    <s v="James Roberts"/>
    <n v="20"/>
    <x v="2"/>
    <x v="0"/>
    <x v="0"/>
    <x v="3"/>
    <x v="36"/>
    <x v="3"/>
    <n v="16151.191503532271"/>
    <n v="155"/>
    <x v="0"/>
    <d v="2025-08-06T00:00:00"/>
    <n v="3"/>
    <x v="1"/>
  </r>
  <r>
    <s v="James Yates"/>
    <n v="51"/>
    <x v="1"/>
    <x v="1"/>
    <x v="2"/>
    <x v="4"/>
    <x v="43"/>
    <x v="3"/>
    <n v="35244.17985332766"/>
    <n v="249"/>
    <x v="1"/>
    <d v="2025-05-06T00:00:00"/>
    <n v="11"/>
    <x v="2"/>
  </r>
  <r>
    <s v="Peter Nichols"/>
    <n v="36"/>
    <x v="3"/>
    <x v="0"/>
    <x v="5"/>
    <x v="3"/>
    <x v="50"/>
    <x v="3"/>
    <n v="8160.8807907911541"/>
    <n v="249"/>
    <x v="0"/>
    <d v="2025-10-07T00:00:00"/>
    <n v="2"/>
    <x v="3"/>
  </r>
  <r>
    <s v="Karen Price"/>
    <n v="38"/>
    <x v="3"/>
    <x v="1"/>
    <x v="4"/>
    <x v="5"/>
    <x v="74"/>
    <x v="1"/>
    <n v="21407.341468923139"/>
    <n v="452"/>
    <x v="0"/>
    <d v="2025-10-21T00:00:00"/>
    <n v="3"/>
    <x v="0"/>
  </r>
  <r>
    <s v="Christopher Jones"/>
    <n v="49"/>
    <x v="3"/>
    <x v="1"/>
    <x v="7"/>
    <x v="3"/>
    <x v="215"/>
    <x v="0"/>
    <n v="39073.938103135282"/>
    <n v="180"/>
    <x v="1"/>
    <d v="2025-12-24T00:00:00"/>
    <n v="8"/>
    <x v="2"/>
  </r>
  <r>
    <s v="Larry Leonard"/>
    <n v="82"/>
    <x v="0"/>
    <x v="1"/>
    <x v="7"/>
    <x v="0"/>
    <x v="3"/>
    <x v="0"/>
    <n v="24885.568490234109"/>
    <n v="436"/>
    <x v="1"/>
    <d v="2025-08-03T00:00:00"/>
    <n v="12"/>
    <x v="3"/>
  </r>
  <r>
    <s v="Michelle Zhang"/>
    <n v="68"/>
    <x v="0"/>
    <x v="1"/>
    <x v="2"/>
    <x v="5"/>
    <x v="81"/>
    <x v="0"/>
    <n v="42408.270812285613"/>
    <n v="357"/>
    <x v="0"/>
    <d v="2025-12-15T00:00:00"/>
    <n v="12"/>
    <x v="3"/>
  </r>
  <r>
    <s v="Kristen Flores"/>
    <n v="64"/>
    <x v="1"/>
    <x v="1"/>
    <x v="7"/>
    <x v="3"/>
    <x v="26"/>
    <x v="3"/>
    <n v="13074.056491834801"/>
    <n v="293"/>
    <x v="1"/>
    <d v="2025-11-30T00:00:00"/>
    <n v="10"/>
    <x v="0"/>
  </r>
  <r>
    <s v="Matthew Bell"/>
    <n v="79"/>
    <x v="0"/>
    <x v="1"/>
    <x v="0"/>
    <x v="4"/>
    <x v="111"/>
    <x v="3"/>
    <n v="43914.877994545917"/>
    <n v="113"/>
    <x v="1"/>
    <d v="2025-07-27T00:00:00"/>
    <n v="14"/>
    <x v="4"/>
  </r>
  <r>
    <s v="Bradley Miranda"/>
    <n v="36"/>
    <x v="3"/>
    <x v="1"/>
    <x v="4"/>
    <x v="3"/>
    <x v="19"/>
    <x v="3"/>
    <n v="41056.29222756235"/>
    <n v="319"/>
    <x v="0"/>
    <d v="2025-07-13T00:00:00"/>
    <n v="13"/>
    <x v="0"/>
  </r>
  <r>
    <s v="Christopher Moore"/>
    <n v="59"/>
    <x v="1"/>
    <x v="0"/>
    <x v="6"/>
    <x v="5"/>
    <x v="54"/>
    <x v="1"/>
    <n v="6921.0203757044292"/>
    <n v="179"/>
    <x v="1"/>
    <d v="2025-11-18T00:00:00"/>
    <n v="11"/>
    <x v="2"/>
  </r>
  <r>
    <s v="Dan Pineda"/>
    <n v="85"/>
    <x v="0"/>
    <x v="1"/>
    <x v="5"/>
    <x v="3"/>
    <x v="246"/>
    <x v="3"/>
    <n v="18326.850650381581"/>
    <n v="293"/>
    <x v="0"/>
    <d v="2025-01-21T00:00:00"/>
    <n v="5"/>
    <x v="0"/>
  </r>
  <r>
    <s v="Mariah Smith"/>
    <n v="67"/>
    <x v="0"/>
    <x v="1"/>
    <x v="0"/>
    <x v="2"/>
    <x v="233"/>
    <x v="3"/>
    <n v="22740.130276558069"/>
    <n v="487"/>
    <x v="1"/>
    <d v="2025-03-04T00:00:00"/>
    <n v="5"/>
    <x v="3"/>
  </r>
  <r>
    <s v="Sabrina Cook"/>
    <n v="58"/>
    <x v="1"/>
    <x v="1"/>
    <x v="3"/>
    <x v="2"/>
    <x v="24"/>
    <x v="1"/>
    <n v="44972.17289651301"/>
    <n v="202"/>
    <x v="0"/>
    <d v="2025-07-31T00:00:00"/>
    <n v="5"/>
    <x v="4"/>
  </r>
  <r>
    <s v="Melissa Hoffman"/>
    <n v="66"/>
    <x v="0"/>
    <x v="0"/>
    <x v="1"/>
    <x v="3"/>
    <x v="44"/>
    <x v="3"/>
    <n v="34254.69091297358"/>
    <n v="411"/>
    <x v="1"/>
    <d v="2025-12-15T00:00:00"/>
    <n v="2"/>
    <x v="1"/>
  </r>
  <r>
    <s v="Joseph Martin"/>
    <n v="62"/>
    <x v="1"/>
    <x v="0"/>
    <x v="0"/>
    <x v="0"/>
    <x v="214"/>
    <x v="0"/>
    <n v="3182.7095638784249"/>
    <n v="150"/>
    <x v="0"/>
    <d v="2025-11-24T00:00:00"/>
    <n v="8"/>
    <x v="2"/>
  </r>
  <r>
    <s v="Melissa Sims"/>
    <n v="53"/>
    <x v="1"/>
    <x v="1"/>
    <x v="0"/>
    <x v="2"/>
    <x v="227"/>
    <x v="1"/>
    <n v="14210.81732100748"/>
    <n v="409"/>
    <x v="1"/>
    <d v="2025-02-01T00:00:00"/>
    <n v="9"/>
    <x v="4"/>
  </r>
  <r>
    <s v="Sarah Evans"/>
    <n v="37"/>
    <x v="3"/>
    <x v="0"/>
    <x v="1"/>
    <x v="5"/>
    <x v="35"/>
    <x v="0"/>
    <n v="19187.916437277308"/>
    <n v="321"/>
    <x v="1"/>
    <d v="2025-02-08T00:00:00"/>
    <n v="3"/>
    <x v="3"/>
  </r>
  <r>
    <s v="Maria Anderson"/>
    <n v="76"/>
    <x v="0"/>
    <x v="0"/>
    <x v="5"/>
    <x v="1"/>
    <x v="114"/>
    <x v="3"/>
    <n v="45996.556668530611"/>
    <n v="221"/>
    <x v="0"/>
    <d v="2025-05-31T00:00:00"/>
    <n v="8"/>
    <x v="4"/>
  </r>
  <r>
    <s v="Maria Johnston"/>
    <n v="73"/>
    <x v="0"/>
    <x v="1"/>
    <x v="4"/>
    <x v="0"/>
    <x v="247"/>
    <x v="0"/>
    <n v="49464.130858971068"/>
    <n v="410"/>
    <x v="0"/>
    <d v="2025-09-15T00:00:00"/>
    <n v="2"/>
    <x v="0"/>
  </r>
  <r>
    <s v="James Cole"/>
    <n v="20"/>
    <x v="2"/>
    <x v="0"/>
    <x v="4"/>
    <x v="4"/>
    <x v="56"/>
    <x v="0"/>
    <n v="34548.142722503311"/>
    <n v="194"/>
    <x v="0"/>
    <d v="2025-09-26T00:00:00"/>
    <n v="8"/>
    <x v="2"/>
  </r>
  <r>
    <s v="Isaiah Holt"/>
    <n v="24"/>
    <x v="2"/>
    <x v="1"/>
    <x v="2"/>
    <x v="1"/>
    <x v="70"/>
    <x v="0"/>
    <n v="8985.0292546301807"/>
    <n v="359"/>
    <x v="1"/>
    <d v="2025-08-25T00:00:00"/>
    <n v="7"/>
    <x v="4"/>
  </r>
  <r>
    <s v="Joseph Gonzales"/>
    <n v="53"/>
    <x v="1"/>
    <x v="1"/>
    <x v="2"/>
    <x v="3"/>
    <x v="29"/>
    <x v="3"/>
    <n v="44103.391297167829"/>
    <n v="430"/>
    <x v="0"/>
    <d v="2025-07-10T00:00:00"/>
    <n v="8"/>
    <x v="2"/>
  </r>
  <r>
    <s v="Jennifer Camacho"/>
    <n v="28"/>
    <x v="2"/>
    <x v="0"/>
    <x v="5"/>
    <x v="1"/>
    <x v="248"/>
    <x v="1"/>
    <n v="43367.122493264913"/>
    <n v="201"/>
    <x v="0"/>
    <d v="2025-03-10T00:00:00"/>
    <n v="4"/>
    <x v="3"/>
  </r>
  <r>
    <s v="Hector Jones"/>
    <n v="69"/>
    <x v="0"/>
    <x v="0"/>
    <x v="2"/>
    <x v="3"/>
    <x v="115"/>
    <x v="0"/>
    <n v="11610.636907342951"/>
    <n v="114"/>
    <x v="1"/>
    <d v="2025-10-14T00:00:00"/>
    <n v="8"/>
    <x v="0"/>
  </r>
  <r>
    <s v="Jessica Jones Dds"/>
    <n v="29"/>
    <x v="2"/>
    <x v="0"/>
    <x v="1"/>
    <x v="5"/>
    <x v="214"/>
    <x v="1"/>
    <n v="22117.356454379391"/>
    <n v="241"/>
    <x v="1"/>
    <d v="2025-11-26T00:00:00"/>
    <n v="10"/>
    <x v="1"/>
  </r>
  <r>
    <s v="Isabella Martin"/>
    <n v="75"/>
    <x v="0"/>
    <x v="0"/>
    <x v="3"/>
    <x v="3"/>
    <x v="51"/>
    <x v="1"/>
    <n v="38396.924370638902"/>
    <n v="228"/>
    <x v="1"/>
    <d v="2025-02-02T00:00:00"/>
    <n v="8"/>
    <x v="0"/>
  </r>
  <r>
    <s v="Daniel Palmer"/>
    <n v="25"/>
    <x v="2"/>
    <x v="0"/>
    <x v="1"/>
    <x v="0"/>
    <x v="196"/>
    <x v="0"/>
    <n v="36218.558928078528"/>
    <n v="334"/>
    <x v="0"/>
    <d v="2025-05-17T00:00:00"/>
    <n v="3"/>
    <x v="1"/>
  </r>
  <r>
    <s v="Stephanie Benson"/>
    <n v="65"/>
    <x v="1"/>
    <x v="1"/>
    <x v="0"/>
    <x v="2"/>
    <x v="163"/>
    <x v="1"/>
    <n v="11230.496505544081"/>
    <n v="150"/>
    <x v="1"/>
    <d v="2025-01-20T00:00:00"/>
    <n v="14"/>
    <x v="3"/>
  </r>
  <r>
    <s v="Ashley Williams"/>
    <n v="60"/>
    <x v="1"/>
    <x v="0"/>
    <x v="3"/>
    <x v="5"/>
    <x v="242"/>
    <x v="1"/>
    <n v="13848.439557141481"/>
    <n v="351"/>
    <x v="0"/>
    <d v="2025-01-27T00:00:00"/>
    <n v="3"/>
    <x v="1"/>
  </r>
  <r>
    <s v="Gregory Nguyen"/>
    <n v="39"/>
    <x v="3"/>
    <x v="0"/>
    <x v="7"/>
    <x v="4"/>
    <x v="233"/>
    <x v="0"/>
    <n v="28189.51024160485"/>
    <n v="432"/>
    <x v="1"/>
    <d v="2025-03-06T00:00:00"/>
    <n v="7"/>
    <x v="1"/>
  </r>
  <r>
    <s v="Joe Smith"/>
    <n v="64"/>
    <x v="1"/>
    <x v="1"/>
    <x v="0"/>
    <x v="5"/>
    <x v="80"/>
    <x v="3"/>
    <n v="12320.889095153711"/>
    <n v="229"/>
    <x v="0"/>
    <d v="2025-05-22T00:00:00"/>
    <n v="14"/>
    <x v="4"/>
  </r>
  <r>
    <s v="Lisa Watts"/>
    <n v="69"/>
    <x v="0"/>
    <x v="1"/>
    <x v="5"/>
    <x v="4"/>
    <x v="249"/>
    <x v="0"/>
    <n v="979.26284857347082"/>
    <n v="431"/>
    <x v="0"/>
    <d v="2025-06-20T00:00:00"/>
    <n v="4"/>
    <x v="3"/>
  </r>
  <r>
    <s v="Alexander Garcia"/>
    <n v="62"/>
    <x v="1"/>
    <x v="0"/>
    <x v="6"/>
    <x v="0"/>
    <x v="250"/>
    <x v="2"/>
    <n v="36169.217080605224"/>
    <n v="233"/>
    <x v="0"/>
    <d v="2025-10-29T00:00:00"/>
    <n v="2"/>
    <x v="3"/>
  </r>
  <r>
    <s v="Elizabeth Perkins"/>
    <n v="84"/>
    <x v="0"/>
    <x v="1"/>
    <x v="5"/>
    <x v="4"/>
    <x v="227"/>
    <x v="1"/>
    <n v="45256.486445423783"/>
    <n v="335"/>
    <x v="1"/>
    <d v="2025-01-27T00:00:00"/>
    <n v="4"/>
    <x v="0"/>
  </r>
  <r>
    <s v="Laura Wells"/>
    <n v="26"/>
    <x v="2"/>
    <x v="1"/>
    <x v="3"/>
    <x v="5"/>
    <x v="152"/>
    <x v="1"/>
    <n v="8122.839903504102"/>
    <n v="425"/>
    <x v="1"/>
    <d v="2025-11-03T00:00:00"/>
    <n v="3"/>
    <x v="4"/>
  </r>
  <r>
    <s v="Robert Mccormick"/>
    <n v="52"/>
    <x v="1"/>
    <x v="0"/>
    <x v="2"/>
    <x v="3"/>
    <x v="77"/>
    <x v="3"/>
    <n v="2725.3809771642909"/>
    <n v="299"/>
    <x v="0"/>
    <d v="2025-09-07T00:00:00"/>
    <n v="7"/>
    <x v="1"/>
  </r>
  <r>
    <s v="Michael Yu"/>
    <n v="35"/>
    <x v="2"/>
    <x v="0"/>
    <x v="7"/>
    <x v="3"/>
    <x v="96"/>
    <x v="2"/>
    <n v="40250.949663900887"/>
    <n v="329"/>
    <x v="1"/>
    <d v="2025-01-31T00:00:00"/>
    <n v="11"/>
    <x v="0"/>
  </r>
  <r>
    <s v="Jacob Graham"/>
    <n v="67"/>
    <x v="0"/>
    <x v="0"/>
    <x v="1"/>
    <x v="5"/>
    <x v="217"/>
    <x v="0"/>
    <n v="10501.38419646004"/>
    <n v="176"/>
    <x v="1"/>
    <d v="2025-06-21T00:00:00"/>
    <n v="11"/>
    <x v="1"/>
  </r>
  <r>
    <s v="Andrea Kennedy"/>
    <n v="52"/>
    <x v="1"/>
    <x v="1"/>
    <x v="1"/>
    <x v="1"/>
    <x v="251"/>
    <x v="2"/>
    <n v="12968.321546223169"/>
    <n v="338"/>
    <x v="1"/>
    <d v="2025-01-26T00:00:00"/>
    <n v="11"/>
    <x v="4"/>
  </r>
  <r>
    <s v="Stacey Anderson"/>
    <n v="53"/>
    <x v="1"/>
    <x v="0"/>
    <x v="7"/>
    <x v="4"/>
    <x v="36"/>
    <x v="0"/>
    <n v="27209.852533162171"/>
    <n v="213"/>
    <x v="0"/>
    <d v="2025-08-04T00:00:00"/>
    <n v="1"/>
    <x v="2"/>
  </r>
  <r>
    <s v="Jason Marsh"/>
    <n v="54"/>
    <x v="1"/>
    <x v="1"/>
    <x v="1"/>
    <x v="0"/>
    <x v="252"/>
    <x v="2"/>
    <n v="21650.838923354058"/>
    <n v="151"/>
    <x v="1"/>
    <d v="2025-01-28T00:00:00"/>
    <n v="11"/>
    <x v="0"/>
  </r>
  <r>
    <s v="Tiffany Ferguson"/>
    <n v="73"/>
    <x v="0"/>
    <x v="1"/>
    <x v="0"/>
    <x v="1"/>
    <x v="68"/>
    <x v="3"/>
    <n v="28873.67381762862"/>
    <n v="391"/>
    <x v="1"/>
    <d v="2025-04-13T00:00:00"/>
    <n v="2"/>
    <x v="3"/>
  </r>
  <r>
    <s v="Mark Hernandez"/>
    <n v="46"/>
    <x v="3"/>
    <x v="1"/>
    <x v="1"/>
    <x v="5"/>
    <x v="34"/>
    <x v="1"/>
    <n v="19702.951510836461"/>
    <n v="246"/>
    <x v="0"/>
    <d v="2025-12-06T00:00:00"/>
    <n v="11"/>
    <x v="1"/>
  </r>
  <r>
    <s v="Keith Henry"/>
    <n v="18"/>
    <x v="4"/>
    <x v="0"/>
    <x v="6"/>
    <x v="3"/>
    <x v="135"/>
    <x v="3"/>
    <n v="17043.814514825899"/>
    <n v="102"/>
    <x v="1"/>
    <d v="2025-03-16T00:00:00"/>
    <n v="7"/>
    <x v="3"/>
  </r>
  <r>
    <s v="Michelle Wright"/>
    <n v="83"/>
    <x v="0"/>
    <x v="0"/>
    <x v="2"/>
    <x v="4"/>
    <x v="60"/>
    <x v="0"/>
    <n v="51899.015476957124"/>
    <n v="125"/>
    <x v="0"/>
    <d v="2025-03-16T00:00:00"/>
    <n v="4"/>
    <x v="0"/>
  </r>
  <r>
    <s v="Troy Davis"/>
    <n v="20"/>
    <x v="2"/>
    <x v="1"/>
    <x v="3"/>
    <x v="2"/>
    <x v="253"/>
    <x v="2"/>
    <n v="10107.51885446999"/>
    <n v="457"/>
    <x v="0"/>
    <d v="2025-03-08T00:00:00"/>
    <n v="5"/>
    <x v="2"/>
  </r>
  <r>
    <s v="Misty Burton"/>
    <n v="38"/>
    <x v="3"/>
    <x v="0"/>
    <x v="6"/>
    <x v="3"/>
    <x v="254"/>
    <x v="0"/>
    <n v="33796.715760554471"/>
    <n v="456"/>
    <x v="0"/>
    <d v="2025-01-23T00:00:00"/>
    <n v="12"/>
    <x v="4"/>
  </r>
  <r>
    <s v="Robert Robinson"/>
    <n v="36"/>
    <x v="3"/>
    <x v="1"/>
    <x v="2"/>
    <x v="3"/>
    <x v="255"/>
    <x v="0"/>
    <n v="21353.739445149571"/>
    <n v="162"/>
    <x v="1"/>
    <d v="2025-04-29T00:00:00"/>
    <n v="7"/>
    <x v="1"/>
  </r>
  <r>
    <s v="Christina Calderon"/>
    <n v="67"/>
    <x v="0"/>
    <x v="1"/>
    <x v="7"/>
    <x v="2"/>
    <x v="246"/>
    <x v="2"/>
    <n v="35906.188447406828"/>
    <n v="121"/>
    <x v="0"/>
    <d v="2025-01-19T00:00:00"/>
    <n v="3"/>
    <x v="0"/>
  </r>
  <r>
    <s v="John Graham"/>
    <n v="32"/>
    <x v="2"/>
    <x v="1"/>
    <x v="6"/>
    <x v="3"/>
    <x v="6"/>
    <x v="3"/>
    <n v="41612.036883215733"/>
    <n v="183"/>
    <x v="1"/>
    <d v="2025-06-29T00:00:00"/>
    <n v="5"/>
    <x v="3"/>
  </r>
  <r>
    <s v="Michael Parker"/>
    <n v="30"/>
    <x v="2"/>
    <x v="0"/>
    <x v="2"/>
    <x v="4"/>
    <x v="142"/>
    <x v="2"/>
    <n v="17404.502083819301"/>
    <n v="489"/>
    <x v="1"/>
    <d v="2025-09-13T00:00:00"/>
    <n v="5"/>
    <x v="3"/>
  </r>
  <r>
    <s v="William Evans"/>
    <n v="80"/>
    <x v="0"/>
    <x v="1"/>
    <x v="4"/>
    <x v="5"/>
    <x v="151"/>
    <x v="1"/>
    <n v="12171.578028953651"/>
    <n v="374"/>
    <x v="1"/>
    <d v="2025-12-22T00:00:00"/>
    <n v="12"/>
    <x v="1"/>
  </r>
  <r>
    <s v="Valerie Hodges"/>
    <n v="24"/>
    <x v="2"/>
    <x v="0"/>
    <x v="1"/>
    <x v="5"/>
    <x v="256"/>
    <x v="2"/>
    <n v="44846.735938410398"/>
    <n v="297"/>
    <x v="1"/>
    <d v="2025-05-23T00:00:00"/>
    <n v="11"/>
    <x v="3"/>
  </r>
  <r>
    <s v="Brenda Beck"/>
    <n v="76"/>
    <x v="0"/>
    <x v="1"/>
    <x v="3"/>
    <x v="0"/>
    <x v="126"/>
    <x v="3"/>
    <n v="18080.896523447471"/>
    <n v="114"/>
    <x v="1"/>
    <d v="2025-05-29T00:00:00"/>
    <n v="8"/>
    <x v="2"/>
  </r>
  <r>
    <s v="Christine Davis"/>
    <n v="57"/>
    <x v="1"/>
    <x v="0"/>
    <x v="5"/>
    <x v="3"/>
    <x v="257"/>
    <x v="1"/>
    <n v="6126.7956341358367"/>
    <n v="201"/>
    <x v="1"/>
    <d v="2025-03-02T00:00:00"/>
    <n v="1"/>
    <x v="3"/>
  </r>
  <r>
    <s v="Kevin Daniel"/>
    <n v="84"/>
    <x v="0"/>
    <x v="0"/>
    <x v="3"/>
    <x v="2"/>
    <x v="41"/>
    <x v="3"/>
    <n v="18933.077423108411"/>
    <n v="304"/>
    <x v="1"/>
    <d v="2025-02-04T00:00:00"/>
    <n v="4"/>
    <x v="1"/>
  </r>
  <r>
    <s v="Brittney Wagner"/>
    <n v="64"/>
    <x v="1"/>
    <x v="0"/>
    <x v="4"/>
    <x v="0"/>
    <x v="258"/>
    <x v="0"/>
    <n v="7588.712520722218"/>
    <n v="150"/>
    <x v="1"/>
    <d v="2025-10-08T00:00:00"/>
    <n v="7"/>
    <x v="3"/>
  </r>
  <r>
    <s v="Cristian Buchanan"/>
    <n v="26"/>
    <x v="2"/>
    <x v="1"/>
    <x v="1"/>
    <x v="1"/>
    <x v="238"/>
    <x v="0"/>
    <n v="2352.7801412862168"/>
    <n v="371"/>
    <x v="0"/>
    <d v="2025-08-29T00:00:00"/>
    <n v="4"/>
    <x v="4"/>
  </r>
  <r>
    <s v="Michael Brady"/>
    <n v="23"/>
    <x v="2"/>
    <x v="0"/>
    <x v="5"/>
    <x v="5"/>
    <x v="259"/>
    <x v="3"/>
    <n v="11986.480740122101"/>
    <n v="282"/>
    <x v="1"/>
    <d v="2025-03-08T00:00:00"/>
    <n v="3"/>
    <x v="4"/>
  </r>
  <r>
    <s v="Jordan Leon"/>
    <n v="67"/>
    <x v="0"/>
    <x v="0"/>
    <x v="4"/>
    <x v="3"/>
    <x v="260"/>
    <x v="1"/>
    <n v="3421.1417491810889"/>
    <n v="319"/>
    <x v="1"/>
    <d v="2025-08-09T00:00:00"/>
    <n v="9"/>
    <x v="1"/>
  </r>
  <r>
    <s v="Katelyn Cunningham"/>
    <n v="38"/>
    <x v="3"/>
    <x v="1"/>
    <x v="1"/>
    <x v="2"/>
    <x v="113"/>
    <x v="0"/>
    <n v="7744.4729741370747"/>
    <n v="205"/>
    <x v="0"/>
    <d v="2025-06-24T00:00:00"/>
    <n v="12"/>
    <x v="2"/>
  </r>
  <r>
    <s v="Krystal Mendoza"/>
    <n v="20"/>
    <x v="2"/>
    <x v="0"/>
    <x v="2"/>
    <x v="0"/>
    <x v="32"/>
    <x v="1"/>
    <n v="17104.843252852679"/>
    <n v="359"/>
    <x v="1"/>
    <d v="2025-10-13T00:00:00"/>
    <n v="10"/>
    <x v="3"/>
  </r>
  <r>
    <s v="Alex Rodriguez"/>
    <n v="29"/>
    <x v="2"/>
    <x v="0"/>
    <x v="4"/>
    <x v="1"/>
    <x v="130"/>
    <x v="0"/>
    <n v="19011.442046608339"/>
    <n v="205"/>
    <x v="1"/>
    <d v="2025-07-04T00:00:00"/>
    <n v="8"/>
    <x v="2"/>
  </r>
  <r>
    <s v="Geoffrey Barker"/>
    <n v="51"/>
    <x v="1"/>
    <x v="1"/>
    <x v="5"/>
    <x v="2"/>
    <x v="247"/>
    <x v="3"/>
    <n v="15188.190391994031"/>
    <n v="396"/>
    <x v="1"/>
    <d v="2025-09-14T00:00:00"/>
    <n v="1"/>
    <x v="0"/>
  </r>
  <r>
    <s v="Alec Mitchell"/>
    <n v="23"/>
    <x v="2"/>
    <x v="1"/>
    <x v="3"/>
    <x v="2"/>
    <x v="261"/>
    <x v="1"/>
    <n v="12052.21107360632"/>
    <n v="360"/>
    <x v="0"/>
    <d v="2025-03-09T00:00:00"/>
    <n v="13"/>
    <x v="2"/>
  </r>
  <r>
    <s v="Jason Jordan"/>
    <n v="68"/>
    <x v="0"/>
    <x v="1"/>
    <x v="3"/>
    <x v="3"/>
    <x v="143"/>
    <x v="1"/>
    <n v="39030.528217438281"/>
    <n v="327"/>
    <x v="0"/>
    <d v="2025-12-21T00:00:00"/>
    <n v="1"/>
    <x v="3"/>
  </r>
  <r>
    <s v="Philip Reyes"/>
    <n v="78"/>
    <x v="0"/>
    <x v="1"/>
    <x v="3"/>
    <x v="1"/>
    <x v="152"/>
    <x v="2"/>
    <n v="33591.224131166142"/>
    <n v="226"/>
    <x v="0"/>
    <d v="2025-11-07T00:00:00"/>
    <n v="7"/>
    <x v="3"/>
  </r>
  <r>
    <s v="Aaron Bradshaw"/>
    <n v="34"/>
    <x v="2"/>
    <x v="0"/>
    <x v="5"/>
    <x v="4"/>
    <x v="136"/>
    <x v="1"/>
    <n v="20086.903608660399"/>
    <n v="336"/>
    <x v="0"/>
    <d v="2025-05-08T00:00:00"/>
    <n v="11"/>
    <x v="1"/>
  </r>
  <r>
    <s v="Erica Ford"/>
    <n v="61"/>
    <x v="1"/>
    <x v="1"/>
    <x v="7"/>
    <x v="0"/>
    <x v="262"/>
    <x v="3"/>
    <n v="26749.101188101471"/>
    <n v="422"/>
    <x v="1"/>
    <d v="2025-09-01T00:00:00"/>
    <n v="6"/>
    <x v="0"/>
  </r>
  <r>
    <s v="Dr. Katie Barrett Dvm"/>
    <n v="39"/>
    <x v="3"/>
    <x v="0"/>
    <x v="7"/>
    <x v="1"/>
    <x v="225"/>
    <x v="1"/>
    <n v="11965.677958288539"/>
    <n v="318"/>
    <x v="0"/>
    <d v="2025-05-07T00:00:00"/>
    <n v="4"/>
    <x v="4"/>
  </r>
  <r>
    <s v="Jacob Young"/>
    <n v="50"/>
    <x v="3"/>
    <x v="1"/>
    <x v="2"/>
    <x v="1"/>
    <x v="1"/>
    <x v="3"/>
    <n v="19882.384409340899"/>
    <n v="299"/>
    <x v="1"/>
    <d v="2025-11-13T00:00:00"/>
    <n v="1"/>
    <x v="1"/>
  </r>
  <r>
    <s v="Amy Ramos"/>
    <n v="53"/>
    <x v="1"/>
    <x v="1"/>
    <x v="4"/>
    <x v="0"/>
    <x v="263"/>
    <x v="3"/>
    <n v="46111.003762471177"/>
    <n v="385"/>
    <x v="0"/>
    <d v="2025-11-08T00:00:00"/>
    <n v="14"/>
    <x v="3"/>
  </r>
  <r>
    <s v="Patrick Morales"/>
    <n v="71"/>
    <x v="0"/>
    <x v="0"/>
    <x v="6"/>
    <x v="4"/>
    <x v="11"/>
    <x v="3"/>
    <n v="10915.439964741579"/>
    <n v="455"/>
    <x v="1"/>
    <d v="2025-10-28T00:00:00"/>
    <n v="5"/>
    <x v="2"/>
  </r>
  <r>
    <s v="Sophia Conway"/>
    <n v="66"/>
    <x v="0"/>
    <x v="1"/>
    <x v="7"/>
    <x v="2"/>
    <x v="119"/>
    <x v="1"/>
    <n v="27563.774742123769"/>
    <n v="404"/>
    <x v="1"/>
    <d v="2025-06-02T00:00:00"/>
    <n v="5"/>
    <x v="2"/>
  </r>
  <r>
    <s v="James Moore"/>
    <n v="57"/>
    <x v="1"/>
    <x v="0"/>
    <x v="4"/>
    <x v="4"/>
    <x v="264"/>
    <x v="2"/>
    <n v="6991.6256813632099"/>
    <n v="342"/>
    <x v="0"/>
    <d v="2025-07-15T00:00:00"/>
    <n v="8"/>
    <x v="2"/>
  </r>
  <r>
    <s v="Christopher Cochran"/>
    <n v="56"/>
    <x v="1"/>
    <x v="0"/>
    <x v="7"/>
    <x v="0"/>
    <x v="265"/>
    <x v="2"/>
    <n v="23596.551170422081"/>
    <n v="238"/>
    <x v="1"/>
    <d v="2025-06-01T00:00:00"/>
    <n v="12"/>
    <x v="2"/>
  </r>
  <r>
    <s v="Robert Carter"/>
    <n v="80"/>
    <x v="0"/>
    <x v="1"/>
    <x v="6"/>
    <x v="5"/>
    <x v="266"/>
    <x v="2"/>
    <n v="38973.540605411363"/>
    <n v="377"/>
    <x v="0"/>
    <d v="2025-05-07T00:00:00"/>
    <n v="8"/>
    <x v="2"/>
  </r>
  <r>
    <s v="Morgan Nguyen"/>
    <n v="19"/>
    <x v="2"/>
    <x v="0"/>
    <x v="4"/>
    <x v="2"/>
    <x v="267"/>
    <x v="1"/>
    <n v="28782.907491009151"/>
    <n v="164"/>
    <x v="0"/>
    <d v="2025-11-24T00:00:00"/>
    <n v="9"/>
    <x v="4"/>
  </r>
  <r>
    <s v="Nathan Montoya"/>
    <n v="69"/>
    <x v="0"/>
    <x v="1"/>
    <x v="7"/>
    <x v="1"/>
    <x v="252"/>
    <x v="0"/>
    <n v="45659.081665433812"/>
    <n v="308"/>
    <x v="1"/>
    <d v="2025-01-22T00:00:00"/>
    <n v="5"/>
    <x v="4"/>
  </r>
  <r>
    <s v="Joe Berry Phd"/>
    <n v="29"/>
    <x v="2"/>
    <x v="0"/>
    <x v="2"/>
    <x v="4"/>
    <x v="268"/>
    <x v="2"/>
    <n v="25767.375180585161"/>
    <n v="310"/>
    <x v="1"/>
    <d v="2025-08-11T00:00:00"/>
    <n v="6"/>
    <x v="2"/>
  </r>
  <r>
    <s v="Daniel Ortiz"/>
    <n v="44"/>
    <x v="3"/>
    <x v="1"/>
    <x v="3"/>
    <x v="5"/>
    <x v="54"/>
    <x v="0"/>
    <n v="16460.825115253989"/>
    <n v="410"/>
    <x v="0"/>
    <d v="2025-11-18T00:00:00"/>
    <n v="11"/>
    <x v="3"/>
  </r>
  <r>
    <s v="Matthew Clark"/>
    <n v="60"/>
    <x v="1"/>
    <x v="0"/>
    <x v="7"/>
    <x v="5"/>
    <x v="146"/>
    <x v="1"/>
    <n v="20560.964662905881"/>
    <n v="394"/>
    <x v="1"/>
    <d v="2025-11-15T00:00:00"/>
    <n v="7"/>
    <x v="4"/>
  </r>
  <r>
    <s v="Jacqueline Hardy"/>
    <n v="43"/>
    <x v="3"/>
    <x v="0"/>
    <x v="2"/>
    <x v="0"/>
    <x v="269"/>
    <x v="3"/>
    <n v="41792.053540283319"/>
    <n v="357"/>
    <x v="1"/>
    <d v="2025-03-02T00:00:00"/>
    <n v="13"/>
    <x v="1"/>
  </r>
  <r>
    <s v="Emily Joseph"/>
    <n v="35"/>
    <x v="2"/>
    <x v="1"/>
    <x v="1"/>
    <x v="2"/>
    <x v="91"/>
    <x v="0"/>
    <n v="27396.265745891869"/>
    <n v="420"/>
    <x v="1"/>
    <d v="2025-11-02T00:00:00"/>
    <n v="14"/>
    <x v="2"/>
  </r>
  <r>
    <s v="Sarah Hicks"/>
    <n v="74"/>
    <x v="0"/>
    <x v="1"/>
    <x v="0"/>
    <x v="1"/>
    <x v="44"/>
    <x v="1"/>
    <n v="9342.4932701384369"/>
    <n v="379"/>
    <x v="1"/>
    <d v="2025-12-23T00:00:00"/>
    <n v="10"/>
    <x v="3"/>
  </r>
  <r>
    <s v="Briana Ross"/>
    <n v="19"/>
    <x v="2"/>
    <x v="0"/>
    <x v="7"/>
    <x v="5"/>
    <x v="11"/>
    <x v="3"/>
    <n v="29487.108459668761"/>
    <n v="479"/>
    <x v="1"/>
    <d v="2025-11-03T00:00:00"/>
    <n v="11"/>
    <x v="1"/>
  </r>
  <r>
    <s v="Mary Mccullough"/>
    <n v="64"/>
    <x v="1"/>
    <x v="0"/>
    <x v="2"/>
    <x v="0"/>
    <x v="83"/>
    <x v="3"/>
    <n v="47243.07353682386"/>
    <n v="479"/>
    <x v="1"/>
    <d v="2025-03-17T00:00:00"/>
    <n v="10"/>
    <x v="4"/>
  </r>
  <r>
    <s v="Brian Osborne"/>
    <n v="33"/>
    <x v="2"/>
    <x v="1"/>
    <x v="7"/>
    <x v="5"/>
    <x v="107"/>
    <x v="1"/>
    <n v="12961.37254976216"/>
    <n v="403"/>
    <x v="1"/>
    <d v="2025-02-27T00:00:00"/>
    <n v="8"/>
    <x v="3"/>
  </r>
  <r>
    <s v="Susan Walters"/>
    <n v="44"/>
    <x v="3"/>
    <x v="0"/>
    <x v="3"/>
    <x v="2"/>
    <x v="270"/>
    <x v="1"/>
    <n v="38955.555431980727"/>
    <n v="158"/>
    <x v="0"/>
    <d v="2025-09-25T00:00:00"/>
    <n v="9"/>
    <x v="3"/>
  </r>
  <r>
    <s v="Catherine Harvey"/>
    <n v="50"/>
    <x v="3"/>
    <x v="0"/>
    <x v="1"/>
    <x v="0"/>
    <x v="249"/>
    <x v="1"/>
    <n v="31669.933419492991"/>
    <n v="198"/>
    <x v="0"/>
    <d v="2025-06-22T00:00:00"/>
    <n v="6"/>
    <x v="0"/>
  </r>
  <r>
    <s v="Cory Pierce"/>
    <n v="52"/>
    <x v="1"/>
    <x v="0"/>
    <x v="5"/>
    <x v="5"/>
    <x v="271"/>
    <x v="0"/>
    <n v="38683.446827763008"/>
    <n v="418"/>
    <x v="0"/>
    <d v="2025-07-16T00:00:00"/>
    <n v="10"/>
    <x v="1"/>
  </r>
  <r>
    <s v="Jesus Jordan"/>
    <n v="83"/>
    <x v="0"/>
    <x v="0"/>
    <x v="5"/>
    <x v="4"/>
    <x v="226"/>
    <x v="3"/>
    <n v="24836.307731728681"/>
    <n v="380"/>
    <x v="0"/>
    <d v="2025-10-30T00:00:00"/>
    <n v="14"/>
    <x v="2"/>
  </r>
  <r>
    <s v="Ann Duncan"/>
    <n v="72"/>
    <x v="0"/>
    <x v="0"/>
    <x v="3"/>
    <x v="3"/>
    <x v="272"/>
    <x v="3"/>
    <n v="19860.590223399751"/>
    <n v="466"/>
    <x v="1"/>
    <d v="2025-11-23T00:00:00"/>
    <n v="1"/>
    <x v="0"/>
  </r>
  <r>
    <s v="Sarah Porter"/>
    <n v="37"/>
    <x v="3"/>
    <x v="1"/>
    <x v="7"/>
    <x v="2"/>
    <x v="40"/>
    <x v="2"/>
    <n v="9447.8462138127197"/>
    <n v="159"/>
    <x v="1"/>
    <d v="2025-04-04T00:00:00"/>
    <n v="2"/>
    <x v="0"/>
  </r>
  <r>
    <s v="Jacqueline Dean"/>
    <n v="44"/>
    <x v="3"/>
    <x v="1"/>
    <x v="4"/>
    <x v="3"/>
    <x v="146"/>
    <x v="1"/>
    <n v="41131.014179550708"/>
    <n v="432"/>
    <x v="1"/>
    <d v="2025-11-20T00:00:00"/>
    <n v="12"/>
    <x v="4"/>
  </r>
  <r>
    <s v="Anne Lam"/>
    <n v="22"/>
    <x v="2"/>
    <x v="0"/>
    <x v="0"/>
    <x v="0"/>
    <x v="117"/>
    <x v="0"/>
    <n v="28907.31963848351"/>
    <n v="284"/>
    <x v="0"/>
    <d v="2025-03-29T00:00:00"/>
    <n v="10"/>
    <x v="4"/>
  </r>
  <r>
    <s v="Jennifer Gomez"/>
    <n v="66"/>
    <x v="0"/>
    <x v="1"/>
    <x v="7"/>
    <x v="2"/>
    <x v="273"/>
    <x v="3"/>
    <n v="10980.53923666976"/>
    <n v="113"/>
    <x v="0"/>
    <d v="2025-06-11T00:00:00"/>
    <n v="5"/>
    <x v="3"/>
  </r>
  <r>
    <s v="David Curtis"/>
    <n v="77"/>
    <x v="0"/>
    <x v="0"/>
    <x v="4"/>
    <x v="1"/>
    <x v="241"/>
    <x v="2"/>
    <n v="19855.109035933499"/>
    <n v="440"/>
    <x v="0"/>
    <d v="2025-12-01T00:00:00"/>
    <n v="1"/>
    <x v="0"/>
  </r>
  <r>
    <s v="Joshua Johnson"/>
    <n v="65"/>
    <x v="1"/>
    <x v="0"/>
    <x v="0"/>
    <x v="0"/>
    <x v="239"/>
    <x v="0"/>
    <n v="43477.755524406602"/>
    <n v="442"/>
    <x v="1"/>
    <d v="2025-03-24T00:00:00"/>
    <n v="11"/>
    <x v="2"/>
  </r>
  <r>
    <s v="Jeremy Bowen"/>
    <n v="26"/>
    <x v="2"/>
    <x v="1"/>
    <x v="3"/>
    <x v="4"/>
    <x v="217"/>
    <x v="2"/>
    <n v="6654.6343902702883"/>
    <n v="145"/>
    <x v="1"/>
    <d v="2025-06-21T00:00:00"/>
    <n v="11"/>
    <x v="0"/>
  </r>
  <r>
    <s v="Dennis Clarke"/>
    <n v="69"/>
    <x v="0"/>
    <x v="1"/>
    <x v="0"/>
    <x v="2"/>
    <x v="133"/>
    <x v="2"/>
    <n v="7702.4675388246442"/>
    <n v="287"/>
    <x v="0"/>
    <d v="2025-02-18T00:00:00"/>
    <n v="10"/>
    <x v="4"/>
  </r>
  <r>
    <s v="Jennifer Spence"/>
    <n v="85"/>
    <x v="0"/>
    <x v="1"/>
    <x v="0"/>
    <x v="0"/>
    <x v="266"/>
    <x v="2"/>
    <n v="44129.30844666365"/>
    <n v="309"/>
    <x v="0"/>
    <d v="2025-05-03T00:00:00"/>
    <n v="4"/>
    <x v="1"/>
  </r>
  <r>
    <s v="Billy Fitzgerald"/>
    <n v="33"/>
    <x v="2"/>
    <x v="0"/>
    <x v="2"/>
    <x v="4"/>
    <x v="274"/>
    <x v="1"/>
    <n v="14372.737637807601"/>
    <n v="135"/>
    <x v="0"/>
    <d v="2025-08-16T00:00:00"/>
    <n v="7"/>
    <x v="1"/>
  </r>
  <r>
    <s v="Kristen James"/>
    <n v="53"/>
    <x v="1"/>
    <x v="0"/>
    <x v="3"/>
    <x v="4"/>
    <x v="164"/>
    <x v="3"/>
    <n v="9024.0923011812956"/>
    <n v="178"/>
    <x v="0"/>
    <d v="2025-07-19T00:00:00"/>
    <n v="14"/>
    <x v="2"/>
  </r>
  <r>
    <s v="Caitlin Bender"/>
    <n v="22"/>
    <x v="2"/>
    <x v="1"/>
    <x v="5"/>
    <x v="5"/>
    <x v="275"/>
    <x v="3"/>
    <n v="37216.706496772647"/>
    <n v="345"/>
    <x v="0"/>
    <d v="2025-11-16T00:00:00"/>
    <n v="7"/>
    <x v="4"/>
  </r>
  <r>
    <s v="Brenda Fuller"/>
    <n v="81"/>
    <x v="0"/>
    <x v="1"/>
    <x v="1"/>
    <x v="0"/>
    <x v="209"/>
    <x v="0"/>
    <n v="18283.38967311088"/>
    <n v="153"/>
    <x v="0"/>
    <d v="2025-08-25T00:00:00"/>
    <n v="8"/>
    <x v="1"/>
  </r>
  <r>
    <s v="Cassandra Rice"/>
    <n v="70"/>
    <x v="0"/>
    <x v="1"/>
    <x v="4"/>
    <x v="0"/>
    <x v="21"/>
    <x v="1"/>
    <n v="11838.8651860794"/>
    <n v="389"/>
    <x v="0"/>
    <d v="2025-10-18T00:00:00"/>
    <n v="4"/>
    <x v="3"/>
  </r>
  <r>
    <s v="Sergio Sanchez"/>
    <n v="41"/>
    <x v="3"/>
    <x v="0"/>
    <x v="2"/>
    <x v="4"/>
    <x v="89"/>
    <x v="1"/>
    <n v="37685.2743238283"/>
    <n v="390"/>
    <x v="1"/>
    <d v="2025-11-30T00:00:00"/>
    <n v="6"/>
    <x v="4"/>
  </r>
  <r>
    <s v="Kevin Stein"/>
    <n v="65"/>
    <x v="1"/>
    <x v="0"/>
    <x v="4"/>
    <x v="3"/>
    <x v="45"/>
    <x v="1"/>
    <n v="19547.240509988969"/>
    <n v="368"/>
    <x v="1"/>
    <d v="2025-03-25T00:00:00"/>
    <n v="2"/>
    <x v="0"/>
  </r>
  <r>
    <s v="Maureen Grant Md"/>
    <n v="76"/>
    <x v="0"/>
    <x v="1"/>
    <x v="2"/>
    <x v="0"/>
    <x v="55"/>
    <x v="0"/>
    <n v="39557.888444639721"/>
    <n v="179"/>
    <x v="0"/>
    <d v="2025-03-29T00:00:00"/>
    <n v="3"/>
    <x v="0"/>
  </r>
  <r>
    <s v="Samantha Gutierrez"/>
    <n v="40"/>
    <x v="3"/>
    <x v="0"/>
    <x v="1"/>
    <x v="3"/>
    <x v="254"/>
    <x v="0"/>
    <n v="5289.0850208270422"/>
    <n v="310"/>
    <x v="0"/>
    <d v="2025-01-21T00:00:00"/>
    <n v="10"/>
    <x v="2"/>
  </r>
  <r>
    <s v="George Woodward"/>
    <n v="29"/>
    <x v="2"/>
    <x v="1"/>
    <x v="1"/>
    <x v="0"/>
    <x v="259"/>
    <x v="2"/>
    <n v="34620.964345653912"/>
    <n v="236"/>
    <x v="0"/>
    <d v="2025-03-09T00:00:00"/>
    <n v="4"/>
    <x v="4"/>
  </r>
  <r>
    <s v="Shane Tate"/>
    <n v="74"/>
    <x v="0"/>
    <x v="1"/>
    <x v="4"/>
    <x v="1"/>
    <x v="63"/>
    <x v="1"/>
    <n v="33943.91691076228"/>
    <n v="235"/>
    <x v="0"/>
    <d v="2025-09-29T00:00:00"/>
    <n v="6"/>
    <x v="1"/>
  </r>
  <r>
    <s v="Kerry Hawkins"/>
    <n v="24"/>
    <x v="2"/>
    <x v="0"/>
    <x v="1"/>
    <x v="2"/>
    <x v="151"/>
    <x v="0"/>
    <n v="18953.795430566559"/>
    <n v="387"/>
    <x v="0"/>
    <d v="2025-12-19T00:00:00"/>
    <n v="9"/>
    <x v="1"/>
  </r>
  <r>
    <s v="Marissa Mora"/>
    <n v="77"/>
    <x v="0"/>
    <x v="0"/>
    <x v="0"/>
    <x v="5"/>
    <x v="80"/>
    <x v="1"/>
    <n v="19342.070888497139"/>
    <n v="202"/>
    <x v="1"/>
    <d v="2025-05-13T00:00:00"/>
    <n v="5"/>
    <x v="0"/>
  </r>
  <r>
    <s v="Ricky Meyer"/>
    <n v="61"/>
    <x v="1"/>
    <x v="0"/>
    <x v="0"/>
    <x v="3"/>
    <x v="86"/>
    <x v="1"/>
    <n v="48736.150361556472"/>
    <n v="191"/>
    <x v="1"/>
    <d v="2025-10-04T00:00:00"/>
    <n v="2"/>
    <x v="2"/>
  </r>
  <r>
    <s v="Edward Jones Jr."/>
    <n v="80"/>
    <x v="0"/>
    <x v="0"/>
    <x v="7"/>
    <x v="3"/>
    <x v="190"/>
    <x v="2"/>
    <n v="48000.228030288097"/>
    <n v="427"/>
    <x v="1"/>
    <d v="2025-07-31T00:00:00"/>
    <n v="4"/>
    <x v="2"/>
  </r>
  <r>
    <s v="Heather Melendez"/>
    <n v="71"/>
    <x v="0"/>
    <x v="1"/>
    <x v="5"/>
    <x v="1"/>
    <x v="255"/>
    <x v="2"/>
    <n v="10755.694254043219"/>
    <n v="190"/>
    <x v="1"/>
    <d v="2025-04-23T00:00:00"/>
    <n v="1"/>
    <x v="0"/>
  </r>
  <r>
    <s v="Jessica Macias"/>
    <n v="23"/>
    <x v="2"/>
    <x v="0"/>
    <x v="5"/>
    <x v="1"/>
    <x v="38"/>
    <x v="3"/>
    <n v="14231.06502369"/>
    <n v="295"/>
    <x v="0"/>
    <d v="2025-06-02T00:00:00"/>
    <n v="1"/>
    <x v="4"/>
  </r>
  <r>
    <s v="Jamie Leach"/>
    <n v="46"/>
    <x v="3"/>
    <x v="0"/>
    <x v="7"/>
    <x v="0"/>
    <x v="264"/>
    <x v="0"/>
    <n v="19046.741220692809"/>
    <n v="160"/>
    <x v="0"/>
    <d v="2025-07-16T00:00:00"/>
    <n v="9"/>
    <x v="2"/>
  </r>
  <r>
    <s v="Matthew Simmons"/>
    <n v="35"/>
    <x v="2"/>
    <x v="1"/>
    <x v="5"/>
    <x v="4"/>
    <x v="216"/>
    <x v="2"/>
    <n v="12892.54632248917"/>
    <n v="134"/>
    <x v="0"/>
    <d v="2025-10-30T00:00:00"/>
    <n v="8"/>
    <x v="3"/>
  </r>
  <r>
    <s v="Sheila Baxter"/>
    <n v="23"/>
    <x v="2"/>
    <x v="0"/>
    <x v="1"/>
    <x v="0"/>
    <x v="41"/>
    <x v="1"/>
    <n v="2495.8063392700892"/>
    <n v="152"/>
    <x v="1"/>
    <d v="2025-02-14T00:00:00"/>
    <n v="14"/>
    <x v="4"/>
  </r>
  <r>
    <s v="Dave Parrish"/>
    <n v="69"/>
    <x v="0"/>
    <x v="1"/>
    <x v="2"/>
    <x v="0"/>
    <x v="276"/>
    <x v="0"/>
    <n v="45401.047898034172"/>
    <n v="472"/>
    <x v="1"/>
    <d v="2025-04-16T00:00:00"/>
    <n v="4"/>
    <x v="3"/>
  </r>
  <r>
    <s v="Bryan Stewart"/>
    <n v="47"/>
    <x v="3"/>
    <x v="1"/>
    <x v="6"/>
    <x v="2"/>
    <x v="179"/>
    <x v="3"/>
    <n v="31701.70498771557"/>
    <n v="284"/>
    <x v="1"/>
    <d v="2025-02-24T00:00:00"/>
    <n v="12"/>
    <x v="4"/>
  </r>
  <r>
    <s v="James Bell"/>
    <n v="81"/>
    <x v="0"/>
    <x v="0"/>
    <x v="6"/>
    <x v="5"/>
    <x v="277"/>
    <x v="2"/>
    <n v="29884.027060680899"/>
    <n v="152"/>
    <x v="0"/>
    <d v="2025-11-07T00:00:00"/>
    <n v="5"/>
    <x v="2"/>
  </r>
  <r>
    <s v="Joshua Love"/>
    <n v="51"/>
    <x v="1"/>
    <x v="0"/>
    <x v="0"/>
    <x v="4"/>
    <x v="278"/>
    <x v="1"/>
    <n v="45283.309272957827"/>
    <n v="434"/>
    <x v="0"/>
    <d v="2025-05-04T00:00:00"/>
    <n v="13"/>
    <x v="4"/>
  </r>
  <r>
    <s v="Robert Clark"/>
    <n v="85"/>
    <x v="0"/>
    <x v="1"/>
    <x v="1"/>
    <x v="4"/>
    <x v="134"/>
    <x v="3"/>
    <n v="14510.743800196589"/>
    <n v="159"/>
    <x v="0"/>
    <d v="2025-07-28T00:00:00"/>
    <n v="9"/>
    <x v="4"/>
  </r>
  <r>
    <s v="Marisa Golden"/>
    <n v="34"/>
    <x v="2"/>
    <x v="0"/>
    <x v="1"/>
    <x v="1"/>
    <x v="279"/>
    <x v="3"/>
    <n v="42567.943520048182"/>
    <n v="452"/>
    <x v="0"/>
    <d v="2025-09-13T00:00:00"/>
    <n v="2"/>
    <x v="2"/>
  </r>
  <r>
    <s v="Nancy Hamilton"/>
    <n v="59"/>
    <x v="1"/>
    <x v="1"/>
    <x v="2"/>
    <x v="2"/>
    <x v="169"/>
    <x v="1"/>
    <n v="32709.614939156188"/>
    <n v="242"/>
    <x v="1"/>
    <d v="2025-04-05T00:00:00"/>
    <n v="1"/>
    <x v="1"/>
  </r>
  <r>
    <s v="Bryan Bowers"/>
    <n v="25"/>
    <x v="2"/>
    <x v="1"/>
    <x v="4"/>
    <x v="5"/>
    <x v="166"/>
    <x v="2"/>
    <n v="2743.4503859077349"/>
    <n v="362"/>
    <x v="1"/>
    <d v="2025-06-28T00:00:00"/>
    <n v="9"/>
    <x v="4"/>
  </r>
  <r>
    <s v="Nicole Martin"/>
    <n v="29"/>
    <x v="2"/>
    <x v="0"/>
    <x v="0"/>
    <x v="2"/>
    <x v="126"/>
    <x v="1"/>
    <n v="44993.92747759894"/>
    <n v="220"/>
    <x v="0"/>
    <d v="2025-06-02T00:00:00"/>
    <n v="12"/>
    <x v="4"/>
  </r>
  <r>
    <s v="William Harmon"/>
    <n v="24"/>
    <x v="2"/>
    <x v="0"/>
    <x v="7"/>
    <x v="0"/>
    <x v="28"/>
    <x v="0"/>
    <n v="47252.258265964563"/>
    <n v="335"/>
    <x v="1"/>
    <d v="2025-09-11T00:00:00"/>
    <n v="12"/>
    <x v="0"/>
  </r>
  <r>
    <s v="Tom Brown"/>
    <n v="58"/>
    <x v="1"/>
    <x v="1"/>
    <x v="5"/>
    <x v="2"/>
    <x v="57"/>
    <x v="0"/>
    <n v="49427.876079684313"/>
    <n v="425"/>
    <x v="0"/>
    <d v="2025-05-19T00:00:00"/>
    <n v="3"/>
    <x v="3"/>
  </r>
  <r>
    <s v="Cynthia Nelson"/>
    <n v="42"/>
    <x v="3"/>
    <x v="0"/>
    <x v="6"/>
    <x v="2"/>
    <x v="107"/>
    <x v="3"/>
    <n v="44417.248286585622"/>
    <n v="243"/>
    <x v="1"/>
    <d v="2025-02-28T00:00:00"/>
    <n v="9"/>
    <x v="2"/>
  </r>
  <r>
    <s v="Todd Gross"/>
    <n v="37"/>
    <x v="3"/>
    <x v="1"/>
    <x v="3"/>
    <x v="0"/>
    <x v="184"/>
    <x v="2"/>
    <n v="11654.15302417734"/>
    <n v="180"/>
    <x v="0"/>
    <d v="2025-11-02T00:00:00"/>
    <n v="5"/>
    <x v="3"/>
  </r>
  <r>
    <s v="Stephanie Chung"/>
    <n v="76"/>
    <x v="0"/>
    <x v="0"/>
    <x v="6"/>
    <x v="5"/>
    <x v="240"/>
    <x v="3"/>
    <n v="23100.647818580728"/>
    <n v="206"/>
    <x v="0"/>
    <d v="2025-03-05T00:00:00"/>
    <n v="1"/>
    <x v="3"/>
  </r>
  <r>
    <s v="Kayla Perez"/>
    <n v="68"/>
    <x v="0"/>
    <x v="0"/>
    <x v="1"/>
    <x v="0"/>
    <x v="150"/>
    <x v="3"/>
    <n v="48038.814758062603"/>
    <n v="488"/>
    <x v="1"/>
    <d v="2025-12-07T00:00:00"/>
    <n v="9"/>
    <x v="4"/>
  </r>
  <r>
    <s v="Paul Martinez"/>
    <n v="82"/>
    <x v="0"/>
    <x v="0"/>
    <x v="1"/>
    <x v="5"/>
    <x v="78"/>
    <x v="2"/>
    <n v="29629.085786086911"/>
    <n v="165"/>
    <x v="1"/>
    <d v="2025-02-12T00:00:00"/>
    <n v="13"/>
    <x v="4"/>
  </r>
  <r>
    <s v="Joshua Nelson"/>
    <n v="70"/>
    <x v="0"/>
    <x v="0"/>
    <x v="6"/>
    <x v="1"/>
    <x v="38"/>
    <x v="1"/>
    <n v="47372.796713348907"/>
    <n v="373"/>
    <x v="0"/>
    <d v="2025-06-03T00:00:00"/>
    <n v="2"/>
    <x v="3"/>
  </r>
  <r>
    <s v="Jake Copeland"/>
    <n v="69"/>
    <x v="0"/>
    <x v="1"/>
    <x v="1"/>
    <x v="4"/>
    <x v="15"/>
    <x v="2"/>
    <n v="18896.14754558813"/>
    <n v="142"/>
    <x v="1"/>
    <d v="2025-08-18T00:00:00"/>
    <n v="14"/>
    <x v="0"/>
  </r>
  <r>
    <s v="Maria Gardner"/>
    <n v="60"/>
    <x v="1"/>
    <x v="0"/>
    <x v="7"/>
    <x v="5"/>
    <x v="122"/>
    <x v="2"/>
    <n v="45918.942611012681"/>
    <n v="456"/>
    <x v="0"/>
    <d v="2025-12-31T00:00:00"/>
    <n v="6"/>
    <x v="0"/>
  </r>
  <r>
    <s v="Janet Roberts Dds"/>
    <n v="38"/>
    <x v="3"/>
    <x v="0"/>
    <x v="0"/>
    <x v="0"/>
    <x v="280"/>
    <x v="1"/>
    <n v="41094.480242013517"/>
    <n v="245"/>
    <x v="0"/>
    <d v="2025-08-21T00:00:00"/>
    <n v="1"/>
    <x v="2"/>
  </r>
  <r>
    <s v="Peter Ramsey"/>
    <n v="43"/>
    <x v="3"/>
    <x v="1"/>
    <x v="4"/>
    <x v="3"/>
    <x v="281"/>
    <x v="1"/>
    <n v="43303.42575209507"/>
    <n v="366"/>
    <x v="1"/>
    <d v="2025-12-28T00:00:00"/>
    <n v="9"/>
    <x v="1"/>
  </r>
  <r>
    <s v="Ashley Farmer"/>
    <n v="55"/>
    <x v="1"/>
    <x v="0"/>
    <x v="7"/>
    <x v="0"/>
    <x v="82"/>
    <x v="0"/>
    <n v="8249.5050133652348"/>
    <n v="339"/>
    <x v="1"/>
    <d v="2025-10-19T00:00:00"/>
    <n v="9"/>
    <x v="2"/>
  </r>
  <r>
    <s v="Katherine Hale"/>
    <n v="84"/>
    <x v="0"/>
    <x v="0"/>
    <x v="5"/>
    <x v="3"/>
    <x v="119"/>
    <x v="0"/>
    <n v="-279.84240514028443"/>
    <n v="142"/>
    <x v="1"/>
    <d v="2025-06-01T00:00:00"/>
    <n v="4"/>
    <x v="2"/>
  </r>
  <r>
    <s v="Gary Bowen"/>
    <n v="47"/>
    <x v="3"/>
    <x v="1"/>
    <x v="0"/>
    <x v="0"/>
    <x v="174"/>
    <x v="0"/>
    <n v="2487.9448234187912"/>
    <n v="161"/>
    <x v="0"/>
    <d v="2025-06-23T00:00:00"/>
    <n v="14"/>
    <x v="2"/>
  </r>
  <r>
    <s v="Laura Ryan"/>
    <n v="70"/>
    <x v="0"/>
    <x v="0"/>
    <x v="3"/>
    <x v="1"/>
    <x v="172"/>
    <x v="3"/>
    <n v="49752.20321753715"/>
    <n v="321"/>
    <x v="1"/>
    <d v="2025-04-04T00:00:00"/>
    <n v="6"/>
    <x v="4"/>
  </r>
  <r>
    <s v="Timothy Lopez"/>
    <n v="67"/>
    <x v="0"/>
    <x v="0"/>
    <x v="6"/>
    <x v="0"/>
    <x v="58"/>
    <x v="3"/>
    <n v="20977.576735744839"/>
    <n v="279"/>
    <x v="0"/>
    <d v="2025-08-16T00:00:00"/>
    <n v="3"/>
    <x v="2"/>
  </r>
  <r>
    <s v="Anthony Guzman"/>
    <n v="40"/>
    <x v="3"/>
    <x v="0"/>
    <x v="4"/>
    <x v="4"/>
    <x v="193"/>
    <x v="2"/>
    <n v="-226.38112001165999"/>
    <n v="132"/>
    <x v="1"/>
    <d v="2025-10-28T00:00:00"/>
    <n v="11"/>
    <x v="3"/>
  </r>
  <r>
    <s v="Michael Sharp"/>
    <n v="29"/>
    <x v="2"/>
    <x v="1"/>
    <x v="0"/>
    <x v="4"/>
    <x v="216"/>
    <x v="1"/>
    <n v="16529.141476231842"/>
    <n v="124"/>
    <x v="0"/>
    <d v="2025-10-25T00:00:00"/>
    <n v="3"/>
    <x v="1"/>
  </r>
  <r>
    <s v="David Carroll"/>
    <n v="62"/>
    <x v="1"/>
    <x v="0"/>
    <x v="5"/>
    <x v="0"/>
    <x v="196"/>
    <x v="3"/>
    <n v="30201.88160980419"/>
    <n v="326"/>
    <x v="0"/>
    <d v="2025-05-18T00:00:00"/>
    <n v="4"/>
    <x v="0"/>
  </r>
  <r>
    <s v="Connor Barton"/>
    <n v="83"/>
    <x v="0"/>
    <x v="0"/>
    <x v="0"/>
    <x v="1"/>
    <x v="282"/>
    <x v="2"/>
    <n v="1656.984539695495"/>
    <n v="367"/>
    <x v="1"/>
    <d v="2025-02-12T00:00:00"/>
    <n v="2"/>
    <x v="1"/>
  </r>
  <r>
    <s v="Angela Scott"/>
    <n v="25"/>
    <x v="2"/>
    <x v="0"/>
    <x v="6"/>
    <x v="3"/>
    <x v="5"/>
    <x v="2"/>
    <n v="2135.456534255889"/>
    <n v="486"/>
    <x v="0"/>
    <d v="2025-05-04T00:00:00"/>
    <n v="8"/>
    <x v="4"/>
  </r>
  <r>
    <s v="David Ortiz"/>
    <n v="30"/>
    <x v="2"/>
    <x v="0"/>
    <x v="3"/>
    <x v="3"/>
    <x v="161"/>
    <x v="1"/>
    <n v="11973.08970789012"/>
    <n v="338"/>
    <x v="0"/>
    <d v="2025-05-15T00:00:00"/>
    <n v="11"/>
    <x v="2"/>
  </r>
  <r>
    <s v="Patrick Pierce"/>
    <n v="20"/>
    <x v="2"/>
    <x v="0"/>
    <x v="3"/>
    <x v="1"/>
    <x v="275"/>
    <x v="2"/>
    <n v="14355.883678685181"/>
    <n v="155"/>
    <x v="1"/>
    <d v="2025-11-16T00:00:00"/>
    <n v="7"/>
    <x v="3"/>
  </r>
  <r>
    <s v="Keith Johnson"/>
    <n v="52"/>
    <x v="1"/>
    <x v="0"/>
    <x v="7"/>
    <x v="2"/>
    <x v="283"/>
    <x v="3"/>
    <n v="28277.808970906681"/>
    <n v="121"/>
    <x v="0"/>
    <d v="2025-12-24T00:00:00"/>
    <n v="2"/>
    <x v="4"/>
  </r>
  <r>
    <s v="Antonio Smith"/>
    <n v="33"/>
    <x v="2"/>
    <x v="0"/>
    <x v="7"/>
    <x v="0"/>
    <x v="150"/>
    <x v="3"/>
    <n v="44773.49236376601"/>
    <n v="313"/>
    <x v="0"/>
    <d v="2025-12-08T00:00:00"/>
    <n v="10"/>
    <x v="0"/>
  </r>
  <r>
    <s v="John Taylor"/>
    <n v="54"/>
    <x v="1"/>
    <x v="0"/>
    <x v="5"/>
    <x v="1"/>
    <x v="20"/>
    <x v="2"/>
    <n v="33486.781640950598"/>
    <n v="442"/>
    <x v="0"/>
    <d v="2025-02-07T00:00:00"/>
    <n v="11"/>
    <x v="4"/>
  </r>
  <r>
    <s v="Barbara Stewart"/>
    <n v="81"/>
    <x v="0"/>
    <x v="1"/>
    <x v="5"/>
    <x v="2"/>
    <x v="241"/>
    <x v="0"/>
    <n v="42433.930010047763"/>
    <n v="206"/>
    <x v="0"/>
    <d v="2025-12-05T00:00:00"/>
    <n v="5"/>
    <x v="0"/>
  </r>
  <r>
    <s v="Larry Tanner"/>
    <n v="35"/>
    <x v="2"/>
    <x v="0"/>
    <x v="2"/>
    <x v="3"/>
    <x v="130"/>
    <x v="1"/>
    <n v="46446.293078557857"/>
    <n v="115"/>
    <x v="1"/>
    <d v="2025-07-06T00:00:00"/>
    <n v="10"/>
    <x v="0"/>
  </r>
  <r>
    <s v="Mallory Diaz"/>
    <n v="44"/>
    <x v="3"/>
    <x v="1"/>
    <x v="7"/>
    <x v="4"/>
    <x v="254"/>
    <x v="1"/>
    <n v="12795.19969223959"/>
    <n v="335"/>
    <x v="1"/>
    <d v="2025-01-24T00:00:00"/>
    <n v="13"/>
    <x v="1"/>
  </r>
  <r>
    <s v="John Williams"/>
    <n v="41"/>
    <x v="3"/>
    <x v="0"/>
    <x v="0"/>
    <x v="1"/>
    <x v="115"/>
    <x v="0"/>
    <n v="36111.965511571383"/>
    <n v="251"/>
    <x v="0"/>
    <d v="2025-10-09T00:00:00"/>
    <n v="3"/>
    <x v="2"/>
  </r>
  <r>
    <s v="Peter Miller"/>
    <n v="68"/>
    <x v="0"/>
    <x v="0"/>
    <x v="5"/>
    <x v="4"/>
    <x v="197"/>
    <x v="0"/>
    <n v="42254.535773507443"/>
    <n v="120"/>
    <x v="0"/>
    <d v="2025-12-29T00:00:00"/>
    <n v="6"/>
    <x v="0"/>
  </r>
  <r>
    <s v="Ryan Butler"/>
    <n v="65"/>
    <x v="1"/>
    <x v="0"/>
    <x v="5"/>
    <x v="4"/>
    <x v="111"/>
    <x v="2"/>
    <n v="22936.48498082588"/>
    <n v="463"/>
    <x v="1"/>
    <d v="2025-07-26T00:00:00"/>
    <n v="13"/>
    <x v="2"/>
  </r>
  <r>
    <s v="Samantha Lowery"/>
    <n v="77"/>
    <x v="0"/>
    <x v="0"/>
    <x v="1"/>
    <x v="0"/>
    <x v="29"/>
    <x v="2"/>
    <n v="13083.092792171539"/>
    <n v="341"/>
    <x v="0"/>
    <d v="2025-07-05T00:00:00"/>
    <n v="3"/>
    <x v="3"/>
  </r>
  <r>
    <s v="Tiffany Lee"/>
    <n v="63"/>
    <x v="1"/>
    <x v="1"/>
    <x v="6"/>
    <x v="0"/>
    <x v="65"/>
    <x v="0"/>
    <n v="1403.4570133972611"/>
    <n v="170"/>
    <x v="0"/>
    <d v="2025-03-25T00:00:00"/>
    <n v="7"/>
    <x v="2"/>
  </r>
  <r>
    <s v="Samantha Willis"/>
    <n v="56"/>
    <x v="1"/>
    <x v="1"/>
    <x v="3"/>
    <x v="2"/>
    <x v="174"/>
    <x v="0"/>
    <n v="41653.615771023593"/>
    <n v="405"/>
    <x v="1"/>
    <d v="2025-06-13T00:00:00"/>
    <n v="4"/>
    <x v="0"/>
  </r>
  <r>
    <s v="Pamela Brown"/>
    <n v="35"/>
    <x v="2"/>
    <x v="1"/>
    <x v="6"/>
    <x v="4"/>
    <x v="96"/>
    <x v="1"/>
    <n v="40081.25165425329"/>
    <n v="345"/>
    <x v="1"/>
    <d v="2025-01-24T00:00:00"/>
    <n v="4"/>
    <x v="4"/>
  </r>
  <r>
    <s v="Carla Walker"/>
    <n v="61"/>
    <x v="1"/>
    <x v="0"/>
    <x v="0"/>
    <x v="0"/>
    <x v="66"/>
    <x v="1"/>
    <n v="14819.455728022651"/>
    <n v="234"/>
    <x v="1"/>
    <d v="2025-12-04T00:00:00"/>
    <n v="13"/>
    <x v="3"/>
  </r>
  <r>
    <s v="Mary Gonzales"/>
    <n v="35"/>
    <x v="2"/>
    <x v="1"/>
    <x v="7"/>
    <x v="1"/>
    <x v="283"/>
    <x v="0"/>
    <n v="22490.443614569431"/>
    <n v="399"/>
    <x v="0"/>
    <d v="2025-12-24T00:00:00"/>
    <n v="2"/>
    <x v="0"/>
  </r>
  <r>
    <s v="Shelley Fleming"/>
    <n v="64"/>
    <x v="1"/>
    <x v="0"/>
    <x v="5"/>
    <x v="4"/>
    <x v="283"/>
    <x v="1"/>
    <n v="12749.99392567508"/>
    <n v="497"/>
    <x v="1"/>
    <d v="2025-12-27T00:00:00"/>
    <n v="5"/>
    <x v="3"/>
  </r>
  <r>
    <s v="Mark Blake"/>
    <n v="35"/>
    <x v="2"/>
    <x v="0"/>
    <x v="2"/>
    <x v="0"/>
    <x v="40"/>
    <x v="3"/>
    <n v="27213.482705259241"/>
    <n v="342"/>
    <x v="1"/>
    <d v="2025-04-13T00:00:00"/>
    <n v="11"/>
    <x v="3"/>
  </r>
  <r>
    <s v="Scott King"/>
    <n v="44"/>
    <x v="3"/>
    <x v="1"/>
    <x v="7"/>
    <x v="0"/>
    <x v="170"/>
    <x v="3"/>
    <n v="13127.33995354016"/>
    <n v="436"/>
    <x v="0"/>
    <d v="2025-11-24T00:00:00"/>
    <n v="11"/>
    <x v="0"/>
  </r>
  <r>
    <s v="Jessica Davis"/>
    <n v="35"/>
    <x v="2"/>
    <x v="1"/>
    <x v="4"/>
    <x v="2"/>
    <x v="284"/>
    <x v="2"/>
    <n v="43821.631937736551"/>
    <n v="466"/>
    <x v="0"/>
    <d v="2025-06-05T00:00:00"/>
    <n v="11"/>
    <x v="3"/>
  </r>
  <r>
    <s v="Anthony Odom"/>
    <n v="20"/>
    <x v="2"/>
    <x v="0"/>
    <x v="0"/>
    <x v="0"/>
    <x v="285"/>
    <x v="1"/>
    <n v="18891.088709599069"/>
    <n v="122"/>
    <x v="1"/>
    <d v="2025-12-28T00:00:00"/>
    <n v="13"/>
    <x v="4"/>
  </r>
  <r>
    <s v="Charles Brown"/>
    <n v="85"/>
    <x v="0"/>
    <x v="1"/>
    <x v="3"/>
    <x v="1"/>
    <x v="235"/>
    <x v="2"/>
    <n v="44113.542332439327"/>
    <n v="295"/>
    <x v="1"/>
    <d v="2025-03-11T00:00:00"/>
    <n v="14"/>
    <x v="1"/>
  </r>
  <r>
    <s v="Rachel Davis"/>
    <n v="37"/>
    <x v="3"/>
    <x v="1"/>
    <x v="0"/>
    <x v="3"/>
    <x v="154"/>
    <x v="0"/>
    <n v="34184.981114590068"/>
    <n v="126"/>
    <x v="1"/>
    <d v="2025-05-13T00:00:00"/>
    <n v="2"/>
    <x v="2"/>
  </r>
  <r>
    <s v="Sandra Mccall"/>
    <n v="53"/>
    <x v="1"/>
    <x v="0"/>
    <x v="7"/>
    <x v="3"/>
    <x v="111"/>
    <x v="1"/>
    <n v="44741.122118980064"/>
    <n v="136"/>
    <x v="1"/>
    <d v="2025-07-27T00:00:00"/>
    <n v="14"/>
    <x v="1"/>
  </r>
  <r>
    <s v="Nicole Francis"/>
    <n v="33"/>
    <x v="2"/>
    <x v="0"/>
    <x v="1"/>
    <x v="0"/>
    <x v="261"/>
    <x v="3"/>
    <n v="4251.265728776385"/>
    <n v="273"/>
    <x v="0"/>
    <d v="2025-03-07T00:00:00"/>
    <n v="11"/>
    <x v="2"/>
  </r>
  <r>
    <s v="Steven Smith"/>
    <n v="44"/>
    <x v="3"/>
    <x v="0"/>
    <x v="5"/>
    <x v="2"/>
    <x v="208"/>
    <x v="3"/>
    <n v="29650.509595166601"/>
    <n v="366"/>
    <x v="1"/>
    <d v="2025-02-15T00:00:00"/>
    <n v="9"/>
    <x v="0"/>
  </r>
  <r>
    <s v="Karen Johnson"/>
    <n v="46"/>
    <x v="3"/>
    <x v="0"/>
    <x v="0"/>
    <x v="3"/>
    <x v="246"/>
    <x v="0"/>
    <n v="2127.0706645975911"/>
    <n v="192"/>
    <x v="1"/>
    <d v="2025-01-23T00:00:00"/>
    <n v="7"/>
    <x v="3"/>
  </r>
  <r>
    <s v="Anna Rogers"/>
    <n v="71"/>
    <x v="0"/>
    <x v="1"/>
    <x v="2"/>
    <x v="2"/>
    <x v="286"/>
    <x v="1"/>
    <n v="6383.7029427345324"/>
    <n v="258"/>
    <x v="1"/>
    <d v="2025-05-09T00:00:00"/>
    <n v="8"/>
    <x v="1"/>
  </r>
  <r>
    <s v="Priscilla Decker"/>
    <n v="78"/>
    <x v="0"/>
    <x v="1"/>
    <x v="6"/>
    <x v="4"/>
    <x v="287"/>
    <x v="1"/>
    <n v="19579.865985069111"/>
    <n v="349"/>
    <x v="1"/>
    <d v="2025-09-03T00:00:00"/>
    <n v="11"/>
    <x v="3"/>
  </r>
  <r>
    <s v="Trevor Wright"/>
    <n v="44"/>
    <x v="3"/>
    <x v="0"/>
    <x v="4"/>
    <x v="1"/>
    <x v="288"/>
    <x v="2"/>
    <n v="10597.064848362539"/>
    <n v="438"/>
    <x v="1"/>
    <d v="2025-04-22T00:00:00"/>
    <n v="7"/>
    <x v="1"/>
  </r>
  <r>
    <s v="William Tucker"/>
    <n v="43"/>
    <x v="3"/>
    <x v="1"/>
    <x v="2"/>
    <x v="5"/>
    <x v="260"/>
    <x v="2"/>
    <n v="25682.536853059471"/>
    <n v="487"/>
    <x v="1"/>
    <d v="2025-08-05T00:00:00"/>
    <n v="5"/>
    <x v="0"/>
  </r>
  <r>
    <s v="Jessica Keller"/>
    <n v="67"/>
    <x v="0"/>
    <x v="0"/>
    <x v="1"/>
    <x v="4"/>
    <x v="198"/>
    <x v="0"/>
    <n v="46303.091871558187"/>
    <n v="449"/>
    <x v="0"/>
    <d v="2025-08-31T00:00:00"/>
    <n v="9"/>
    <x v="3"/>
  </r>
  <r>
    <s v="William Henry"/>
    <n v="24"/>
    <x v="2"/>
    <x v="0"/>
    <x v="2"/>
    <x v="0"/>
    <x v="97"/>
    <x v="3"/>
    <n v="21303.314228117561"/>
    <n v="435"/>
    <x v="1"/>
    <d v="2025-02-15T00:00:00"/>
    <n v="13"/>
    <x v="3"/>
  </r>
  <r>
    <s v="Robin Clarke"/>
    <n v="74"/>
    <x v="0"/>
    <x v="0"/>
    <x v="7"/>
    <x v="5"/>
    <x v="167"/>
    <x v="0"/>
    <n v="38654.187027127351"/>
    <n v="437"/>
    <x v="1"/>
    <d v="2025-09-14T00:00:00"/>
    <n v="10"/>
    <x v="3"/>
  </r>
  <r>
    <s v="Jessica Garza"/>
    <n v="64"/>
    <x v="1"/>
    <x v="1"/>
    <x v="5"/>
    <x v="0"/>
    <x v="206"/>
    <x v="0"/>
    <n v="15518.597601422371"/>
    <n v="172"/>
    <x v="0"/>
    <d v="2025-06-22T00:00:00"/>
    <n v="11"/>
    <x v="0"/>
  </r>
  <r>
    <s v="Jamie Salazar"/>
    <n v="51"/>
    <x v="1"/>
    <x v="1"/>
    <x v="2"/>
    <x v="5"/>
    <x v="289"/>
    <x v="0"/>
    <n v="44110.873238509434"/>
    <n v="493"/>
    <x v="1"/>
    <d v="2025-05-06T00:00:00"/>
    <n v="1"/>
    <x v="1"/>
  </r>
  <r>
    <s v="Steven Vaughan"/>
    <n v="33"/>
    <x v="2"/>
    <x v="0"/>
    <x v="3"/>
    <x v="1"/>
    <x v="290"/>
    <x v="3"/>
    <n v="29713.25089335323"/>
    <n v="471"/>
    <x v="1"/>
    <d v="2025-12-11T00:00:00"/>
    <n v="9"/>
    <x v="0"/>
  </r>
  <r>
    <s v="Michael Contreras"/>
    <n v="53"/>
    <x v="1"/>
    <x v="1"/>
    <x v="1"/>
    <x v="0"/>
    <x v="271"/>
    <x v="1"/>
    <n v="20557.41140520417"/>
    <n v="177"/>
    <x v="0"/>
    <d v="2025-07-19T00:00:00"/>
    <n v="13"/>
    <x v="3"/>
  </r>
  <r>
    <s v="Allen Roberts"/>
    <n v="42"/>
    <x v="3"/>
    <x v="1"/>
    <x v="2"/>
    <x v="1"/>
    <x v="291"/>
    <x v="0"/>
    <n v="19473.808688760972"/>
    <n v="147"/>
    <x v="0"/>
    <d v="2025-03-23T00:00:00"/>
    <n v="9"/>
    <x v="2"/>
  </r>
  <r>
    <s v="Amy Powell"/>
    <n v="42"/>
    <x v="3"/>
    <x v="0"/>
    <x v="1"/>
    <x v="4"/>
    <x v="231"/>
    <x v="0"/>
    <n v="363.66620013158041"/>
    <n v="192"/>
    <x v="0"/>
    <d v="2025-08-09T00:00:00"/>
    <n v="1"/>
    <x v="2"/>
  </r>
  <r>
    <s v="Kenneth Smith"/>
    <n v="53"/>
    <x v="1"/>
    <x v="1"/>
    <x v="0"/>
    <x v="5"/>
    <x v="90"/>
    <x v="1"/>
    <n v="27489.87656181342"/>
    <n v="180"/>
    <x v="0"/>
    <d v="2025-10-12T00:00:00"/>
    <n v="4"/>
    <x v="3"/>
  </r>
  <r>
    <s v="Matthew West"/>
    <n v="56"/>
    <x v="1"/>
    <x v="0"/>
    <x v="7"/>
    <x v="1"/>
    <x v="239"/>
    <x v="2"/>
    <n v="17703.719017962259"/>
    <n v="208"/>
    <x v="1"/>
    <d v="2025-03-25T00:00:00"/>
    <n v="12"/>
    <x v="3"/>
  </r>
  <r>
    <s v="Erik Montoya"/>
    <n v="57"/>
    <x v="1"/>
    <x v="1"/>
    <x v="5"/>
    <x v="2"/>
    <x v="218"/>
    <x v="0"/>
    <n v="14798.174842239039"/>
    <n v="178"/>
    <x v="0"/>
    <d v="2025-12-25T00:00:00"/>
    <n v="1"/>
    <x v="0"/>
  </r>
  <r>
    <s v="Austin Lewis"/>
    <n v="19"/>
    <x v="2"/>
    <x v="0"/>
    <x v="2"/>
    <x v="2"/>
    <x v="225"/>
    <x v="3"/>
    <n v="22119.901903087619"/>
    <n v="327"/>
    <x v="0"/>
    <d v="2025-05-16T00:00:00"/>
    <n v="13"/>
    <x v="4"/>
  </r>
  <r>
    <s v="Kenneth Thompson"/>
    <n v="33"/>
    <x v="2"/>
    <x v="1"/>
    <x v="7"/>
    <x v="5"/>
    <x v="96"/>
    <x v="2"/>
    <n v="19878.299876819729"/>
    <n v="455"/>
    <x v="0"/>
    <d v="2025-01-26T00:00:00"/>
    <n v="6"/>
    <x v="1"/>
  </r>
  <r>
    <s v="Amanda Durham"/>
    <n v="18"/>
    <x v="4"/>
    <x v="1"/>
    <x v="3"/>
    <x v="1"/>
    <x v="152"/>
    <x v="3"/>
    <n v="46012.01986013665"/>
    <n v="369"/>
    <x v="0"/>
    <d v="2025-11-13T00:00:00"/>
    <n v="13"/>
    <x v="3"/>
  </r>
  <r>
    <s v="Stephen Hudson"/>
    <n v="71"/>
    <x v="0"/>
    <x v="0"/>
    <x v="0"/>
    <x v="3"/>
    <x v="95"/>
    <x v="3"/>
    <n v="27510.319278890322"/>
    <n v="163"/>
    <x v="1"/>
    <d v="2025-02-25T00:00:00"/>
    <n v="5"/>
    <x v="3"/>
  </r>
  <r>
    <s v="Cassandra Velazquez"/>
    <n v="43"/>
    <x v="3"/>
    <x v="0"/>
    <x v="5"/>
    <x v="4"/>
    <x v="71"/>
    <x v="0"/>
    <n v="32068.047250062089"/>
    <n v="161"/>
    <x v="1"/>
    <d v="2025-05-04T00:00:00"/>
    <n v="6"/>
    <x v="2"/>
  </r>
  <r>
    <s v="Susan Pena"/>
    <n v="47"/>
    <x v="3"/>
    <x v="1"/>
    <x v="3"/>
    <x v="1"/>
    <x v="292"/>
    <x v="0"/>
    <n v="13519.77433735948"/>
    <n v="436"/>
    <x v="1"/>
    <d v="2025-08-30T00:00:00"/>
    <n v="14"/>
    <x v="4"/>
  </r>
  <r>
    <s v="Anthony Perkins"/>
    <n v="57"/>
    <x v="1"/>
    <x v="1"/>
    <x v="3"/>
    <x v="2"/>
    <x v="82"/>
    <x v="0"/>
    <n v="42056.044881278911"/>
    <n v="277"/>
    <x v="1"/>
    <d v="2025-10-12T00:00:00"/>
    <n v="2"/>
    <x v="1"/>
  </r>
  <r>
    <s v="Katrina Lopez"/>
    <n v="26"/>
    <x v="2"/>
    <x v="0"/>
    <x v="0"/>
    <x v="2"/>
    <x v="251"/>
    <x v="0"/>
    <n v="39655.140227197291"/>
    <n v="444"/>
    <x v="0"/>
    <d v="2025-01-28T00:00:00"/>
    <n v="13"/>
    <x v="4"/>
  </r>
  <r>
    <s v="Brian Foster"/>
    <n v="67"/>
    <x v="0"/>
    <x v="1"/>
    <x v="2"/>
    <x v="3"/>
    <x v="264"/>
    <x v="2"/>
    <n v="10210.304434653381"/>
    <n v="207"/>
    <x v="0"/>
    <d v="2025-07-21T00:00:00"/>
    <n v="14"/>
    <x v="4"/>
  </r>
  <r>
    <s v="Jason Thompson"/>
    <n v="52"/>
    <x v="1"/>
    <x v="0"/>
    <x v="5"/>
    <x v="4"/>
    <x v="198"/>
    <x v="1"/>
    <n v="18173.153656373452"/>
    <n v="332"/>
    <x v="0"/>
    <d v="2025-08-31T00:00:00"/>
    <n v="9"/>
    <x v="0"/>
  </r>
  <r>
    <s v="David Ayala"/>
    <n v="67"/>
    <x v="0"/>
    <x v="0"/>
    <x v="7"/>
    <x v="5"/>
    <x v="7"/>
    <x v="0"/>
    <n v="41829.772450793709"/>
    <n v="422"/>
    <x v="0"/>
    <d v="2025-09-04T00:00:00"/>
    <n v="14"/>
    <x v="4"/>
  </r>
  <r>
    <s v="Jared Yoder"/>
    <n v="66"/>
    <x v="0"/>
    <x v="0"/>
    <x v="1"/>
    <x v="3"/>
    <x v="95"/>
    <x v="3"/>
    <n v="35775.587444921221"/>
    <n v="221"/>
    <x v="1"/>
    <d v="2025-02-25T00:00:00"/>
    <n v="5"/>
    <x v="2"/>
  </r>
  <r>
    <s v="Gregory Cannon"/>
    <n v="64"/>
    <x v="1"/>
    <x v="0"/>
    <x v="5"/>
    <x v="4"/>
    <x v="137"/>
    <x v="2"/>
    <n v="40217.369222765068"/>
    <n v="118"/>
    <x v="0"/>
    <d v="2025-03-19T00:00:00"/>
    <n v="11"/>
    <x v="0"/>
  </r>
  <r>
    <s v="Lisa Anderson"/>
    <n v="54"/>
    <x v="1"/>
    <x v="1"/>
    <x v="5"/>
    <x v="0"/>
    <x v="210"/>
    <x v="1"/>
    <n v="49665.830077794708"/>
    <n v="377"/>
    <x v="0"/>
    <d v="2025-06-06T00:00:00"/>
    <n v="6"/>
    <x v="2"/>
  </r>
  <r>
    <s v="Elizabeth Shields"/>
    <n v="31"/>
    <x v="2"/>
    <x v="1"/>
    <x v="1"/>
    <x v="3"/>
    <x v="256"/>
    <x v="2"/>
    <n v="17266.018881045591"/>
    <n v="307"/>
    <x v="0"/>
    <d v="2025-05-21T00:00:00"/>
    <n v="9"/>
    <x v="4"/>
  </r>
  <r>
    <s v="Patricia Kim"/>
    <n v="73"/>
    <x v="0"/>
    <x v="0"/>
    <x v="7"/>
    <x v="0"/>
    <x v="92"/>
    <x v="1"/>
    <n v="16009.554042263349"/>
    <n v="388"/>
    <x v="1"/>
    <d v="2025-06-05T00:00:00"/>
    <n v="6"/>
    <x v="3"/>
  </r>
  <r>
    <s v="Jessica Soto"/>
    <n v="62"/>
    <x v="1"/>
    <x v="1"/>
    <x v="2"/>
    <x v="5"/>
    <x v="231"/>
    <x v="3"/>
    <n v="40643.906033414278"/>
    <n v="140"/>
    <x v="1"/>
    <d v="2025-08-16T00:00:00"/>
    <n v="8"/>
    <x v="4"/>
  </r>
  <r>
    <s v="Jenny Reynolds"/>
    <n v="20"/>
    <x v="2"/>
    <x v="1"/>
    <x v="6"/>
    <x v="1"/>
    <x v="136"/>
    <x v="2"/>
    <n v="22180.713230583551"/>
    <n v="434"/>
    <x v="1"/>
    <d v="2025-05-09T00:00:00"/>
    <n v="12"/>
    <x v="2"/>
  </r>
  <r>
    <s v="Shannon Barrett"/>
    <n v="58"/>
    <x v="1"/>
    <x v="0"/>
    <x v="6"/>
    <x v="4"/>
    <x v="62"/>
    <x v="0"/>
    <n v="28597.694636428962"/>
    <n v="364"/>
    <x v="1"/>
    <d v="2025-08-30T00:00:00"/>
    <n v="1"/>
    <x v="4"/>
  </r>
  <r>
    <s v="Terri Perry"/>
    <n v="19"/>
    <x v="2"/>
    <x v="0"/>
    <x v="5"/>
    <x v="5"/>
    <x v="175"/>
    <x v="1"/>
    <n v="46258.618479093457"/>
    <n v="108"/>
    <x v="1"/>
    <d v="2025-06-12T00:00:00"/>
    <n v="9"/>
    <x v="3"/>
  </r>
  <r>
    <s v="Joseph Madden"/>
    <n v="72"/>
    <x v="0"/>
    <x v="1"/>
    <x v="0"/>
    <x v="2"/>
    <x v="280"/>
    <x v="2"/>
    <n v="44748.521243369833"/>
    <n v="151"/>
    <x v="1"/>
    <d v="2025-08-28T00:00:00"/>
    <n v="8"/>
    <x v="0"/>
  </r>
  <r>
    <s v="Rebecca Hogan"/>
    <n v="78"/>
    <x v="0"/>
    <x v="0"/>
    <x v="2"/>
    <x v="2"/>
    <x v="26"/>
    <x v="2"/>
    <n v="38367.474403362343"/>
    <n v="159"/>
    <x v="0"/>
    <d v="2025-12-04T00:00:00"/>
    <n v="14"/>
    <x v="0"/>
  </r>
  <r>
    <s v="Kelly Walker"/>
    <n v="25"/>
    <x v="2"/>
    <x v="1"/>
    <x v="6"/>
    <x v="1"/>
    <x v="140"/>
    <x v="2"/>
    <n v="43735.184369034207"/>
    <n v="379"/>
    <x v="0"/>
    <d v="2025-09-25T00:00:00"/>
    <n v="4"/>
    <x v="1"/>
  </r>
  <r>
    <s v="Julia Mueller"/>
    <n v="50"/>
    <x v="3"/>
    <x v="0"/>
    <x v="3"/>
    <x v="0"/>
    <x v="172"/>
    <x v="0"/>
    <n v="37989.117592141723"/>
    <n v="291"/>
    <x v="0"/>
    <d v="2025-03-31T00:00:00"/>
    <n v="2"/>
    <x v="0"/>
  </r>
  <r>
    <s v="Kayla Moore"/>
    <n v="49"/>
    <x v="3"/>
    <x v="0"/>
    <x v="0"/>
    <x v="4"/>
    <x v="293"/>
    <x v="1"/>
    <n v="2327.4287417176638"/>
    <n v="132"/>
    <x v="0"/>
    <d v="2025-04-08T00:00:00"/>
    <n v="7"/>
    <x v="1"/>
  </r>
  <r>
    <s v="Kaitlyn Smith"/>
    <n v="67"/>
    <x v="0"/>
    <x v="1"/>
    <x v="3"/>
    <x v="5"/>
    <x v="111"/>
    <x v="2"/>
    <n v="8466.001486340263"/>
    <n v="178"/>
    <x v="0"/>
    <d v="2025-07-27T00:00:00"/>
    <n v="14"/>
    <x v="1"/>
  </r>
  <r>
    <s v="Daniel Kemp"/>
    <n v="23"/>
    <x v="2"/>
    <x v="1"/>
    <x v="6"/>
    <x v="5"/>
    <x v="272"/>
    <x v="2"/>
    <n v="46909.010369823904"/>
    <n v="498"/>
    <x v="1"/>
    <d v="2025-11-23T00:00:00"/>
    <n v="1"/>
    <x v="2"/>
  </r>
  <r>
    <s v="Laura Myers"/>
    <n v="51"/>
    <x v="1"/>
    <x v="0"/>
    <x v="5"/>
    <x v="0"/>
    <x v="264"/>
    <x v="3"/>
    <n v="15968.90145697251"/>
    <n v="337"/>
    <x v="1"/>
    <d v="2025-07-12T00:00:00"/>
    <n v="5"/>
    <x v="3"/>
  </r>
  <r>
    <s v="Carol Reed"/>
    <n v="48"/>
    <x v="3"/>
    <x v="1"/>
    <x v="0"/>
    <x v="1"/>
    <x v="98"/>
    <x v="1"/>
    <n v="20513.421361748511"/>
    <n v="317"/>
    <x v="1"/>
    <d v="2025-10-08T00:00:00"/>
    <n v="4"/>
    <x v="4"/>
  </r>
  <r>
    <s v="Jessica Carter"/>
    <n v="36"/>
    <x v="3"/>
    <x v="0"/>
    <x v="2"/>
    <x v="4"/>
    <x v="294"/>
    <x v="3"/>
    <n v="22754.692130789739"/>
    <n v="247"/>
    <x v="0"/>
    <d v="2025-01-25T00:00:00"/>
    <n v="13"/>
    <x v="4"/>
  </r>
  <r>
    <s v="Vanessa Schaefer"/>
    <n v="54"/>
    <x v="1"/>
    <x v="0"/>
    <x v="4"/>
    <x v="0"/>
    <x v="295"/>
    <x v="0"/>
    <n v="14915.627165902781"/>
    <n v="114"/>
    <x v="0"/>
    <d v="2025-07-22T00:00:00"/>
    <n v="1"/>
    <x v="4"/>
  </r>
  <r>
    <s v="Miguel Gomez"/>
    <n v="84"/>
    <x v="0"/>
    <x v="0"/>
    <x v="3"/>
    <x v="1"/>
    <x v="99"/>
    <x v="0"/>
    <n v="24198.412246997399"/>
    <n v="287"/>
    <x v="0"/>
    <d v="2025-09-19T00:00:00"/>
    <n v="4"/>
    <x v="3"/>
  </r>
  <r>
    <s v="Linda Cardenas"/>
    <n v="58"/>
    <x v="1"/>
    <x v="0"/>
    <x v="4"/>
    <x v="3"/>
    <x v="55"/>
    <x v="0"/>
    <n v="22596.010738295041"/>
    <n v="342"/>
    <x v="0"/>
    <d v="2025-03-28T00:00:00"/>
    <n v="2"/>
    <x v="0"/>
  </r>
  <r>
    <s v="Annette James"/>
    <n v="69"/>
    <x v="0"/>
    <x v="0"/>
    <x v="0"/>
    <x v="4"/>
    <x v="260"/>
    <x v="1"/>
    <n v="10359.89855802125"/>
    <n v="356"/>
    <x v="0"/>
    <d v="2025-08-09T00:00:00"/>
    <n v="9"/>
    <x v="3"/>
  </r>
  <r>
    <s v="Susan Hurley"/>
    <n v="79"/>
    <x v="0"/>
    <x v="1"/>
    <x v="7"/>
    <x v="5"/>
    <x v="236"/>
    <x v="0"/>
    <n v="10966.5202270478"/>
    <n v="372"/>
    <x v="1"/>
    <d v="2025-04-25T00:00:00"/>
    <n v="7"/>
    <x v="0"/>
  </r>
  <r>
    <s v="Carolyn Wade"/>
    <n v="62"/>
    <x v="1"/>
    <x v="1"/>
    <x v="7"/>
    <x v="5"/>
    <x v="1"/>
    <x v="1"/>
    <n v="44233.158119878542"/>
    <n v="147"/>
    <x v="0"/>
    <d v="2025-11-14T00:00:00"/>
    <n v="2"/>
    <x v="2"/>
  </r>
  <r>
    <s v="Angela Deleon"/>
    <n v="73"/>
    <x v="0"/>
    <x v="0"/>
    <x v="4"/>
    <x v="1"/>
    <x v="95"/>
    <x v="3"/>
    <n v="48146.269036041587"/>
    <n v="267"/>
    <x v="1"/>
    <d v="2025-02-24T00:00:00"/>
    <n v="4"/>
    <x v="3"/>
  </r>
  <r>
    <s v="Carolyn Cooper"/>
    <n v="30"/>
    <x v="2"/>
    <x v="1"/>
    <x v="7"/>
    <x v="3"/>
    <x v="296"/>
    <x v="3"/>
    <n v="43600.867480755311"/>
    <n v="295"/>
    <x v="1"/>
    <d v="2025-04-17T00:00:00"/>
    <n v="7"/>
    <x v="4"/>
  </r>
  <r>
    <s v="Rebecca Harris"/>
    <n v="73"/>
    <x v="0"/>
    <x v="1"/>
    <x v="7"/>
    <x v="4"/>
    <x v="144"/>
    <x v="3"/>
    <n v="44996.709814628157"/>
    <n v="469"/>
    <x v="1"/>
    <d v="2025-11-04T00:00:00"/>
    <n v="5"/>
    <x v="0"/>
  </r>
  <r>
    <s v="Gary Curtis"/>
    <n v="19"/>
    <x v="2"/>
    <x v="1"/>
    <x v="1"/>
    <x v="4"/>
    <x v="211"/>
    <x v="2"/>
    <n v="43520.710164871489"/>
    <n v="403"/>
    <x v="0"/>
    <d v="2025-11-05T00:00:00"/>
    <n v="4"/>
    <x v="3"/>
  </r>
  <r>
    <s v="Ryan Liu"/>
    <n v="49"/>
    <x v="3"/>
    <x v="0"/>
    <x v="5"/>
    <x v="0"/>
    <x v="199"/>
    <x v="0"/>
    <n v="32768.001852210407"/>
    <n v="473"/>
    <x v="0"/>
    <d v="2025-09-18T00:00:00"/>
    <n v="13"/>
    <x v="2"/>
  </r>
  <r>
    <s v="Dennis Morrow"/>
    <n v="19"/>
    <x v="2"/>
    <x v="0"/>
    <x v="7"/>
    <x v="4"/>
    <x v="7"/>
    <x v="0"/>
    <n v="19653.186377381291"/>
    <n v="139"/>
    <x v="0"/>
    <d v="2025-09-01T00:00:00"/>
    <n v="11"/>
    <x v="3"/>
  </r>
  <r>
    <s v="Jennifer Cooper"/>
    <n v="66"/>
    <x v="0"/>
    <x v="0"/>
    <x v="5"/>
    <x v="5"/>
    <x v="213"/>
    <x v="1"/>
    <n v="2072.7798459727569"/>
    <n v="438"/>
    <x v="1"/>
    <d v="2025-07-10T00:00:00"/>
    <n v="1"/>
    <x v="1"/>
  </r>
  <r>
    <s v="Jacob Lopez"/>
    <n v="67"/>
    <x v="0"/>
    <x v="0"/>
    <x v="5"/>
    <x v="3"/>
    <x v="167"/>
    <x v="0"/>
    <n v="44440.733587436887"/>
    <n v="212"/>
    <x v="1"/>
    <d v="2025-09-18T00:00:00"/>
    <n v="14"/>
    <x v="0"/>
  </r>
  <r>
    <s v="Carol Mcclain"/>
    <n v="71"/>
    <x v="0"/>
    <x v="1"/>
    <x v="0"/>
    <x v="2"/>
    <x v="130"/>
    <x v="0"/>
    <n v="39598.995351721467"/>
    <n v="165"/>
    <x v="0"/>
    <d v="2025-07-09T00:00:00"/>
    <n v="13"/>
    <x v="0"/>
  </r>
  <r>
    <s v="Michael Richardson"/>
    <n v="72"/>
    <x v="0"/>
    <x v="0"/>
    <x v="0"/>
    <x v="0"/>
    <x v="238"/>
    <x v="0"/>
    <n v="27035.605351924591"/>
    <n v="211"/>
    <x v="0"/>
    <d v="2025-08-26T00:00:00"/>
    <n v="1"/>
    <x v="1"/>
  </r>
  <r>
    <s v="Mark Nguyen"/>
    <n v="56"/>
    <x v="1"/>
    <x v="1"/>
    <x v="1"/>
    <x v="0"/>
    <x v="297"/>
    <x v="1"/>
    <n v="31157.06001253258"/>
    <n v="480"/>
    <x v="0"/>
    <d v="2025-07-29T00:00:00"/>
    <n v="6"/>
    <x v="1"/>
  </r>
  <r>
    <s v="Eric Cook"/>
    <n v="35"/>
    <x v="2"/>
    <x v="1"/>
    <x v="1"/>
    <x v="4"/>
    <x v="122"/>
    <x v="3"/>
    <n v="40062.968097949641"/>
    <n v="251"/>
    <x v="0"/>
    <d v="2025-12-30T00:00:00"/>
    <n v="5"/>
    <x v="1"/>
  </r>
  <r>
    <s v="Kristen Stephens"/>
    <n v="79"/>
    <x v="0"/>
    <x v="1"/>
    <x v="7"/>
    <x v="2"/>
    <x v="68"/>
    <x v="0"/>
    <n v="18901.863520805429"/>
    <n v="172"/>
    <x v="0"/>
    <d v="2025-04-14T00:00:00"/>
    <n v="3"/>
    <x v="2"/>
  </r>
  <r>
    <s v="Dana Walton"/>
    <n v="22"/>
    <x v="2"/>
    <x v="1"/>
    <x v="6"/>
    <x v="3"/>
    <x v="64"/>
    <x v="3"/>
    <n v="47379.28184792339"/>
    <n v="165"/>
    <x v="1"/>
    <d v="2025-02-27T00:00:00"/>
    <n v="14"/>
    <x v="2"/>
  </r>
  <r>
    <s v="Scott Arnold"/>
    <n v="33"/>
    <x v="2"/>
    <x v="0"/>
    <x v="6"/>
    <x v="5"/>
    <x v="298"/>
    <x v="0"/>
    <n v="47438.56084538329"/>
    <n v="295"/>
    <x v="1"/>
    <d v="2025-03-22T00:00:00"/>
    <n v="6"/>
    <x v="1"/>
  </r>
  <r>
    <s v="Megan Wheeler"/>
    <n v="18"/>
    <x v="4"/>
    <x v="0"/>
    <x v="3"/>
    <x v="1"/>
    <x v="184"/>
    <x v="2"/>
    <n v="48947.564720670802"/>
    <n v="350"/>
    <x v="0"/>
    <d v="2025-11-02T00:00:00"/>
    <n v="5"/>
    <x v="1"/>
  </r>
  <r>
    <s v="Aaron Cox"/>
    <n v="34"/>
    <x v="2"/>
    <x v="0"/>
    <x v="3"/>
    <x v="5"/>
    <x v="292"/>
    <x v="3"/>
    <n v="3925.5931411910342"/>
    <n v="380"/>
    <x v="1"/>
    <d v="2025-08-24T00:00:00"/>
    <n v="8"/>
    <x v="1"/>
  </r>
  <r>
    <s v="Cassandra Martinez"/>
    <n v="54"/>
    <x v="1"/>
    <x v="0"/>
    <x v="5"/>
    <x v="2"/>
    <x v="181"/>
    <x v="3"/>
    <n v="45582.040847178061"/>
    <n v="385"/>
    <x v="1"/>
    <d v="2025-05-28T00:00:00"/>
    <n v="2"/>
    <x v="3"/>
  </r>
  <r>
    <s v="Shawn Brown"/>
    <n v="33"/>
    <x v="2"/>
    <x v="1"/>
    <x v="7"/>
    <x v="0"/>
    <x v="35"/>
    <x v="0"/>
    <n v="45351.534568147857"/>
    <n v="155"/>
    <x v="0"/>
    <d v="2025-02-06T00:00:00"/>
    <n v="1"/>
    <x v="3"/>
  </r>
  <r>
    <s v="Sandra Williamson"/>
    <n v="66"/>
    <x v="0"/>
    <x v="0"/>
    <x v="4"/>
    <x v="3"/>
    <x v="158"/>
    <x v="0"/>
    <n v="8153.0681247467628"/>
    <n v="326"/>
    <x v="1"/>
    <d v="2025-05-01T00:00:00"/>
    <n v="12"/>
    <x v="0"/>
  </r>
  <r>
    <s v="Jennifer Stephens"/>
    <n v="57"/>
    <x v="1"/>
    <x v="0"/>
    <x v="3"/>
    <x v="5"/>
    <x v="40"/>
    <x v="0"/>
    <n v="31332.56587956144"/>
    <n v="203"/>
    <x v="0"/>
    <d v="2025-04-03T00:00:00"/>
    <n v="1"/>
    <x v="0"/>
  </r>
  <r>
    <s v="Stephanie Rodriguez"/>
    <n v="21"/>
    <x v="2"/>
    <x v="1"/>
    <x v="0"/>
    <x v="4"/>
    <x v="205"/>
    <x v="2"/>
    <n v="20616.550195486539"/>
    <n v="426"/>
    <x v="0"/>
    <d v="2025-03-14T00:00:00"/>
    <n v="12"/>
    <x v="4"/>
  </r>
  <r>
    <s v="Caroline Mcintyre"/>
    <n v="43"/>
    <x v="3"/>
    <x v="0"/>
    <x v="2"/>
    <x v="4"/>
    <x v="208"/>
    <x v="3"/>
    <n v="14902.10565588612"/>
    <n v="431"/>
    <x v="1"/>
    <d v="2025-02-13T00:00:00"/>
    <n v="7"/>
    <x v="3"/>
  </r>
  <r>
    <s v="Mr. Cameron Robinson"/>
    <n v="62"/>
    <x v="1"/>
    <x v="1"/>
    <x v="7"/>
    <x v="2"/>
    <x v="276"/>
    <x v="3"/>
    <n v="35906.188447406828"/>
    <n v="121"/>
    <x v="0"/>
    <d v="2025-04-18T00:00:00"/>
    <n v="6"/>
    <x v="0"/>
  </r>
  <r>
    <s v="Tammy Pineda"/>
    <n v="32"/>
    <x v="2"/>
    <x v="1"/>
    <x v="3"/>
    <x v="4"/>
    <x v="299"/>
    <x v="2"/>
    <n v="36250.968878310239"/>
    <n v="201"/>
    <x v="0"/>
    <d v="2025-04-01T00:00:00"/>
    <n v="12"/>
    <x v="2"/>
  </r>
  <r>
    <s v="Natalie Anderson"/>
    <n v="39"/>
    <x v="3"/>
    <x v="0"/>
    <x v="2"/>
    <x v="4"/>
    <x v="300"/>
    <x v="0"/>
    <n v="37685.2743238283"/>
    <n v="390"/>
    <x v="1"/>
    <d v="2025-04-13T00:00:00"/>
    <n v="10"/>
    <x v="4"/>
  </r>
  <r>
    <s v="Jasmine Rodriguez"/>
    <n v="38"/>
    <x v="3"/>
    <x v="0"/>
    <x v="2"/>
    <x v="5"/>
    <x v="301"/>
    <x v="1"/>
    <n v="15528.373245424589"/>
    <n v="309"/>
    <x v="1"/>
    <d v="2025-05-13T00:00:00"/>
    <n v="3"/>
    <x v="2"/>
  </r>
  <r>
    <s v="Debra Mckee"/>
    <n v="34"/>
    <x v="2"/>
    <x v="1"/>
    <x v="7"/>
    <x v="0"/>
    <x v="282"/>
    <x v="2"/>
    <n v="45351.534568147857"/>
    <n v="155"/>
    <x v="0"/>
    <d v="2025-02-18T00:00:00"/>
    <n v="8"/>
    <x v="3"/>
  </r>
  <r>
    <s v="Sandra Greene"/>
    <n v="52"/>
    <x v="1"/>
    <x v="1"/>
    <x v="4"/>
    <x v="2"/>
    <x v="302"/>
    <x v="1"/>
    <n v="42569.185316665193"/>
    <n v="412"/>
    <x v="0"/>
    <d v="2025-06-05T00:00:00"/>
    <n v="9"/>
    <x v="2"/>
  </r>
  <r>
    <s v="Crystal Morris"/>
    <n v="68"/>
    <x v="0"/>
    <x v="0"/>
    <x v="5"/>
    <x v="4"/>
    <x v="27"/>
    <x v="0"/>
    <n v="12749.99392567508"/>
    <n v="497"/>
    <x v="1"/>
    <d v="2025-11-19T00:00:00"/>
    <n v="2"/>
    <x v="3"/>
  </r>
  <r>
    <s v="Jason Parker"/>
    <n v="38"/>
    <x v="3"/>
    <x v="0"/>
    <x v="4"/>
    <x v="2"/>
    <x v="129"/>
    <x v="3"/>
    <n v="44400.354792576378"/>
    <n v="153"/>
    <x v="0"/>
    <d v="2025-05-07T00:00:00"/>
    <n v="7"/>
    <x v="4"/>
  </r>
  <r>
    <s v="Roy Jones"/>
    <n v="78"/>
    <x v="0"/>
    <x v="0"/>
    <x v="5"/>
    <x v="2"/>
    <x v="127"/>
    <x v="3"/>
    <n v="24984.323711030938"/>
    <n v="131"/>
    <x v="0"/>
    <d v="2025-11-14T00:00:00"/>
    <n v="11"/>
    <x v="4"/>
  </r>
  <r>
    <s v="Richard Anderson"/>
    <n v="18"/>
    <x v="4"/>
    <x v="1"/>
    <x v="6"/>
    <x v="3"/>
    <x v="89"/>
    <x v="1"/>
    <n v="41696.314514859689"/>
    <n v="206"/>
    <x v="0"/>
    <d v="2025-12-08T00:00:00"/>
    <n v="14"/>
    <x v="1"/>
  </r>
  <r>
    <s v="Jennifer Foster"/>
    <n v="29"/>
    <x v="2"/>
    <x v="1"/>
    <x v="7"/>
    <x v="2"/>
    <x v="61"/>
    <x v="1"/>
    <n v="39895.717557411277"/>
    <n v="309"/>
    <x v="1"/>
    <d v="2025-11-03T00:00:00"/>
    <n v="10"/>
    <x v="4"/>
  </r>
  <r>
    <s v="Debbie Wilson"/>
    <n v="57"/>
    <x v="1"/>
    <x v="1"/>
    <x v="0"/>
    <x v="2"/>
    <x v="303"/>
    <x v="1"/>
    <n v="14210.81732100748"/>
    <n v="409"/>
    <x v="1"/>
    <d v="2025-12-31T00:00:00"/>
    <n v="1"/>
    <x v="4"/>
  </r>
  <r>
    <s v="Travis Flores"/>
    <n v="69"/>
    <x v="0"/>
    <x v="0"/>
    <x v="7"/>
    <x v="1"/>
    <x v="93"/>
    <x v="0"/>
    <n v="4588.7617031749778"/>
    <n v="458"/>
    <x v="1"/>
    <d v="2025-04-13T00:00:00"/>
    <n v="4"/>
    <x v="3"/>
  </r>
  <r>
    <s v="Emily Young"/>
    <n v="61"/>
    <x v="1"/>
    <x v="1"/>
    <x v="3"/>
    <x v="0"/>
    <x v="290"/>
    <x v="3"/>
    <n v="19594.935743510759"/>
    <n v="298"/>
    <x v="0"/>
    <d v="2025-12-04T00:00:00"/>
    <n v="2"/>
    <x v="1"/>
  </r>
  <r>
    <s v="Sandy Hall"/>
    <n v="42"/>
    <x v="3"/>
    <x v="1"/>
    <x v="2"/>
    <x v="0"/>
    <x v="151"/>
    <x v="0"/>
    <n v="6509.4034385260384"/>
    <n v="138"/>
    <x v="0"/>
    <d v="2025-12-24T00:00:00"/>
    <n v="14"/>
    <x v="0"/>
  </r>
  <r>
    <s v="Madison Wright"/>
    <n v="64"/>
    <x v="1"/>
    <x v="1"/>
    <x v="4"/>
    <x v="4"/>
    <x v="304"/>
    <x v="1"/>
    <n v="10535.861576210789"/>
    <n v="102"/>
    <x v="0"/>
    <d v="2025-07-03T00:00:00"/>
    <n v="2"/>
    <x v="3"/>
  </r>
  <r>
    <s v="Amy Mann"/>
    <n v="64"/>
    <x v="1"/>
    <x v="1"/>
    <x v="7"/>
    <x v="1"/>
    <x v="305"/>
    <x v="0"/>
    <n v="40981.967811910392"/>
    <n v="443"/>
    <x v="0"/>
    <d v="2025-02-09T00:00:00"/>
    <n v="6"/>
    <x v="0"/>
  </r>
  <r>
    <s v="Jason Steele"/>
    <n v="43"/>
    <x v="3"/>
    <x v="0"/>
    <x v="5"/>
    <x v="2"/>
    <x v="244"/>
    <x v="3"/>
    <n v="5918.0363643174678"/>
    <n v="317"/>
    <x v="0"/>
    <d v="2025-03-14T00:00:00"/>
    <n v="14"/>
    <x v="0"/>
  </r>
  <r>
    <s v="Pamela Middleton"/>
    <n v="73"/>
    <x v="0"/>
    <x v="0"/>
    <x v="5"/>
    <x v="3"/>
    <x v="306"/>
    <x v="3"/>
    <n v="43866.882683449403"/>
    <n v="314"/>
    <x v="0"/>
    <d v="2025-04-25T00:00:00"/>
    <n v="12"/>
    <x v="2"/>
  </r>
  <r>
    <s v="Lisa Jackson"/>
    <n v="37"/>
    <x v="3"/>
    <x v="0"/>
    <x v="3"/>
    <x v="1"/>
    <x v="0"/>
    <x v="0"/>
    <n v="29713.25089335323"/>
    <n v="471"/>
    <x v="1"/>
    <d v="2025-11-28T00:00:00"/>
    <n v="2"/>
    <x v="0"/>
  </r>
  <r>
    <s v="Samantha Patel"/>
    <n v="32"/>
    <x v="2"/>
    <x v="0"/>
    <x v="7"/>
    <x v="2"/>
    <x v="307"/>
    <x v="0"/>
    <n v="27684.046934404771"/>
    <n v="283"/>
    <x v="1"/>
    <d v="2025-10-22T00:00:00"/>
    <n v="10"/>
    <x v="4"/>
  </r>
  <r>
    <s v="Herbert Rodriguez"/>
    <n v="21"/>
    <x v="2"/>
    <x v="1"/>
    <x v="0"/>
    <x v="4"/>
    <x v="265"/>
    <x v="2"/>
    <n v="35709.072887239221"/>
    <n v="284"/>
    <x v="0"/>
    <d v="2025-05-26T00:00:00"/>
    <n v="6"/>
    <x v="1"/>
  </r>
  <r>
    <s v="Olivia Powell"/>
    <n v="46"/>
    <x v="3"/>
    <x v="1"/>
    <x v="5"/>
    <x v="4"/>
    <x v="117"/>
    <x v="2"/>
    <n v="9434.7608310983924"/>
    <n v="372"/>
    <x v="0"/>
    <d v="2025-04-01T00:00:00"/>
    <n v="13"/>
    <x v="0"/>
  </r>
  <r>
    <s v="Samantha Perkins"/>
    <n v="67"/>
    <x v="0"/>
    <x v="1"/>
    <x v="5"/>
    <x v="1"/>
    <x v="108"/>
    <x v="3"/>
    <n v="10755.694254043219"/>
    <n v="190"/>
    <x v="1"/>
    <d v="2025-12-19T00:00:00"/>
    <n v="14"/>
    <x v="0"/>
  </r>
  <r>
    <s v="Michael Potts"/>
    <n v="61"/>
    <x v="1"/>
    <x v="1"/>
    <x v="1"/>
    <x v="2"/>
    <x v="144"/>
    <x v="3"/>
    <n v="36260.227756632477"/>
    <n v="463"/>
    <x v="1"/>
    <d v="2025-11-13T00:00:00"/>
    <n v="14"/>
    <x v="4"/>
  </r>
  <r>
    <s v="Kerry Hernandez"/>
    <n v="24"/>
    <x v="2"/>
    <x v="1"/>
    <x v="4"/>
    <x v="0"/>
    <x v="275"/>
    <x v="2"/>
    <n v="36980.612257696521"/>
    <n v="476"/>
    <x v="1"/>
    <d v="2025-11-18T00:00:00"/>
    <n v="9"/>
    <x v="1"/>
  </r>
  <r>
    <s v="Joshua Reyes"/>
    <n v="19"/>
    <x v="2"/>
    <x v="1"/>
    <x v="7"/>
    <x v="5"/>
    <x v="165"/>
    <x v="2"/>
    <n v="24251.869526322051"/>
    <n v="170"/>
    <x v="0"/>
    <d v="2025-02-23T00:00:00"/>
    <n v="14"/>
    <x v="3"/>
  </r>
  <r>
    <s v="Jennifer Ortega"/>
    <n v="59"/>
    <x v="1"/>
    <x v="1"/>
    <x v="2"/>
    <x v="4"/>
    <x v="106"/>
    <x v="2"/>
    <n v="47329.720557022083"/>
    <n v="388"/>
    <x v="1"/>
    <d v="2025-03-21T00:00:00"/>
    <n v="10"/>
    <x v="4"/>
  </r>
  <r>
    <s v="Brittany Braun"/>
    <n v="53"/>
    <x v="1"/>
    <x v="0"/>
    <x v="3"/>
    <x v="2"/>
    <x v="206"/>
    <x v="3"/>
    <n v="28518.913692902821"/>
    <n v="235"/>
    <x v="1"/>
    <d v="2025-06-25T00:00:00"/>
    <n v="14"/>
    <x v="2"/>
  </r>
  <r>
    <s v="Daniel Chen"/>
    <n v="52"/>
    <x v="1"/>
    <x v="0"/>
    <x v="2"/>
    <x v="3"/>
    <x v="256"/>
    <x v="2"/>
    <n v="2725.3809771642909"/>
    <n v="299"/>
    <x v="0"/>
    <d v="2025-05-23T00:00:00"/>
    <n v="11"/>
    <x v="1"/>
  </r>
  <r>
    <s v="Erica Hart"/>
    <n v="51"/>
    <x v="1"/>
    <x v="0"/>
    <x v="4"/>
    <x v="4"/>
    <x v="308"/>
    <x v="1"/>
    <n v="6806.7415703531387"/>
    <n v="432"/>
    <x v="0"/>
    <d v="2025-07-11T00:00:00"/>
    <n v="14"/>
    <x v="1"/>
  </r>
  <r>
    <s v="Alicia Scott"/>
    <n v="24"/>
    <x v="2"/>
    <x v="1"/>
    <x v="6"/>
    <x v="1"/>
    <x v="174"/>
    <x v="2"/>
    <n v="43735.184369034207"/>
    <n v="379"/>
    <x v="0"/>
    <d v="2025-06-19T00:00:00"/>
    <n v="10"/>
    <x v="1"/>
  </r>
  <r>
    <s v="Amanda Aguirre"/>
    <n v="33"/>
    <x v="2"/>
    <x v="1"/>
    <x v="1"/>
    <x v="0"/>
    <x v="192"/>
    <x v="2"/>
    <n v="28990.573014721311"/>
    <n v="286"/>
    <x v="1"/>
    <d v="2025-05-04T00:00:00"/>
    <n v="10"/>
    <x v="0"/>
  </r>
  <r>
    <s v="Mark Hicks"/>
    <n v="33"/>
    <x v="2"/>
    <x v="0"/>
    <x v="2"/>
    <x v="5"/>
    <x v="65"/>
    <x v="0"/>
    <n v="38270.31489433883"/>
    <n v="178"/>
    <x v="0"/>
    <d v="2025-03-29T00:00:00"/>
    <n v="11"/>
    <x v="4"/>
  </r>
  <r>
    <s v="Timothy Davis"/>
    <n v="72"/>
    <x v="0"/>
    <x v="0"/>
    <x v="6"/>
    <x v="1"/>
    <x v="210"/>
    <x v="0"/>
    <n v="47372.796713348907"/>
    <n v="373"/>
    <x v="0"/>
    <d v="2025-06-07T00:00:00"/>
    <n v="7"/>
    <x v="3"/>
  </r>
  <r>
    <s v="Lonnie Dominguez"/>
    <n v="33"/>
    <x v="2"/>
    <x v="1"/>
    <x v="7"/>
    <x v="1"/>
    <x v="280"/>
    <x v="2"/>
    <n v="36455.737490200263"/>
    <n v="411"/>
    <x v="1"/>
    <d v="2025-08-22T00:00:00"/>
    <n v="2"/>
    <x v="0"/>
  </r>
  <r>
    <s v="Kimberly Hale"/>
    <n v="24"/>
    <x v="2"/>
    <x v="0"/>
    <x v="4"/>
    <x v="3"/>
    <x v="65"/>
    <x v="2"/>
    <n v="7297.4709818187775"/>
    <n v="442"/>
    <x v="1"/>
    <d v="2025-03-31T00:00:00"/>
    <n v="13"/>
    <x v="4"/>
  </r>
  <r>
    <s v="Dana Williamson"/>
    <n v="37"/>
    <x v="3"/>
    <x v="0"/>
    <x v="2"/>
    <x v="4"/>
    <x v="250"/>
    <x v="3"/>
    <n v="22754.692130789739"/>
    <n v="247"/>
    <x v="0"/>
    <d v="2025-11-04T00:00:00"/>
    <n v="8"/>
    <x v="4"/>
  </r>
  <r>
    <s v="Mr. George Brown Jr."/>
    <n v="82"/>
    <x v="0"/>
    <x v="0"/>
    <x v="7"/>
    <x v="4"/>
    <x v="1"/>
    <x v="2"/>
    <n v="22784.134768700638"/>
    <n v="475"/>
    <x v="1"/>
    <d v="2025-11-24T00:00:00"/>
    <n v="12"/>
    <x v="4"/>
  </r>
  <r>
    <s v="Allen Camacho"/>
    <n v="17"/>
    <x v="4"/>
    <x v="0"/>
    <x v="0"/>
    <x v="2"/>
    <x v="71"/>
    <x v="3"/>
    <n v="37591.085670777436"/>
    <n v="336"/>
    <x v="0"/>
    <d v="2025-05-03T00:00:00"/>
    <n v="5"/>
    <x v="0"/>
  </r>
  <r>
    <s v="Nathan Woods"/>
    <n v="55"/>
    <x v="1"/>
    <x v="0"/>
    <x v="1"/>
    <x v="0"/>
    <x v="248"/>
    <x v="0"/>
    <n v="44415.218284627997"/>
    <n v="136"/>
    <x v="1"/>
    <d v="2025-03-11T00:00:00"/>
    <n v="5"/>
    <x v="3"/>
  </r>
  <r>
    <s v="Catherine Smith"/>
    <n v="46"/>
    <x v="3"/>
    <x v="0"/>
    <x v="4"/>
    <x v="1"/>
    <x v="116"/>
    <x v="1"/>
    <n v="3350.4955204913449"/>
    <n v="359"/>
    <x v="0"/>
    <d v="2025-10-19T00:00:00"/>
    <n v="10"/>
    <x v="1"/>
  </r>
  <r>
    <s v="Jerry Lee"/>
    <n v="37"/>
    <x v="3"/>
    <x v="0"/>
    <x v="0"/>
    <x v="4"/>
    <x v="213"/>
    <x v="3"/>
    <n v="31446.97447647938"/>
    <n v="357"/>
    <x v="1"/>
    <d v="2025-07-16T00:00:00"/>
    <n v="7"/>
    <x v="0"/>
  </r>
  <r>
    <s v="Alexander Coleman"/>
    <n v="44"/>
    <x v="3"/>
    <x v="1"/>
    <x v="2"/>
    <x v="5"/>
    <x v="302"/>
    <x v="1"/>
    <n v="25682.536853059471"/>
    <n v="487"/>
    <x v="1"/>
    <d v="2025-06-03T00:00:00"/>
    <n v="7"/>
    <x v="0"/>
  </r>
  <r>
    <s v="David Jensen"/>
    <n v="28"/>
    <x v="2"/>
    <x v="1"/>
    <x v="3"/>
    <x v="2"/>
    <x v="290"/>
    <x v="3"/>
    <n v="8820.6889830290002"/>
    <n v="334"/>
    <x v="1"/>
    <d v="2025-12-03T00:00:00"/>
    <n v="1"/>
    <x v="1"/>
  </r>
  <r>
    <s v="Deborah Evans"/>
    <n v="43"/>
    <x v="3"/>
    <x v="0"/>
    <x v="0"/>
    <x v="4"/>
    <x v="35"/>
    <x v="3"/>
    <n v="-68.319620761113356"/>
    <n v="288"/>
    <x v="1"/>
    <d v="2025-02-07T00:00:00"/>
    <n v="2"/>
    <x v="4"/>
  </r>
  <r>
    <s v="Alexandria Colon"/>
    <n v="19"/>
    <x v="2"/>
    <x v="0"/>
    <x v="3"/>
    <x v="1"/>
    <x v="260"/>
    <x v="1"/>
    <n v="42157.22298233107"/>
    <n v="149"/>
    <x v="0"/>
    <d v="2025-08-12T00:00:00"/>
    <n v="12"/>
    <x v="3"/>
  </r>
  <r>
    <s v="Samuel Hanson"/>
    <n v="74"/>
    <x v="0"/>
    <x v="1"/>
    <x v="1"/>
    <x v="5"/>
    <x v="295"/>
    <x v="0"/>
    <n v="-1310.272894708412"/>
    <n v="257"/>
    <x v="0"/>
    <d v="2025-08-03T00:00:00"/>
    <n v="13"/>
    <x v="1"/>
  </r>
  <r>
    <s v="Bryan Phillips"/>
    <n v="40"/>
    <x v="3"/>
    <x v="0"/>
    <x v="0"/>
    <x v="2"/>
    <x v="258"/>
    <x v="0"/>
    <n v="4781.9446624751045"/>
    <n v="392"/>
    <x v="1"/>
    <d v="2025-10-08T00:00:00"/>
    <n v="7"/>
    <x v="0"/>
  </r>
  <r>
    <s v="Nathan Wiley"/>
    <n v="35"/>
    <x v="2"/>
    <x v="1"/>
    <x v="7"/>
    <x v="5"/>
    <x v="191"/>
    <x v="1"/>
    <n v="12961.37254976216"/>
    <n v="403"/>
    <x v="1"/>
    <d v="2025-03-02T00:00:00"/>
    <n v="4"/>
    <x v="3"/>
  </r>
  <r>
    <s v="Alisha Murphy"/>
    <n v="64"/>
    <x v="1"/>
    <x v="0"/>
    <x v="1"/>
    <x v="1"/>
    <x v="21"/>
    <x v="1"/>
    <n v="20577.708926659619"/>
    <n v="387"/>
    <x v="0"/>
    <d v="2025-10-15T00:00:00"/>
    <n v="1"/>
    <x v="2"/>
  </r>
  <r>
    <s v="Amanda Lucero"/>
    <n v="36"/>
    <x v="3"/>
    <x v="0"/>
    <x v="4"/>
    <x v="0"/>
    <x v="232"/>
    <x v="0"/>
    <n v="45726.142715749193"/>
    <n v="487"/>
    <x v="0"/>
    <d v="2025-08-17T00:00:00"/>
    <n v="10"/>
    <x v="2"/>
  </r>
  <r>
    <s v="Sheila Sellers"/>
    <n v="47"/>
    <x v="3"/>
    <x v="0"/>
    <x v="5"/>
    <x v="5"/>
    <x v="166"/>
    <x v="2"/>
    <n v="38683.446827763008"/>
    <n v="418"/>
    <x v="0"/>
    <d v="2025-06-24T00:00:00"/>
    <n v="5"/>
    <x v="1"/>
  </r>
  <r>
    <s v="Susan Chan"/>
    <n v="25"/>
    <x v="2"/>
    <x v="0"/>
    <x v="4"/>
    <x v="4"/>
    <x v="170"/>
    <x v="1"/>
    <n v="25911.352007590551"/>
    <n v="343"/>
    <x v="1"/>
    <d v="2025-11-23T00:00:00"/>
    <n v="10"/>
    <x v="0"/>
  </r>
  <r>
    <s v="Angel Mitchell"/>
    <n v="33"/>
    <x v="2"/>
    <x v="1"/>
    <x v="2"/>
    <x v="0"/>
    <x v="184"/>
    <x v="1"/>
    <n v="46504.061232192696"/>
    <n v="433"/>
    <x v="1"/>
    <d v="2025-10-31T00:00:00"/>
    <n v="3"/>
    <x v="4"/>
  </r>
  <r>
    <s v="Darlene Cohen"/>
    <n v="41"/>
    <x v="3"/>
    <x v="1"/>
    <x v="7"/>
    <x v="0"/>
    <x v="137"/>
    <x v="3"/>
    <n v="13127.33995354016"/>
    <n v="436"/>
    <x v="0"/>
    <d v="2025-03-15T00:00:00"/>
    <n v="7"/>
    <x v="0"/>
  </r>
  <r>
    <s v="Kristy Oneill"/>
    <n v="60"/>
    <x v="1"/>
    <x v="1"/>
    <x v="2"/>
    <x v="4"/>
    <x v="208"/>
    <x v="3"/>
    <n v="33066.42532790258"/>
    <n v="312"/>
    <x v="0"/>
    <d v="2025-02-13T00:00:00"/>
    <n v="7"/>
    <x v="0"/>
  </r>
  <r>
    <s v="Sherri Garcia"/>
    <n v="16"/>
    <x v="4"/>
    <x v="1"/>
    <x v="1"/>
    <x v="1"/>
    <x v="188"/>
    <x v="1"/>
    <n v="2635.0093102148221"/>
    <n v="236"/>
    <x v="1"/>
    <d v="2025-06-15T00:00:00"/>
    <n v="1"/>
    <x v="2"/>
  </r>
  <r>
    <s v="Michael Weber"/>
    <n v="77"/>
    <x v="0"/>
    <x v="1"/>
    <x v="0"/>
    <x v="4"/>
    <x v="309"/>
    <x v="0"/>
    <n v="43914.877994545917"/>
    <n v="113"/>
    <x v="1"/>
    <d v="2025-11-16T00:00:00"/>
    <n v="6"/>
    <x v="4"/>
  </r>
  <r>
    <s v="Beth Schwartz"/>
    <n v="61"/>
    <x v="1"/>
    <x v="1"/>
    <x v="3"/>
    <x v="3"/>
    <x v="64"/>
    <x v="3"/>
    <n v="26184.999182599418"/>
    <n v="428"/>
    <x v="0"/>
    <d v="2025-02-26T00:00:00"/>
    <n v="13"/>
    <x v="2"/>
  </r>
  <r>
    <s v="Cynthia Clarke"/>
    <n v="66"/>
    <x v="0"/>
    <x v="1"/>
    <x v="7"/>
    <x v="3"/>
    <x v="305"/>
    <x v="3"/>
    <n v="13074.056491834801"/>
    <n v="293"/>
    <x v="1"/>
    <d v="2025-02-12T00:00:00"/>
    <n v="9"/>
    <x v="0"/>
  </r>
  <r>
    <s v="Mark Giles"/>
    <n v="62"/>
    <x v="1"/>
    <x v="1"/>
    <x v="2"/>
    <x v="3"/>
    <x v="31"/>
    <x v="1"/>
    <n v="13410.78564748242"/>
    <n v="484"/>
    <x v="1"/>
    <d v="2025-04-08T00:00:00"/>
    <n v="2"/>
    <x v="1"/>
  </r>
  <r>
    <s v="Tamara Beltran"/>
    <n v="18"/>
    <x v="4"/>
    <x v="1"/>
    <x v="2"/>
    <x v="5"/>
    <x v="161"/>
    <x v="2"/>
    <n v="45997.341582566703"/>
    <n v="172"/>
    <x v="0"/>
    <d v="2025-05-14T00:00:00"/>
    <n v="10"/>
    <x v="3"/>
  </r>
  <r>
    <s v="Joseph Gutierrez"/>
    <n v="86"/>
    <x v="0"/>
    <x v="0"/>
    <x v="6"/>
    <x v="2"/>
    <x v="102"/>
    <x v="3"/>
    <n v="44447.643543331571"/>
    <n v="405"/>
    <x v="1"/>
    <d v="2025-09-20T00:00:00"/>
    <n v="1"/>
    <x v="0"/>
  </r>
  <r>
    <s v="Jamie Jimenez"/>
    <n v="62"/>
    <x v="1"/>
    <x v="1"/>
    <x v="0"/>
    <x v="2"/>
    <x v="86"/>
    <x v="1"/>
    <n v="22740.130276558069"/>
    <n v="487"/>
    <x v="1"/>
    <d v="2025-10-04T00:00:00"/>
    <n v="2"/>
    <x v="3"/>
  </r>
  <r>
    <s v="Charles Murphy"/>
    <n v="47"/>
    <x v="3"/>
    <x v="0"/>
    <x v="5"/>
    <x v="5"/>
    <x v="291"/>
    <x v="2"/>
    <n v="22695.732990980359"/>
    <n v="404"/>
    <x v="0"/>
    <d v="2025-03-28T00:00:00"/>
    <n v="14"/>
    <x v="4"/>
  </r>
  <r>
    <s v="Carlos Lopez"/>
    <n v="54"/>
    <x v="1"/>
    <x v="0"/>
    <x v="5"/>
    <x v="5"/>
    <x v="310"/>
    <x v="3"/>
    <n v="39607.768279087133"/>
    <n v="272"/>
    <x v="0"/>
    <d v="2025-03-04T00:00:00"/>
    <n v="14"/>
    <x v="0"/>
  </r>
  <r>
    <s v="Johnny Irwin"/>
    <n v="37"/>
    <x v="3"/>
    <x v="0"/>
    <x v="0"/>
    <x v="0"/>
    <x v="112"/>
    <x v="2"/>
    <n v="41094.480242013517"/>
    <n v="245"/>
    <x v="0"/>
    <d v="2025-03-02T00:00:00"/>
    <n v="7"/>
    <x v="2"/>
  </r>
  <r>
    <s v="Scott Werner"/>
    <n v="58"/>
    <x v="1"/>
    <x v="0"/>
    <x v="1"/>
    <x v="5"/>
    <x v="212"/>
    <x v="0"/>
    <n v="38927.698411815007"/>
    <n v="362"/>
    <x v="1"/>
    <d v="2025-04-12T00:00:00"/>
    <n v="4"/>
    <x v="2"/>
  </r>
  <r>
    <s v="Terri Stewart"/>
    <n v="75"/>
    <x v="0"/>
    <x v="1"/>
    <x v="2"/>
    <x v="2"/>
    <x v="189"/>
    <x v="3"/>
    <n v="26988.097230346539"/>
    <n v="450"/>
    <x v="0"/>
    <d v="2025-05-10T00:00:00"/>
    <n v="1"/>
    <x v="2"/>
  </r>
  <r>
    <s v="David Davis"/>
    <n v="38"/>
    <x v="3"/>
    <x v="1"/>
    <x v="4"/>
    <x v="2"/>
    <x v="36"/>
    <x v="1"/>
    <n v="10768.843093150919"/>
    <n v="138"/>
    <x v="1"/>
    <d v="2025-08-14T00:00:00"/>
    <n v="11"/>
    <x v="1"/>
  </r>
  <r>
    <s v="Stephen Harris"/>
    <n v="83"/>
    <x v="0"/>
    <x v="1"/>
    <x v="1"/>
    <x v="0"/>
    <x v="95"/>
    <x v="3"/>
    <n v="18283.38967311088"/>
    <n v="153"/>
    <x v="0"/>
    <d v="2025-03-05T00:00:00"/>
    <n v="13"/>
    <x v="1"/>
  </r>
  <r>
    <s v="Bridget Adams"/>
    <n v="44"/>
    <x v="3"/>
    <x v="0"/>
    <x v="1"/>
    <x v="1"/>
    <x v="132"/>
    <x v="0"/>
    <n v="14070.48079259527"/>
    <n v="397"/>
    <x v="1"/>
    <d v="2025-02-09T00:00:00"/>
    <n v="14"/>
    <x v="1"/>
  </r>
  <r>
    <s v="Michael Morton"/>
    <n v="56"/>
    <x v="1"/>
    <x v="0"/>
    <x v="2"/>
    <x v="5"/>
    <x v="255"/>
    <x v="3"/>
    <n v="46774.834531235647"/>
    <n v="396"/>
    <x v="1"/>
    <d v="2025-04-25T00:00:00"/>
    <n v="3"/>
    <x v="4"/>
  </r>
  <r>
    <s v="Michelle Liu"/>
    <n v="44"/>
    <x v="3"/>
    <x v="1"/>
    <x v="7"/>
    <x v="4"/>
    <x v="195"/>
    <x v="3"/>
    <n v="12795.19969223959"/>
    <n v="335"/>
    <x v="1"/>
    <d v="2025-06-18T00:00:00"/>
    <n v="5"/>
    <x v="1"/>
  </r>
  <r>
    <s v="Regina Bright"/>
    <n v="24"/>
    <x v="2"/>
    <x v="0"/>
    <x v="4"/>
    <x v="1"/>
    <x v="231"/>
    <x v="3"/>
    <n v="9662.4397668364163"/>
    <n v="182"/>
    <x v="1"/>
    <d v="2025-08-14T00:00:00"/>
    <n v="6"/>
    <x v="4"/>
  </r>
  <r>
    <s v="Samuel Decker"/>
    <n v="64"/>
    <x v="1"/>
    <x v="1"/>
    <x v="2"/>
    <x v="5"/>
    <x v="121"/>
    <x v="2"/>
    <n v="8245.6586280177689"/>
    <n v="249"/>
    <x v="0"/>
    <d v="2025-11-21T00:00:00"/>
    <n v="10"/>
    <x v="4"/>
  </r>
  <r>
    <s v="Paul Wright"/>
    <n v="19"/>
    <x v="2"/>
    <x v="1"/>
    <x v="0"/>
    <x v="2"/>
    <x v="280"/>
    <x v="1"/>
    <n v="7192.6281782379574"/>
    <n v="443"/>
    <x v="1"/>
    <d v="2025-08-29T00:00:00"/>
    <n v="9"/>
    <x v="2"/>
  </r>
  <r>
    <s v="Brian Olson"/>
    <n v="19"/>
    <x v="2"/>
    <x v="1"/>
    <x v="7"/>
    <x v="3"/>
    <x v="186"/>
    <x v="1"/>
    <n v="8537.2245416379938"/>
    <n v="376"/>
    <x v="0"/>
    <d v="2025-11-22T00:00:00"/>
    <n v="4"/>
    <x v="0"/>
  </r>
  <r>
    <s v="Tracey Harrison"/>
    <n v="60"/>
    <x v="1"/>
    <x v="0"/>
    <x v="1"/>
    <x v="5"/>
    <x v="295"/>
    <x v="3"/>
    <n v="3827.8608580686769"/>
    <n v="114"/>
    <x v="1"/>
    <d v="2025-07-30T00:00:00"/>
    <n v="9"/>
    <x v="2"/>
  </r>
  <r>
    <s v="Erika Johnson"/>
    <n v="49"/>
    <x v="3"/>
    <x v="0"/>
    <x v="7"/>
    <x v="0"/>
    <x v="163"/>
    <x v="1"/>
    <n v="3437.6510668268011"/>
    <n v="446"/>
    <x v="0"/>
    <d v="2025-01-08T00:00:00"/>
    <n v="2"/>
    <x v="2"/>
  </r>
  <r>
    <s v="Peter Cunningham"/>
    <n v="83"/>
    <x v="0"/>
    <x v="0"/>
    <x v="5"/>
    <x v="4"/>
    <x v="306"/>
    <x v="3"/>
    <n v="4993.0296470344574"/>
    <n v="384"/>
    <x v="0"/>
    <d v="2025-04-19T00:00:00"/>
    <n v="6"/>
    <x v="1"/>
  </r>
  <r>
    <s v="Sierra White"/>
    <n v="69"/>
    <x v="0"/>
    <x v="1"/>
    <x v="0"/>
    <x v="2"/>
    <x v="76"/>
    <x v="2"/>
    <n v="11230.496505544081"/>
    <n v="150"/>
    <x v="1"/>
    <d v="2025-06-16T00:00:00"/>
    <n v="14"/>
    <x v="3"/>
  </r>
  <r>
    <s v="Eddie Russo Dvm"/>
    <n v="18"/>
    <x v="4"/>
    <x v="1"/>
    <x v="4"/>
    <x v="1"/>
    <x v="308"/>
    <x v="0"/>
    <n v="38649.409857675171"/>
    <n v="277"/>
    <x v="0"/>
    <d v="2025-06-29T00:00:00"/>
    <n v="2"/>
    <x v="1"/>
  </r>
  <r>
    <s v="Yvette Turner"/>
    <n v="75"/>
    <x v="0"/>
    <x v="0"/>
    <x v="7"/>
    <x v="2"/>
    <x v="88"/>
    <x v="3"/>
    <n v="28833.58590302537"/>
    <n v="476"/>
    <x v="0"/>
    <d v="2025-01-24T00:00:00"/>
    <n v="14"/>
    <x v="3"/>
  </r>
  <r>
    <s v="James Charles"/>
    <n v="66"/>
    <x v="0"/>
    <x v="0"/>
    <x v="2"/>
    <x v="1"/>
    <x v="85"/>
    <x v="3"/>
    <n v="35319.123324266409"/>
    <n v="419"/>
    <x v="0"/>
    <d v="2025-01-28T00:00:00"/>
    <n v="9"/>
    <x v="4"/>
  </r>
  <r>
    <s v="Alexis Allen"/>
    <n v="81"/>
    <x v="0"/>
    <x v="0"/>
    <x v="5"/>
    <x v="1"/>
    <x v="231"/>
    <x v="3"/>
    <n v="6175.8819934402154"/>
    <n v="123"/>
    <x v="1"/>
    <d v="2025-08-19T00:00:00"/>
    <n v="11"/>
    <x v="4"/>
  </r>
  <r>
    <s v="Stephanie Martin"/>
    <n v="22"/>
    <x v="2"/>
    <x v="0"/>
    <x v="0"/>
    <x v="4"/>
    <x v="69"/>
    <x v="1"/>
    <n v="42214.971634745838"/>
    <n v="120"/>
    <x v="0"/>
    <d v="2025-01-27T00:00:00"/>
    <n v="5"/>
    <x v="2"/>
  </r>
  <r>
    <s v="Shelby Anderson"/>
    <n v="49"/>
    <x v="3"/>
    <x v="1"/>
    <x v="5"/>
    <x v="5"/>
    <x v="311"/>
    <x v="3"/>
    <n v="44150.492444979573"/>
    <n v="370"/>
    <x v="1"/>
    <d v="2025-11-19T00:00:00"/>
    <n v="5"/>
    <x v="4"/>
  </r>
  <r>
    <s v="Abigail Farmer"/>
    <n v="78"/>
    <x v="0"/>
    <x v="0"/>
    <x v="4"/>
    <x v="0"/>
    <x v="79"/>
    <x v="2"/>
    <n v="3529.128245917163"/>
    <n v="429"/>
    <x v="0"/>
    <d v="2025-10-28T00:00:00"/>
    <n v="13"/>
    <x v="4"/>
  </r>
  <r>
    <s v="Christina Miller"/>
    <n v="49"/>
    <x v="3"/>
    <x v="1"/>
    <x v="0"/>
    <x v="4"/>
    <x v="24"/>
    <x v="2"/>
    <n v="43811.285269042113"/>
    <n v="496"/>
    <x v="0"/>
    <d v="2025-08-06T00:00:00"/>
    <n v="11"/>
    <x v="1"/>
  </r>
  <r>
    <s v="Matthew Wyatt"/>
    <n v="41"/>
    <x v="3"/>
    <x v="1"/>
    <x v="0"/>
    <x v="4"/>
    <x v="312"/>
    <x v="0"/>
    <n v="39054.704749598372"/>
    <n v="376"/>
    <x v="2"/>
    <d v="2025-10-26T00:00:00"/>
    <n v="13"/>
    <x v="3"/>
  </r>
  <r>
    <s v="David Montoya"/>
    <n v="65"/>
    <x v="1"/>
    <x v="1"/>
    <x v="5"/>
    <x v="1"/>
    <x v="313"/>
    <x v="1"/>
    <n v="30764.793774327602"/>
    <n v="367"/>
    <x v="1"/>
    <d v="2025-12-31T00:00:00"/>
    <n v="2"/>
    <x v="3"/>
  </r>
  <r>
    <s v="Eric Park"/>
    <n v="18"/>
    <x v="4"/>
    <x v="0"/>
    <x v="2"/>
    <x v="3"/>
    <x v="286"/>
    <x v="0"/>
    <n v="42745.133582142364"/>
    <n v="432"/>
    <x v="0"/>
    <d v="2025-05-15T00:00:00"/>
    <n v="14"/>
    <x v="4"/>
  </r>
  <r>
    <s v="Lori Trevino"/>
    <n v="53"/>
    <x v="1"/>
    <x v="0"/>
    <x v="4"/>
    <x v="4"/>
    <x v="127"/>
    <x v="0"/>
    <n v="39155.122642819559"/>
    <n v="398"/>
    <x v="0"/>
    <d v="2025-11-06T00:00:00"/>
    <n v="3"/>
    <x v="0"/>
  </r>
  <r>
    <s v="Dwayne Castillo"/>
    <n v="28"/>
    <x v="2"/>
    <x v="0"/>
    <x v="1"/>
    <x v="5"/>
    <x v="227"/>
    <x v="2"/>
    <n v="44846.735938410398"/>
    <n v="297"/>
    <x v="1"/>
    <d v="2025-01-26T00:00:00"/>
    <n v="3"/>
    <x v="3"/>
  </r>
  <r>
    <s v="Kristine Mccall"/>
    <n v="28"/>
    <x v="2"/>
    <x v="0"/>
    <x v="5"/>
    <x v="3"/>
    <x v="308"/>
    <x v="2"/>
    <n v="40423.07443681013"/>
    <n v="319"/>
    <x v="2"/>
    <d v="2025-07-01T00:00:00"/>
    <n v="4"/>
    <x v="3"/>
  </r>
  <r>
    <s v="Joseph Sellers"/>
    <n v="54"/>
    <x v="1"/>
    <x v="0"/>
    <x v="6"/>
    <x v="5"/>
    <x v="198"/>
    <x v="3"/>
    <n v="45884.320913580203"/>
    <n v="307"/>
    <x v="2"/>
    <d v="2025-09-05T00:00:00"/>
    <n v="14"/>
    <x v="0"/>
  </r>
  <r>
    <s v="Dr. Donald Anderson"/>
    <n v="53"/>
    <x v="1"/>
    <x v="0"/>
    <x v="3"/>
    <x v="4"/>
    <x v="130"/>
    <x v="2"/>
    <n v="9024.0923011812956"/>
    <n v="178"/>
    <x v="0"/>
    <d v="2025-07-06T00:00:00"/>
    <n v="10"/>
    <x v="2"/>
  </r>
  <r>
    <s v="Victoria Williams"/>
    <n v="40"/>
    <x v="3"/>
    <x v="0"/>
    <x v="5"/>
    <x v="5"/>
    <x v="32"/>
    <x v="1"/>
    <n v="5805.9611122889837"/>
    <n v="429"/>
    <x v="1"/>
    <d v="2025-10-05T00:00:00"/>
    <n v="2"/>
    <x v="0"/>
  </r>
  <r>
    <s v="Anna Jones"/>
    <n v="16"/>
    <x v="4"/>
    <x v="0"/>
    <x v="0"/>
    <x v="5"/>
    <x v="314"/>
    <x v="3"/>
    <n v="21031.774536882211"/>
    <n v="413"/>
    <x v="2"/>
    <d v="2025-09-15T00:00:00"/>
    <n v="1"/>
    <x v="2"/>
  </r>
  <r>
    <s v="Mr. Robert Davis"/>
    <n v="35"/>
    <x v="2"/>
    <x v="0"/>
    <x v="6"/>
    <x v="0"/>
    <x v="204"/>
    <x v="1"/>
    <n v="3836.597755206722"/>
    <n v="328"/>
    <x v="2"/>
    <d v="2025-06-18T00:00:00"/>
    <n v="1"/>
    <x v="3"/>
  </r>
  <r>
    <s v="Jeffrey Hall"/>
    <n v="47"/>
    <x v="3"/>
    <x v="0"/>
    <x v="2"/>
    <x v="5"/>
    <x v="315"/>
    <x v="2"/>
    <n v="24265.501336028719"/>
    <n v="326"/>
    <x v="2"/>
    <d v="2025-07-06T00:00:00"/>
    <n v="7"/>
    <x v="2"/>
  </r>
  <r>
    <s v="Terry Graves"/>
    <n v="48"/>
    <x v="3"/>
    <x v="0"/>
    <x v="7"/>
    <x v="4"/>
    <x v="110"/>
    <x v="0"/>
    <n v="4794.7513545462562"/>
    <n v="382"/>
    <x v="1"/>
    <d v="2025-02-20T00:00:00"/>
    <n v="4"/>
    <x v="1"/>
  </r>
  <r>
    <s v="Jerome Morales"/>
    <n v="45"/>
    <x v="3"/>
    <x v="1"/>
    <x v="3"/>
    <x v="1"/>
    <x v="94"/>
    <x v="0"/>
    <n v="13519.77433735948"/>
    <n v="436"/>
    <x v="1"/>
    <d v="2025-06-24T00:00:00"/>
    <n v="9"/>
    <x v="4"/>
  </r>
  <r>
    <s v="Keith Rodriguez"/>
    <n v="66"/>
    <x v="0"/>
    <x v="1"/>
    <x v="0"/>
    <x v="5"/>
    <x v="32"/>
    <x v="1"/>
    <n v="35395.467399047513"/>
    <n v="492"/>
    <x v="1"/>
    <d v="2025-10-04T00:00:00"/>
    <n v="1"/>
    <x v="0"/>
  </r>
  <r>
    <s v="Tamara Davenport"/>
    <n v="25"/>
    <x v="2"/>
    <x v="1"/>
    <x v="2"/>
    <x v="4"/>
    <x v="11"/>
    <x v="2"/>
    <n v="36107.473548309463"/>
    <n v="149"/>
    <x v="2"/>
    <d v="2025-11-04T00:00:00"/>
    <n v="12"/>
    <x v="4"/>
  </r>
  <r>
    <s v="Jonathan Simon"/>
    <n v="72"/>
    <x v="0"/>
    <x v="1"/>
    <x v="5"/>
    <x v="4"/>
    <x v="164"/>
    <x v="3"/>
    <n v="658.3915547217216"/>
    <n v="432"/>
    <x v="2"/>
    <d v="2025-07-08T00:00:00"/>
    <n v="3"/>
    <x v="0"/>
  </r>
  <r>
    <s v="Holly Armstrong"/>
    <n v="33"/>
    <x v="2"/>
    <x v="0"/>
    <x v="4"/>
    <x v="3"/>
    <x v="184"/>
    <x v="0"/>
    <n v="34358.836547566927"/>
    <n v="312"/>
    <x v="2"/>
    <d v="2025-11-03T00:00:00"/>
    <n v="6"/>
    <x v="1"/>
  </r>
  <r>
    <s v="Ronald Banks"/>
    <n v="38"/>
    <x v="3"/>
    <x v="1"/>
    <x v="0"/>
    <x v="2"/>
    <x v="220"/>
    <x v="3"/>
    <n v="44839.305941457962"/>
    <n v="138"/>
    <x v="1"/>
    <d v="2025-08-05T00:00:00"/>
    <n v="7"/>
    <x v="2"/>
  </r>
  <r>
    <s v="Ryan Bradford Dds"/>
    <n v="51"/>
    <x v="1"/>
    <x v="0"/>
    <x v="0"/>
    <x v="5"/>
    <x v="231"/>
    <x v="0"/>
    <n v="32006.03156588805"/>
    <n v="200"/>
    <x v="2"/>
    <d v="2025-08-20T00:00:00"/>
    <n v="12"/>
    <x v="2"/>
  </r>
  <r>
    <s v="Janice Hall"/>
    <n v="82"/>
    <x v="0"/>
    <x v="0"/>
    <x v="4"/>
    <x v="4"/>
    <x v="88"/>
    <x v="1"/>
    <n v="27971.280360766319"/>
    <n v="120"/>
    <x v="1"/>
    <d v="2025-01-15T00:00:00"/>
    <n v="5"/>
    <x v="3"/>
  </r>
  <r>
    <s v="Jacob Mcdonald"/>
    <n v="26"/>
    <x v="2"/>
    <x v="1"/>
    <x v="7"/>
    <x v="4"/>
    <x v="281"/>
    <x v="1"/>
    <n v="18548.756069179719"/>
    <n v="297"/>
    <x v="2"/>
    <d v="2025-12-21T00:00:00"/>
    <n v="2"/>
    <x v="2"/>
  </r>
  <r>
    <s v="Glenn Massey"/>
    <n v="86"/>
    <x v="0"/>
    <x v="1"/>
    <x v="0"/>
    <x v="2"/>
    <x v="311"/>
    <x v="0"/>
    <n v="39776.67135155655"/>
    <n v="194"/>
    <x v="0"/>
    <d v="2025-11-22T00:00:00"/>
    <n v="8"/>
    <x v="1"/>
  </r>
  <r>
    <s v="Sandra Murray"/>
    <n v="56"/>
    <x v="1"/>
    <x v="1"/>
    <x v="3"/>
    <x v="2"/>
    <x v="183"/>
    <x v="0"/>
    <n v="42056.044881278911"/>
    <n v="277"/>
    <x v="1"/>
    <d v="2025-01-17T00:00:00"/>
    <n v="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651D15-E45C-41E4-96CB-EF018A619E22}" name="PivotTable1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3" firstHeaderRow="0" firstDataRow="0" firstDataCol="0"/>
  <pivotFields count="16">
    <pivotField showAll="0"/>
    <pivotField showAll="0"/>
    <pivotField showAll="0">
      <items count="6">
        <item x="0"/>
        <item x="4"/>
        <item x="2"/>
        <item x="3"/>
        <item x="1"/>
        <item t="default"/>
      </items>
    </pivotField>
    <pivotField showAll="0">
      <items count="3">
        <item x="0"/>
        <item x="1"/>
        <item t="default"/>
      </items>
    </pivotField>
    <pivotField showAll="0"/>
    <pivotField showAll="0">
      <items count="7">
        <item x="2"/>
        <item x="0"/>
        <item x="4"/>
        <item x="3"/>
        <item x="1"/>
        <item x="5"/>
        <item t="default"/>
      </items>
    </pivotField>
    <pivotField numFmtId="14" showAll="0">
      <items count="317">
        <item x="16"/>
        <item x="187"/>
        <item x="163"/>
        <item x="14"/>
        <item x="194"/>
        <item x="183"/>
        <item x="88"/>
        <item x="254"/>
        <item x="294"/>
        <item x="173"/>
        <item x="223"/>
        <item x="251"/>
        <item x="246"/>
        <item x="252"/>
        <item x="85"/>
        <item x="96"/>
        <item x="8"/>
        <item x="69"/>
        <item x="227"/>
        <item x="242"/>
        <item x="51"/>
        <item x="132"/>
        <item x="20"/>
        <item x="157"/>
        <item x="4"/>
        <item x="78"/>
        <item x="41"/>
        <item x="178"/>
        <item x="97"/>
        <item x="305"/>
        <item x="72"/>
        <item x="35"/>
        <item x="208"/>
        <item x="133"/>
        <item x="165"/>
        <item x="282"/>
        <item x="179"/>
        <item x="64"/>
        <item x="110"/>
        <item x="269"/>
        <item x="310"/>
        <item x="107"/>
        <item x="95"/>
        <item x="59"/>
        <item x="224"/>
        <item x="112"/>
        <item x="261"/>
        <item x="235"/>
        <item x="191"/>
        <item x="233"/>
        <item x="244"/>
        <item x="257"/>
        <item x="205"/>
        <item x="253"/>
        <item x="240"/>
        <item x="259"/>
        <item x="248"/>
        <item x="83"/>
        <item x="137"/>
        <item x="135"/>
        <item x="33"/>
        <item x="106"/>
        <item x="60"/>
        <item x="239"/>
        <item x="291"/>
        <item x="230"/>
        <item x="298"/>
        <item x="176"/>
        <item x="65"/>
        <item x="117"/>
        <item x="299"/>
        <item x="42"/>
        <item x="234"/>
        <item x="45"/>
        <item x="55"/>
        <item x="201"/>
        <item x="172"/>
        <item x="75"/>
        <item x="293"/>
        <item x="40"/>
        <item x="300"/>
        <item x="169"/>
        <item x="100"/>
        <item x="31"/>
        <item x="139"/>
        <item x="212"/>
        <item x="93"/>
        <item x="296"/>
        <item x="68"/>
        <item x="276"/>
        <item x="306"/>
        <item x="288"/>
        <item x="67"/>
        <item x="236"/>
        <item x="158"/>
        <item x="171"/>
        <item x="278"/>
        <item x="255"/>
        <item x="192"/>
        <item x="43"/>
        <item x="5"/>
        <item x="136"/>
        <item x="71"/>
        <item x="266"/>
        <item x="129"/>
        <item x="286"/>
        <item x="153"/>
        <item x="225"/>
        <item x="161"/>
        <item x="289"/>
        <item x="87"/>
        <item x="80"/>
        <item x="189"/>
        <item x="301"/>
        <item x="154"/>
        <item x="256"/>
        <item x="196"/>
        <item x="57"/>
        <item x="84"/>
        <item x="138"/>
        <item x="265"/>
        <item x="126"/>
        <item x="219"/>
        <item x="114"/>
        <item x="168"/>
        <item x="284"/>
        <item x="181"/>
        <item x="302"/>
        <item x="119"/>
        <item x="92"/>
        <item x="210"/>
        <item x="38"/>
        <item x="76"/>
        <item x="175"/>
        <item x="37"/>
        <item x="155"/>
        <item x="273"/>
        <item x="160"/>
        <item x="174"/>
        <item x="217"/>
        <item x="206"/>
        <item x="113"/>
        <item x="195"/>
        <item x="188"/>
        <item x="94"/>
        <item x="249"/>
        <item x="204"/>
        <item x="185"/>
        <item x="166"/>
        <item x="222"/>
        <item x="141"/>
        <item x="10"/>
        <item x="6"/>
        <item x="130"/>
        <item x="308"/>
        <item x="315"/>
        <item x="19"/>
        <item x="304"/>
        <item x="29"/>
        <item x="52"/>
        <item x="164"/>
        <item x="271"/>
        <item x="264"/>
        <item x="25"/>
        <item x="213"/>
        <item x="149"/>
        <item x="156"/>
        <item x="23"/>
        <item x="111"/>
        <item x="221"/>
        <item x="22"/>
        <item x="134"/>
        <item x="295"/>
        <item x="3"/>
        <item x="297"/>
        <item x="159"/>
        <item x="24"/>
        <item x="190"/>
        <item x="220"/>
        <item x="162"/>
        <item x="260"/>
        <item x="147"/>
        <item x="123"/>
        <item x="36"/>
        <item x="15"/>
        <item x="268"/>
        <item x="47"/>
        <item x="232"/>
        <item x="231"/>
        <item x="274"/>
        <item x="207"/>
        <item x="73"/>
        <item x="243"/>
        <item x="58"/>
        <item x="30"/>
        <item x="148"/>
        <item x="292"/>
        <item x="209"/>
        <item x="70"/>
        <item x="280"/>
        <item x="7"/>
        <item x="198"/>
        <item x="287"/>
        <item x="109"/>
        <item x="238"/>
        <item x="262"/>
        <item x="62"/>
        <item x="28"/>
        <item x="77"/>
        <item x="200"/>
        <item x="182"/>
        <item x="167"/>
        <item x="199"/>
        <item x="128"/>
        <item x="142"/>
        <item x="145"/>
        <item x="13"/>
        <item x="279"/>
        <item x="229"/>
        <item x="247"/>
        <item x="314"/>
        <item x="99"/>
        <item x="270"/>
        <item x="202"/>
        <item x="56"/>
        <item x="102"/>
        <item x="48"/>
        <item x="140"/>
        <item x="63"/>
        <item x="46"/>
        <item x="18"/>
        <item x="105"/>
        <item x="103"/>
        <item x="258"/>
        <item x="86"/>
        <item x="32"/>
        <item x="98"/>
        <item x="50"/>
        <item x="115"/>
        <item x="90"/>
        <item x="116"/>
        <item x="82"/>
        <item x="9"/>
        <item x="307"/>
        <item x="312"/>
        <item x="21"/>
        <item x="79"/>
        <item x="226"/>
        <item x="193"/>
        <item x="74"/>
        <item x="91"/>
        <item x="177"/>
        <item x="228"/>
        <item x="216"/>
        <item x="11"/>
        <item x="61"/>
        <item x="263"/>
        <item x="250"/>
        <item x="184"/>
        <item x="120"/>
        <item x="144"/>
        <item x="152"/>
        <item x="211"/>
        <item x="277"/>
        <item x="127"/>
        <item x="125"/>
        <item x="131"/>
        <item x="54"/>
        <item x="146"/>
        <item x="275"/>
        <item x="309"/>
        <item x="121"/>
        <item x="1"/>
        <item x="170"/>
        <item x="311"/>
        <item x="267"/>
        <item x="214"/>
        <item x="27"/>
        <item x="186"/>
        <item x="180"/>
        <item x="26"/>
        <item x="66"/>
        <item x="272"/>
        <item x="89"/>
        <item x="34"/>
        <item x="0"/>
        <item x="101"/>
        <item x="150"/>
        <item x="245"/>
        <item x="241"/>
        <item x="290"/>
        <item x="81"/>
        <item x="203"/>
        <item x="108"/>
        <item x="49"/>
        <item x="12"/>
        <item x="237"/>
        <item x="151"/>
        <item x="2"/>
        <item x="44"/>
        <item x="53"/>
        <item x="285"/>
        <item x="215"/>
        <item x="39"/>
        <item x="281"/>
        <item x="143"/>
        <item x="17"/>
        <item x="283"/>
        <item x="197"/>
        <item x="218"/>
        <item x="122"/>
        <item x="104"/>
        <item x="118"/>
        <item x="313"/>
        <item x="303"/>
        <item x="124"/>
        <item t="default"/>
      </items>
    </pivotField>
    <pivotField showAll="0">
      <items count="5">
        <item x="1"/>
        <item x="0"/>
        <item x="2"/>
        <item x="3"/>
        <item t="default"/>
      </items>
    </pivotField>
    <pivotField numFmtId="165" showAll="0"/>
    <pivotField showAll="0"/>
    <pivotField showAll="0">
      <items count="4">
        <item x="0"/>
        <item x="1"/>
        <item x="2"/>
        <item t="default"/>
      </items>
    </pivotField>
    <pivotField numFmtId="14" showAll="0"/>
    <pivotField numFmtId="1" showAll="0"/>
    <pivotField showAll="0"/>
    <pivotField showAll="0" defaultSubtotal="0"/>
    <pivotField showAll="0" defaultSubtotal="0">
      <items count="14">
        <item x="0"/>
        <item x="1"/>
        <item x="2"/>
        <item x="3"/>
        <item x="4"/>
        <item x="5"/>
        <item x="6"/>
        <item x="7"/>
        <item x="8"/>
        <item x="9"/>
        <item x="10"/>
        <item x="11"/>
        <item x="12"/>
        <item x="13"/>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DF9A08-B200-4470-BB6F-EB2EEF662ED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1:G6" firstHeaderRow="1" firstDataRow="1" firstDataCol="1"/>
  <pivotFields count="16">
    <pivotField dataField="1" showAll="0"/>
    <pivotField showAll="0"/>
    <pivotField showAll="0">
      <items count="6">
        <item x="0"/>
        <item x="4"/>
        <item x="2"/>
        <item x="3"/>
        <item x="1"/>
        <item t="default"/>
      </items>
    </pivotField>
    <pivotField showAll="0">
      <items count="3">
        <item x="0"/>
        <item x="1"/>
        <item t="default"/>
      </items>
    </pivotField>
    <pivotField showAll="0"/>
    <pivotField showAll="0">
      <items count="7">
        <item x="2"/>
        <item x="0"/>
        <item x="4"/>
        <item x="3"/>
        <item x="1"/>
        <item x="5"/>
        <item t="default"/>
      </items>
    </pivotField>
    <pivotField numFmtId="14" showAll="0">
      <items count="317">
        <item x="16"/>
        <item x="187"/>
        <item x="163"/>
        <item x="14"/>
        <item x="194"/>
        <item x="183"/>
        <item x="88"/>
        <item x="254"/>
        <item x="294"/>
        <item x="173"/>
        <item x="223"/>
        <item x="251"/>
        <item x="246"/>
        <item x="252"/>
        <item x="85"/>
        <item x="96"/>
        <item x="8"/>
        <item x="69"/>
        <item x="227"/>
        <item x="242"/>
        <item x="51"/>
        <item x="132"/>
        <item x="20"/>
        <item x="157"/>
        <item x="4"/>
        <item x="78"/>
        <item x="41"/>
        <item x="178"/>
        <item x="97"/>
        <item x="305"/>
        <item x="72"/>
        <item x="35"/>
        <item x="208"/>
        <item x="133"/>
        <item x="165"/>
        <item x="282"/>
        <item x="179"/>
        <item x="64"/>
        <item x="110"/>
        <item x="269"/>
        <item x="310"/>
        <item x="107"/>
        <item x="95"/>
        <item x="59"/>
        <item x="224"/>
        <item x="112"/>
        <item x="261"/>
        <item x="235"/>
        <item x="191"/>
        <item x="233"/>
        <item x="244"/>
        <item x="257"/>
        <item x="205"/>
        <item x="253"/>
        <item x="240"/>
        <item x="259"/>
        <item x="248"/>
        <item x="83"/>
        <item x="137"/>
        <item x="135"/>
        <item x="33"/>
        <item x="106"/>
        <item x="60"/>
        <item x="239"/>
        <item x="291"/>
        <item x="230"/>
        <item x="298"/>
        <item x="176"/>
        <item x="65"/>
        <item x="117"/>
        <item x="299"/>
        <item x="42"/>
        <item x="234"/>
        <item x="45"/>
        <item x="55"/>
        <item x="201"/>
        <item x="172"/>
        <item x="75"/>
        <item x="293"/>
        <item x="40"/>
        <item x="300"/>
        <item x="169"/>
        <item x="100"/>
        <item x="31"/>
        <item x="139"/>
        <item x="212"/>
        <item x="93"/>
        <item x="296"/>
        <item x="68"/>
        <item x="276"/>
        <item x="306"/>
        <item x="288"/>
        <item x="67"/>
        <item x="236"/>
        <item x="158"/>
        <item x="171"/>
        <item x="278"/>
        <item x="255"/>
        <item x="192"/>
        <item x="43"/>
        <item x="5"/>
        <item x="136"/>
        <item x="71"/>
        <item x="266"/>
        <item x="129"/>
        <item x="286"/>
        <item x="153"/>
        <item x="225"/>
        <item x="161"/>
        <item x="289"/>
        <item x="87"/>
        <item x="80"/>
        <item x="189"/>
        <item x="301"/>
        <item x="154"/>
        <item x="256"/>
        <item x="196"/>
        <item x="57"/>
        <item x="84"/>
        <item x="138"/>
        <item x="265"/>
        <item x="126"/>
        <item x="219"/>
        <item x="114"/>
        <item x="168"/>
        <item x="284"/>
        <item x="181"/>
        <item x="302"/>
        <item x="119"/>
        <item x="92"/>
        <item x="210"/>
        <item x="38"/>
        <item x="76"/>
        <item x="175"/>
        <item x="37"/>
        <item x="155"/>
        <item x="273"/>
        <item x="160"/>
        <item x="174"/>
        <item x="217"/>
        <item x="206"/>
        <item x="113"/>
        <item x="195"/>
        <item x="188"/>
        <item x="94"/>
        <item x="249"/>
        <item x="204"/>
        <item x="185"/>
        <item x="166"/>
        <item x="222"/>
        <item x="141"/>
        <item x="10"/>
        <item x="6"/>
        <item x="130"/>
        <item x="308"/>
        <item x="315"/>
        <item x="19"/>
        <item x="304"/>
        <item x="29"/>
        <item x="52"/>
        <item x="164"/>
        <item x="271"/>
        <item x="264"/>
        <item x="25"/>
        <item x="213"/>
        <item x="149"/>
        <item x="156"/>
        <item x="23"/>
        <item x="111"/>
        <item x="221"/>
        <item x="22"/>
        <item x="134"/>
        <item x="295"/>
        <item x="3"/>
        <item x="297"/>
        <item x="159"/>
        <item x="24"/>
        <item x="190"/>
        <item x="220"/>
        <item x="162"/>
        <item x="260"/>
        <item x="147"/>
        <item x="123"/>
        <item x="36"/>
        <item x="15"/>
        <item x="268"/>
        <item x="47"/>
        <item x="232"/>
        <item x="231"/>
        <item x="274"/>
        <item x="207"/>
        <item x="73"/>
        <item x="243"/>
        <item x="58"/>
        <item x="30"/>
        <item x="148"/>
        <item x="292"/>
        <item x="209"/>
        <item x="70"/>
        <item x="280"/>
        <item x="7"/>
        <item x="198"/>
        <item x="287"/>
        <item x="109"/>
        <item x="238"/>
        <item x="262"/>
        <item x="62"/>
        <item x="28"/>
        <item x="77"/>
        <item x="200"/>
        <item x="182"/>
        <item x="167"/>
        <item x="199"/>
        <item x="128"/>
        <item x="142"/>
        <item x="145"/>
        <item x="13"/>
        <item x="279"/>
        <item x="229"/>
        <item x="247"/>
        <item x="314"/>
        <item x="99"/>
        <item x="270"/>
        <item x="202"/>
        <item x="56"/>
        <item x="102"/>
        <item x="48"/>
        <item x="140"/>
        <item x="63"/>
        <item x="46"/>
        <item x="18"/>
        <item x="105"/>
        <item x="103"/>
        <item x="258"/>
        <item x="86"/>
        <item x="32"/>
        <item x="98"/>
        <item x="50"/>
        <item x="115"/>
        <item x="90"/>
        <item x="116"/>
        <item x="82"/>
        <item x="9"/>
        <item x="307"/>
        <item x="312"/>
        <item x="21"/>
        <item x="79"/>
        <item x="226"/>
        <item x="193"/>
        <item x="74"/>
        <item x="91"/>
        <item x="177"/>
        <item x="228"/>
        <item x="216"/>
        <item x="11"/>
        <item x="61"/>
        <item x="263"/>
        <item x="250"/>
        <item x="184"/>
        <item x="120"/>
        <item x="144"/>
        <item x="152"/>
        <item x="211"/>
        <item x="277"/>
        <item x="127"/>
        <item x="125"/>
        <item x="131"/>
        <item x="54"/>
        <item x="146"/>
        <item x="275"/>
        <item x="309"/>
        <item x="121"/>
        <item x="1"/>
        <item x="170"/>
        <item x="311"/>
        <item x="267"/>
        <item x="214"/>
        <item x="27"/>
        <item x="186"/>
        <item x="180"/>
        <item x="26"/>
        <item x="66"/>
        <item x="272"/>
        <item x="89"/>
        <item x="34"/>
        <item x="0"/>
        <item x="101"/>
        <item x="150"/>
        <item x="245"/>
        <item x="241"/>
        <item x="290"/>
        <item x="81"/>
        <item x="203"/>
        <item x="108"/>
        <item x="49"/>
        <item x="12"/>
        <item x="237"/>
        <item x="151"/>
        <item x="2"/>
        <item x="44"/>
        <item x="53"/>
        <item x="285"/>
        <item x="215"/>
        <item x="39"/>
        <item x="281"/>
        <item x="143"/>
        <item x="17"/>
        <item x="283"/>
        <item x="197"/>
        <item x="218"/>
        <item x="122"/>
        <item x="104"/>
        <item x="118"/>
        <item x="313"/>
        <item x="303"/>
        <item x="124"/>
        <item t="default"/>
      </items>
    </pivotField>
    <pivotField axis="axisRow" showAll="0">
      <items count="5">
        <item x="1"/>
        <item x="0"/>
        <item x="2"/>
        <item x="3"/>
        <item t="default"/>
      </items>
    </pivotField>
    <pivotField numFmtId="165" showAll="0"/>
    <pivotField showAll="0"/>
    <pivotField showAll="0">
      <items count="4">
        <item x="0"/>
        <item x="1"/>
        <item x="2"/>
        <item t="default"/>
      </items>
    </pivotField>
    <pivotField numFmtId="14" showAll="0"/>
    <pivotField numFmtI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5">
    <i>
      <x/>
    </i>
    <i>
      <x v="1"/>
    </i>
    <i>
      <x v="2"/>
    </i>
    <i>
      <x v="3"/>
    </i>
    <i t="grand">
      <x/>
    </i>
  </rowItems>
  <colItems count="1">
    <i/>
  </colItems>
  <dataFields count="1">
    <dataField name="Count of Customer"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7302B2-2B77-4F27-943C-FD80111F4092}"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C23:D27" firstHeaderRow="1" firstDataRow="1" firstDataCol="1"/>
  <pivotFields count="16">
    <pivotField dataField="1" showAll="0"/>
    <pivotField showAll="0"/>
    <pivotField showAll="0">
      <items count="6">
        <item x="0"/>
        <item x="4"/>
        <item x="2"/>
        <item x="3"/>
        <item x="1"/>
        <item t="default"/>
      </items>
    </pivotField>
    <pivotField showAll="0">
      <items count="3">
        <item x="0"/>
        <item x="1"/>
        <item t="default"/>
      </items>
    </pivotField>
    <pivotField showAll="0"/>
    <pivotField showAll="0">
      <items count="7">
        <item x="2"/>
        <item x="0"/>
        <item x="4"/>
        <item x="3"/>
        <item x="1"/>
        <item x="5"/>
        <item t="default"/>
      </items>
    </pivotField>
    <pivotField numFmtId="14" showAll="0">
      <items count="317">
        <item x="16"/>
        <item x="187"/>
        <item x="163"/>
        <item x="14"/>
        <item x="194"/>
        <item x="183"/>
        <item x="88"/>
        <item x="254"/>
        <item x="294"/>
        <item x="173"/>
        <item x="223"/>
        <item x="251"/>
        <item x="246"/>
        <item x="252"/>
        <item x="85"/>
        <item x="96"/>
        <item x="8"/>
        <item x="69"/>
        <item x="227"/>
        <item x="242"/>
        <item x="51"/>
        <item x="132"/>
        <item x="20"/>
        <item x="157"/>
        <item x="4"/>
        <item x="78"/>
        <item x="41"/>
        <item x="178"/>
        <item x="97"/>
        <item x="305"/>
        <item x="72"/>
        <item x="35"/>
        <item x="208"/>
        <item x="133"/>
        <item x="165"/>
        <item x="282"/>
        <item x="179"/>
        <item x="64"/>
        <item x="110"/>
        <item x="269"/>
        <item x="310"/>
        <item x="107"/>
        <item x="95"/>
        <item x="59"/>
        <item x="224"/>
        <item x="112"/>
        <item x="261"/>
        <item x="235"/>
        <item x="191"/>
        <item x="233"/>
        <item x="244"/>
        <item x="257"/>
        <item x="205"/>
        <item x="253"/>
        <item x="240"/>
        <item x="259"/>
        <item x="248"/>
        <item x="83"/>
        <item x="137"/>
        <item x="135"/>
        <item x="33"/>
        <item x="106"/>
        <item x="60"/>
        <item x="239"/>
        <item x="291"/>
        <item x="230"/>
        <item x="298"/>
        <item x="176"/>
        <item x="65"/>
        <item x="117"/>
        <item x="299"/>
        <item x="42"/>
        <item x="234"/>
        <item x="45"/>
        <item x="55"/>
        <item x="201"/>
        <item x="172"/>
        <item x="75"/>
        <item x="293"/>
        <item x="40"/>
        <item x="300"/>
        <item x="169"/>
        <item x="100"/>
        <item x="31"/>
        <item x="139"/>
        <item x="212"/>
        <item x="93"/>
        <item x="296"/>
        <item x="68"/>
        <item x="276"/>
        <item x="306"/>
        <item x="288"/>
        <item x="67"/>
        <item x="236"/>
        <item x="158"/>
        <item x="171"/>
        <item x="278"/>
        <item x="255"/>
        <item x="192"/>
        <item x="43"/>
        <item x="5"/>
        <item x="136"/>
        <item x="71"/>
        <item x="266"/>
        <item x="129"/>
        <item x="286"/>
        <item x="153"/>
        <item x="225"/>
        <item x="161"/>
        <item x="289"/>
        <item x="87"/>
        <item x="80"/>
        <item x="189"/>
        <item x="301"/>
        <item x="154"/>
        <item x="256"/>
        <item x="196"/>
        <item x="57"/>
        <item x="84"/>
        <item x="138"/>
        <item x="265"/>
        <item x="126"/>
        <item x="219"/>
        <item x="114"/>
        <item x="168"/>
        <item x="284"/>
        <item x="181"/>
        <item x="302"/>
        <item x="119"/>
        <item x="92"/>
        <item x="210"/>
        <item x="38"/>
        <item x="76"/>
        <item x="175"/>
        <item x="37"/>
        <item x="155"/>
        <item x="273"/>
        <item x="160"/>
        <item x="174"/>
        <item x="217"/>
        <item x="206"/>
        <item x="113"/>
        <item x="195"/>
        <item x="188"/>
        <item x="94"/>
        <item x="249"/>
        <item x="204"/>
        <item x="185"/>
        <item x="166"/>
        <item x="222"/>
        <item x="141"/>
        <item x="10"/>
        <item x="6"/>
        <item x="130"/>
        <item x="308"/>
        <item x="315"/>
        <item x="19"/>
        <item x="304"/>
        <item x="29"/>
        <item x="52"/>
        <item x="164"/>
        <item x="271"/>
        <item x="264"/>
        <item x="25"/>
        <item x="213"/>
        <item x="149"/>
        <item x="156"/>
        <item x="23"/>
        <item x="111"/>
        <item x="221"/>
        <item x="22"/>
        <item x="134"/>
        <item x="295"/>
        <item x="3"/>
        <item x="297"/>
        <item x="159"/>
        <item x="24"/>
        <item x="190"/>
        <item x="220"/>
        <item x="162"/>
        <item x="260"/>
        <item x="147"/>
        <item x="123"/>
        <item x="36"/>
        <item x="15"/>
        <item x="268"/>
        <item x="47"/>
        <item x="232"/>
        <item x="231"/>
        <item x="274"/>
        <item x="207"/>
        <item x="73"/>
        <item x="243"/>
        <item x="58"/>
        <item x="30"/>
        <item x="148"/>
        <item x="292"/>
        <item x="209"/>
        <item x="70"/>
        <item x="280"/>
        <item x="7"/>
        <item x="198"/>
        <item x="287"/>
        <item x="109"/>
        <item x="238"/>
        <item x="262"/>
        <item x="62"/>
        <item x="28"/>
        <item x="77"/>
        <item x="200"/>
        <item x="182"/>
        <item x="167"/>
        <item x="199"/>
        <item x="128"/>
        <item x="142"/>
        <item x="145"/>
        <item x="13"/>
        <item x="279"/>
        <item x="229"/>
        <item x="247"/>
        <item x="314"/>
        <item x="99"/>
        <item x="270"/>
        <item x="202"/>
        <item x="56"/>
        <item x="102"/>
        <item x="48"/>
        <item x="140"/>
        <item x="63"/>
        <item x="46"/>
        <item x="18"/>
        <item x="105"/>
        <item x="103"/>
        <item x="258"/>
        <item x="86"/>
        <item x="32"/>
        <item x="98"/>
        <item x="50"/>
        <item x="115"/>
        <item x="90"/>
        <item x="116"/>
        <item x="82"/>
        <item x="9"/>
        <item x="307"/>
        <item x="312"/>
        <item x="21"/>
        <item x="79"/>
        <item x="226"/>
        <item x="193"/>
        <item x="74"/>
        <item x="91"/>
        <item x="177"/>
        <item x="228"/>
        <item x="216"/>
        <item x="11"/>
        <item x="61"/>
        <item x="263"/>
        <item x="250"/>
        <item x="184"/>
        <item x="120"/>
        <item x="144"/>
        <item x="152"/>
        <item x="211"/>
        <item x="277"/>
        <item x="127"/>
        <item x="125"/>
        <item x="131"/>
        <item x="54"/>
        <item x="146"/>
        <item x="275"/>
        <item x="309"/>
        <item x="121"/>
        <item x="1"/>
        <item x="170"/>
        <item x="311"/>
        <item x="267"/>
        <item x="214"/>
        <item x="27"/>
        <item x="186"/>
        <item x="180"/>
        <item x="26"/>
        <item x="66"/>
        <item x="272"/>
        <item x="89"/>
        <item x="34"/>
        <item x="0"/>
        <item x="101"/>
        <item x="150"/>
        <item x="245"/>
        <item x="241"/>
        <item x="290"/>
        <item x="81"/>
        <item x="203"/>
        <item x="108"/>
        <item x="49"/>
        <item x="12"/>
        <item x="237"/>
        <item x="151"/>
        <item x="2"/>
        <item x="44"/>
        <item x="53"/>
        <item x="285"/>
        <item x="215"/>
        <item x="39"/>
        <item x="281"/>
        <item x="143"/>
        <item x="17"/>
        <item x="283"/>
        <item x="197"/>
        <item x="218"/>
        <item x="122"/>
        <item x="104"/>
        <item x="118"/>
        <item x="313"/>
        <item x="303"/>
        <item x="124"/>
        <item t="default"/>
      </items>
    </pivotField>
    <pivotField showAll="0">
      <items count="5">
        <item x="1"/>
        <item x="0"/>
        <item x="2"/>
        <item x="3"/>
        <item t="default"/>
      </items>
    </pivotField>
    <pivotField numFmtId="165"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numFmtId="14" showAll="0"/>
    <pivotField numFmtI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0"/>
  </rowFields>
  <rowItems count="4">
    <i>
      <x/>
    </i>
    <i>
      <x v="1"/>
    </i>
    <i>
      <x v="2"/>
    </i>
    <i t="grand">
      <x/>
    </i>
  </rowItems>
  <colItems count="1">
    <i/>
  </colItems>
  <dataFields count="1">
    <dataField name="Count of Customer"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4F6722-29DD-4B07-82F8-7C2405217D3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Medical Condition">
  <location ref="C1:D8" firstHeaderRow="1" firstDataRow="1" firstDataCol="1"/>
  <pivotFields count="16">
    <pivotField dataField="1" showAll="0"/>
    <pivotField showAll="0"/>
    <pivotField showAll="0">
      <items count="6">
        <item x="0"/>
        <item x="4"/>
        <item x="2"/>
        <item x="3"/>
        <item x="1"/>
        <item t="default"/>
      </items>
    </pivotField>
    <pivotField showAll="0">
      <items count="3">
        <item x="0"/>
        <item x="1"/>
        <item t="default"/>
      </items>
    </pivotField>
    <pivotField showAll="0"/>
    <pivotField axis="axisRow" showAll="0" sortType="descending">
      <items count="7">
        <item x="2"/>
        <item x="0"/>
        <item x="4"/>
        <item x="3"/>
        <item x="1"/>
        <item x="5"/>
        <item t="default"/>
      </items>
      <autoSortScope>
        <pivotArea dataOnly="0" outline="0" fieldPosition="0">
          <references count="1">
            <reference field="4294967294" count="1" selected="0">
              <x v="0"/>
            </reference>
          </references>
        </pivotArea>
      </autoSortScope>
    </pivotField>
    <pivotField numFmtId="14" showAll="0">
      <items count="317">
        <item x="16"/>
        <item x="187"/>
        <item x="163"/>
        <item x="14"/>
        <item x="194"/>
        <item x="183"/>
        <item x="88"/>
        <item x="254"/>
        <item x="294"/>
        <item x="173"/>
        <item x="223"/>
        <item x="251"/>
        <item x="246"/>
        <item x="252"/>
        <item x="85"/>
        <item x="96"/>
        <item x="8"/>
        <item x="69"/>
        <item x="227"/>
        <item x="242"/>
        <item x="51"/>
        <item x="132"/>
        <item x="20"/>
        <item x="157"/>
        <item x="4"/>
        <item x="78"/>
        <item x="41"/>
        <item x="178"/>
        <item x="97"/>
        <item x="305"/>
        <item x="72"/>
        <item x="35"/>
        <item x="208"/>
        <item x="133"/>
        <item x="165"/>
        <item x="282"/>
        <item x="179"/>
        <item x="64"/>
        <item x="110"/>
        <item x="269"/>
        <item x="310"/>
        <item x="107"/>
        <item x="95"/>
        <item x="59"/>
        <item x="224"/>
        <item x="112"/>
        <item x="261"/>
        <item x="235"/>
        <item x="191"/>
        <item x="233"/>
        <item x="244"/>
        <item x="257"/>
        <item x="205"/>
        <item x="253"/>
        <item x="240"/>
        <item x="259"/>
        <item x="248"/>
        <item x="83"/>
        <item x="137"/>
        <item x="135"/>
        <item x="33"/>
        <item x="106"/>
        <item x="60"/>
        <item x="239"/>
        <item x="291"/>
        <item x="230"/>
        <item x="298"/>
        <item x="176"/>
        <item x="65"/>
        <item x="117"/>
        <item x="299"/>
        <item x="42"/>
        <item x="234"/>
        <item x="45"/>
        <item x="55"/>
        <item x="201"/>
        <item x="172"/>
        <item x="75"/>
        <item x="293"/>
        <item x="40"/>
        <item x="300"/>
        <item x="169"/>
        <item x="100"/>
        <item x="31"/>
        <item x="139"/>
        <item x="212"/>
        <item x="93"/>
        <item x="296"/>
        <item x="68"/>
        <item x="276"/>
        <item x="306"/>
        <item x="288"/>
        <item x="67"/>
        <item x="236"/>
        <item x="158"/>
        <item x="171"/>
        <item x="278"/>
        <item x="255"/>
        <item x="192"/>
        <item x="43"/>
        <item x="5"/>
        <item x="136"/>
        <item x="71"/>
        <item x="266"/>
        <item x="129"/>
        <item x="286"/>
        <item x="153"/>
        <item x="225"/>
        <item x="161"/>
        <item x="289"/>
        <item x="87"/>
        <item x="80"/>
        <item x="189"/>
        <item x="301"/>
        <item x="154"/>
        <item x="256"/>
        <item x="196"/>
        <item x="57"/>
        <item x="84"/>
        <item x="138"/>
        <item x="265"/>
        <item x="126"/>
        <item x="219"/>
        <item x="114"/>
        <item x="168"/>
        <item x="284"/>
        <item x="181"/>
        <item x="302"/>
        <item x="119"/>
        <item x="92"/>
        <item x="210"/>
        <item x="38"/>
        <item x="76"/>
        <item x="175"/>
        <item x="37"/>
        <item x="155"/>
        <item x="273"/>
        <item x="160"/>
        <item x="174"/>
        <item x="217"/>
        <item x="206"/>
        <item x="113"/>
        <item x="195"/>
        <item x="188"/>
        <item x="94"/>
        <item x="249"/>
        <item x="204"/>
        <item x="185"/>
        <item x="166"/>
        <item x="222"/>
        <item x="141"/>
        <item x="10"/>
        <item x="6"/>
        <item x="130"/>
        <item x="308"/>
        <item x="315"/>
        <item x="19"/>
        <item x="304"/>
        <item x="29"/>
        <item x="52"/>
        <item x="164"/>
        <item x="271"/>
        <item x="264"/>
        <item x="25"/>
        <item x="213"/>
        <item x="149"/>
        <item x="156"/>
        <item x="23"/>
        <item x="111"/>
        <item x="221"/>
        <item x="22"/>
        <item x="134"/>
        <item x="295"/>
        <item x="3"/>
        <item x="297"/>
        <item x="159"/>
        <item x="24"/>
        <item x="190"/>
        <item x="220"/>
        <item x="162"/>
        <item x="260"/>
        <item x="147"/>
        <item x="123"/>
        <item x="36"/>
        <item x="15"/>
        <item x="268"/>
        <item x="47"/>
        <item x="232"/>
        <item x="231"/>
        <item x="274"/>
        <item x="207"/>
        <item x="73"/>
        <item x="243"/>
        <item x="58"/>
        <item x="30"/>
        <item x="148"/>
        <item x="292"/>
        <item x="209"/>
        <item x="70"/>
        <item x="280"/>
        <item x="7"/>
        <item x="198"/>
        <item x="287"/>
        <item x="109"/>
        <item x="238"/>
        <item x="262"/>
        <item x="62"/>
        <item x="28"/>
        <item x="77"/>
        <item x="200"/>
        <item x="182"/>
        <item x="167"/>
        <item x="199"/>
        <item x="128"/>
        <item x="142"/>
        <item x="145"/>
        <item x="13"/>
        <item x="279"/>
        <item x="229"/>
        <item x="247"/>
        <item x="314"/>
        <item x="99"/>
        <item x="270"/>
        <item x="202"/>
        <item x="56"/>
        <item x="102"/>
        <item x="48"/>
        <item x="140"/>
        <item x="63"/>
        <item x="46"/>
        <item x="18"/>
        <item x="105"/>
        <item x="103"/>
        <item x="258"/>
        <item x="86"/>
        <item x="32"/>
        <item x="98"/>
        <item x="50"/>
        <item x="115"/>
        <item x="90"/>
        <item x="116"/>
        <item x="82"/>
        <item x="9"/>
        <item x="307"/>
        <item x="312"/>
        <item x="21"/>
        <item x="79"/>
        <item x="226"/>
        <item x="193"/>
        <item x="74"/>
        <item x="91"/>
        <item x="177"/>
        <item x="228"/>
        <item x="216"/>
        <item x="11"/>
        <item x="61"/>
        <item x="263"/>
        <item x="250"/>
        <item x="184"/>
        <item x="120"/>
        <item x="144"/>
        <item x="152"/>
        <item x="211"/>
        <item x="277"/>
        <item x="127"/>
        <item x="125"/>
        <item x="131"/>
        <item x="54"/>
        <item x="146"/>
        <item x="275"/>
        <item x="309"/>
        <item x="121"/>
        <item x="1"/>
        <item x="170"/>
        <item x="311"/>
        <item x="267"/>
        <item x="214"/>
        <item x="27"/>
        <item x="186"/>
        <item x="180"/>
        <item x="26"/>
        <item x="66"/>
        <item x="272"/>
        <item x="89"/>
        <item x="34"/>
        <item x="0"/>
        <item x="101"/>
        <item x="150"/>
        <item x="245"/>
        <item x="241"/>
        <item x="290"/>
        <item x="81"/>
        <item x="203"/>
        <item x="108"/>
        <item x="49"/>
        <item x="12"/>
        <item x="237"/>
        <item x="151"/>
        <item x="2"/>
        <item x="44"/>
        <item x="53"/>
        <item x="285"/>
        <item x="215"/>
        <item x="39"/>
        <item x="281"/>
        <item x="143"/>
        <item x="17"/>
        <item x="283"/>
        <item x="197"/>
        <item x="218"/>
        <item x="122"/>
        <item x="104"/>
        <item x="118"/>
        <item x="313"/>
        <item x="303"/>
        <item x="124"/>
        <item t="default"/>
      </items>
    </pivotField>
    <pivotField showAll="0">
      <items count="5">
        <item x="1"/>
        <item x="0"/>
        <item x="2"/>
        <item x="3"/>
        <item t="default"/>
      </items>
    </pivotField>
    <pivotField numFmtId="165" showAll="0"/>
    <pivotField showAll="0"/>
    <pivotField showAll="0">
      <items count="4">
        <item x="0"/>
        <item x="1"/>
        <item x="2"/>
        <item t="default"/>
      </items>
    </pivotField>
    <pivotField numFmtId="14" showAll="0"/>
    <pivotField numFmtI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7">
    <i>
      <x v="2"/>
    </i>
    <i>
      <x/>
    </i>
    <i>
      <x v="1"/>
    </i>
    <i>
      <x v="5"/>
    </i>
    <i>
      <x v="4"/>
    </i>
    <i>
      <x v="3"/>
    </i>
    <i t="grand">
      <x/>
    </i>
  </rowItems>
  <colItems count="1">
    <i/>
  </colItems>
  <dataFields count="1">
    <dataField name="Count of Customer"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D958FD2-5548-40EE-897A-8F896A6EC65C}"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19:G32" firstHeaderRow="1" firstDataRow="1" firstDataCol="1"/>
  <pivotFields count="16">
    <pivotField showAll="0"/>
    <pivotField showAll="0"/>
    <pivotField showAll="0">
      <items count="6">
        <item x="0"/>
        <item x="4"/>
        <item x="2"/>
        <item x="3"/>
        <item x="1"/>
        <item t="default"/>
      </items>
    </pivotField>
    <pivotField showAll="0">
      <items count="3">
        <item x="0"/>
        <item x="1"/>
        <item t="default"/>
      </items>
    </pivotField>
    <pivotField showAll="0"/>
    <pivotField showAll="0">
      <items count="7">
        <item x="2"/>
        <item x="0"/>
        <item x="4"/>
        <item x="3"/>
        <item x="1"/>
        <item x="5"/>
        <item t="default"/>
      </items>
    </pivotField>
    <pivotField numFmtId="14" showAll="0">
      <items count="317">
        <item x="16"/>
        <item x="187"/>
        <item x="163"/>
        <item x="14"/>
        <item x="194"/>
        <item x="183"/>
        <item x="88"/>
        <item x="254"/>
        <item x="294"/>
        <item x="173"/>
        <item x="223"/>
        <item x="251"/>
        <item x="246"/>
        <item x="252"/>
        <item x="85"/>
        <item x="96"/>
        <item x="8"/>
        <item x="69"/>
        <item x="227"/>
        <item x="242"/>
        <item x="51"/>
        <item x="132"/>
        <item x="20"/>
        <item x="157"/>
        <item x="4"/>
        <item x="78"/>
        <item x="41"/>
        <item x="178"/>
        <item x="97"/>
        <item x="305"/>
        <item x="72"/>
        <item x="35"/>
        <item x="208"/>
        <item x="133"/>
        <item x="165"/>
        <item x="282"/>
        <item x="179"/>
        <item x="64"/>
        <item x="110"/>
        <item x="269"/>
        <item x="310"/>
        <item x="107"/>
        <item x="95"/>
        <item x="59"/>
        <item x="224"/>
        <item x="112"/>
        <item x="261"/>
        <item x="235"/>
        <item x="191"/>
        <item x="233"/>
        <item x="244"/>
        <item x="257"/>
        <item x="205"/>
        <item x="253"/>
        <item x="240"/>
        <item x="259"/>
        <item x="248"/>
        <item x="83"/>
        <item x="137"/>
        <item x="135"/>
        <item x="33"/>
        <item x="106"/>
        <item x="60"/>
        <item x="239"/>
        <item x="291"/>
        <item x="230"/>
        <item x="298"/>
        <item x="176"/>
        <item x="65"/>
        <item x="117"/>
        <item x="299"/>
        <item x="42"/>
        <item x="234"/>
        <item x="45"/>
        <item x="55"/>
        <item x="201"/>
        <item x="172"/>
        <item x="75"/>
        <item x="293"/>
        <item x="40"/>
        <item x="300"/>
        <item x="169"/>
        <item x="100"/>
        <item x="31"/>
        <item x="139"/>
        <item x="212"/>
        <item x="93"/>
        <item x="296"/>
        <item x="68"/>
        <item x="276"/>
        <item x="306"/>
        <item x="288"/>
        <item x="67"/>
        <item x="236"/>
        <item x="158"/>
        <item x="171"/>
        <item x="278"/>
        <item x="255"/>
        <item x="192"/>
        <item x="43"/>
        <item x="5"/>
        <item x="136"/>
        <item x="71"/>
        <item x="266"/>
        <item x="129"/>
        <item x="286"/>
        <item x="153"/>
        <item x="225"/>
        <item x="161"/>
        <item x="289"/>
        <item x="87"/>
        <item x="80"/>
        <item x="189"/>
        <item x="301"/>
        <item x="154"/>
        <item x="256"/>
        <item x="196"/>
        <item x="57"/>
        <item x="84"/>
        <item x="138"/>
        <item x="265"/>
        <item x="126"/>
        <item x="219"/>
        <item x="114"/>
        <item x="168"/>
        <item x="284"/>
        <item x="181"/>
        <item x="302"/>
        <item x="119"/>
        <item x="92"/>
        <item x="210"/>
        <item x="38"/>
        <item x="76"/>
        <item x="175"/>
        <item x="37"/>
        <item x="155"/>
        <item x="273"/>
        <item x="160"/>
        <item x="174"/>
        <item x="217"/>
        <item x="206"/>
        <item x="113"/>
        <item x="195"/>
        <item x="188"/>
        <item x="94"/>
        <item x="249"/>
        <item x="204"/>
        <item x="185"/>
        <item x="166"/>
        <item x="222"/>
        <item x="141"/>
        <item x="10"/>
        <item x="6"/>
        <item x="130"/>
        <item x="308"/>
        <item x="315"/>
        <item x="19"/>
        <item x="304"/>
        <item x="29"/>
        <item x="52"/>
        <item x="164"/>
        <item x="271"/>
        <item x="264"/>
        <item x="25"/>
        <item x="213"/>
        <item x="149"/>
        <item x="156"/>
        <item x="23"/>
        <item x="111"/>
        <item x="221"/>
        <item x="22"/>
        <item x="134"/>
        <item x="295"/>
        <item x="3"/>
        <item x="297"/>
        <item x="159"/>
        <item x="24"/>
        <item x="190"/>
        <item x="220"/>
        <item x="162"/>
        <item x="260"/>
        <item x="147"/>
        <item x="123"/>
        <item x="36"/>
        <item x="15"/>
        <item x="268"/>
        <item x="47"/>
        <item x="232"/>
        <item x="231"/>
        <item x="274"/>
        <item x="207"/>
        <item x="73"/>
        <item x="243"/>
        <item x="58"/>
        <item x="30"/>
        <item x="148"/>
        <item x="292"/>
        <item x="209"/>
        <item x="70"/>
        <item x="280"/>
        <item x="7"/>
        <item x="198"/>
        <item x="287"/>
        <item x="109"/>
        <item x="238"/>
        <item x="262"/>
        <item x="62"/>
        <item x="28"/>
        <item x="77"/>
        <item x="200"/>
        <item x="182"/>
        <item x="167"/>
        <item x="199"/>
        <item x="128"/>
        <item x="142"/>
        <item x="145"/>
        <item x="13"/>
        <item x="279"/>
        <item x="229"/>
        <item x="247"/>
        <item x="314"/>
        <item x="99"/>
        <item x="270"/>
        <item x="202"/>
        <item x="56"/>
        <item x="102"/>
        <item x="48"/>
        <item x="140"/>
        <item x="63"/>
        <item x="46"/>
        <item x="18"/>
        <item x="105"/>
        <item x="103"/>
        <item x="258"/>
        <item x="86"/>
        <item x="32"/>
        <item x="98"/>
        <item x="50"/>
        <item x="115"/>
        <item x="90"/>
        <item x="116"/>
        <item x="82"/>
        <item x="9"/>
        <item x="307"/>
        <item x="312"/>
        <item x="21"/>
        <item x="79"/>
        <item x="226"/>
        <item x="193"/>
        <item x="74"/>
        <item x="91"/>
        <item x="177"/>
        <item x="228"/>
        <item x="216"/>
        <item x="11"/>
        <item x="61"/>
        <item x="263"/>
        <item x="250"/>
        <item x="184"/>
        <item x="120"/>
        <item x="144"/>
        <item x="152"/>
        <item x="211"/>
        <item x="277"/>
        <item x="127"/>
        <item x="125"/>
        <item x="131"/>
        <item x="54"/>
        <item x="146"/>
        <item x="275"/>
        <item x="309"/>
        <item x="121"/>
        <item x="1"/>
        <item x="170"/>
        <item x="311"/>
        <item x="267"/>
        <item x="214"/>
        <item x="27"/>
        <item x="186"/>
        <item x="180"/>
        <item x="26"/>
        <item x="66"/>
        <item x="272"/>
        <item x="89"/>
        <item x="34"/>
        <item x="0"/>
        <item x="101"/>
        <item x="150"/>
        <item x="245"/>
        <item x="241"/>
        <item x="290"/>
        <item x="81"/>
        <item x="203"/>
        <item x="108"/>
        <item x="49"/>
        <item x="12"/>
        <item x="237"/>
        <item x="151"/>
        <item x="2"/>
        <item x="44"/>
        <item x="53"/>
        <item x="285"/>
        <item x="215"/>
        <item x="39"/>
        <item x="281"/>
        <item x="143"/>
        <item x="17"/>
        <item x="283"/>
        <item x="197"/>
        <item x="218"/>
        <item x="122"/>
        <item x="104"/>
        <item x="118"/>
        <item x="313"/>
        <item x="303"/>
        <item x="124"/>
        <item t="default"/>
      </items>
    </pivotField>
    <pivotField showAll="0">
      <items count="5">
        <item x="1"/>
        <item x="0"/>
        <item x="2"/>
        <item x="3"/>
        <item t="default"/>
      </items>
    </pivotField>
    <pivotField dataField="1" numFmtId="165" showAll="0"/>
    <pivotField showAll="0"/>
    <pivotField showAll="0">
      <items count="4">
        <item x="0"/>
        <item x="1"/>
        <item x="2"/>
        <item t="default"/>
      </items>
    </pivotField>
    <pivotField numFmtId="14" showAll="0"/>
    <pivotField numFmtId="1" showAll="0"/>
    <pivotField showAll="0"/>
    <pivotField showAll="0" defaultSubtotal="0"/>
    <pivotField axis="axisRow" showAll="0" defaultSubtotal="0">
      <items count="14">
        <item x="0"/>
        <item x="1"/>
        <item x="2"/>
        <item x="3"/>
        <item x="4"/>
        <item x="5"/>
        <item x="6"/>
        <item x="7"/>
        <item x="8"/>
        <item x="9"/>
        <item x="10"/>
        <item x="11"/>
        <item x="12"/>
        <item x="13"/>
      </items>
    </pivotField>
  </pivotFields>
  <rowFields count="1">
    <field x="15"/>
  </rowFields>
  <rowItems count="13">
    <i>
      <x v="1"/>
    </i>
    <i>
      <x v="2"/>
    </i>
    <i>
      <x v="3"/>
    </i>
    <i>
      <x v="4"/>
    </i>
    <i>
      <x v="5"/>
    </i>
    <i>
      <x v="6"/>
    </i>
    <i>
      <x v="7"/>
    </i>
    <i>
      <x v="8"/>
    </i>
    <i>
      <x v="9"/>
    </i>
    <i>
      <x v="10"/>
    </i>
    <i>
      <x v="11"/>
    </i>
    <i>
      <x v="12"/>
    </i>
    <i t="grand">
      <x/>
    </i>
  </rowItems>
  <colItems count="1">
    <i/>
  </colItems>
  <dataFields count="1">
    <dataField name="Sum of Billing Amount" fld="8" baseField="0" baseItem="0" numFmtId="165"/>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1D7ABBC-AAD7-4AA6-97D0-70D0A06E5E71}" name="PivotTable1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0:B36" firstHeaderRow="1" firstDataRow="1" firstDataCol="1"/>
  <pivotFields count="16">
    <pivotField dataField="1" showAll="0"/>
    <pivotField showAll="0"/>
    <pivotField showAll="0">
      <items count="6">
        <item x="0"/>
        <item x="4"/>
        <item x="2"/>
        <item x="3"/>
        <item x="1"/>
        <item t="default"/>
      </items>
    </pivotField>
    <pivotField showAll="0">
      <items count="3">
        <item x="0"/>
        <item x="1"/>
        <item t="default"/>
      </items>
    </pivotField>
    <pivotField showAll="0"/>
    <pivotField showAll="0">
      <items count="7">
        <item x="2"/>
        <item x="0"/>
        <item x="4"/>
        <item x="3"/>
        <item x="1"/>
        <item x="5"/>
        <item t="default"/>
      </items>
    </pivotField>
    <pivotField numFmtId="14" showAll="0">
      <items count="317">
        <item x="16"/>
        <item x="187"/>
        <item x="163"/>
        <item x="14"/>
        <item x="194"/>
        <item x="183"/>
        <item x="88"/>
        <item x="254"/>
        <item x="294"/>
        <item x="173"/>
        <item x="223"/>
        <item x="251"/>
        <item x="246"/>
        <item x="252"/>
        <item x="85"/>
        <item x="96"/>
        <item x="8"/>
        <item x="69"/>
        <item x="227"/>
        <item x="242"/>
        <item x="51"/>
        <item x="132"/>
        <item x="20"/>
        <item x="157"/>
        <item x="4"/>
        <item x="78"/>
        <item x="41"/>
        <item x="178"/>
        <item x="97"/>
        <item x="305"/>
        <item x="72"/>
        <item x="35"/>
        <item x="208"/>
        <item x="133"/>
        <item x="165"/>
        <item x="282"/>
        <item x="179"/>
        <item x="64"/>
        <item x="110"/>
        <item x="269"/>
        <item x="310"/>
        <item x="107"/>
        <item x="95"/>
        <item x="59"/>
        <item x="224"/>
        <item x="112"/>
        <item x="261"/>
        <item x="235"/>
        <item x="191"/>
        <item x="233"/>
        <item x="244"/>
        <item x="257"/>
        <item x="205"/>
        <item x="253"/>
        <item x="240"/>
        <item x="259"/>
        <item x="248"/>
        <item x="83"/>
        <item x="137"/>
        <item x="135"/>
        <item x="33"/>
        <item x="106"/>
        <item x="60"/>
        <item x="239"/>
        <item x="291"/>
        <item x="230"/>
        <item x="298"/>
        <item x="176"/>
        <item x="65"/>
        <item x="117"/>
        <item x="299"/>
        <item x="42"/>
        <item x="234"/>
        <item x="45"/>
        <item x="55"/>
        <item x="201"/>
        <item x="172"/>
        <item x="75"/>
        <item x="293"/>
        <item x="40"/>
        <item x="300"/>
        <item x="169"/>
        <item x="100"/>
        <item x="31"/>
        <item x="139"/>
        <item x="212"/>
        <item x="93"/>
        <item x="296"/>
        <item x="68"/>
        <item x="276"/>
        <item x="306"/>
        <item x="288"/>
        <item x="67"/>
        <item x="236"/>
        <item x="158"/>
        <item x="171"/>
        <item x="278"/>
        <item x="255"/>
        <item x="192"/>
        <item x="43"/>
        <item x="5"/>
        <item x="136"/>
        <item x="71"/>
        <item x="266"/>
        <item x="129"/>
        <item x="286"/>
        <item x="153"/>
        <item x="225"/>
        <item x="161"/>
        <item x="289"/>
        <item x="87"/>
        <item x="80"/>
        <item x="189"/>
        <item x="301"/>
        <item x="154"/>
        <item x="256"/>
        <item x="196"/>
        <item x="57"/>
        <item x="84"/>
        <item x="138"/>
        <item x="265"/>
        <item x="126"/>
        <item x="219"/>
        <item x="114"/>
        <item x="168"/>
        <item x="284"/>
        <item x="181"/>
        <item x="302"/>
        <item x="119"/>
        <item x="92"/>
        <item x="210"/>
        <item x="38"/>
        <item x="76"/>
        <item x="175"/>
        <item x="37"/>
        <item x="155"/>
        <item x="273"/>
        <item x="160"/>
        <item x="174"/>
        <item x="217"/>
        <item x="206"/>
        <item x="113"/>
        <item x="195"/>
        <item x="188"/>
        <item x="94"/>
        <item x="249"/>
        <item x="204"/>
        <item x="185"/>
        <item x="166"/>
        <item x="222"/>
        <item x="141"/>
        <item x="10"/>
        <item x="6"/>
        <item x="130"/>
        <item x="308"/>
        <item x="315"/>
        <item x="19"/>
        <item x="304"/>
        <item x="29"/>
        <item x="52"/>
        <item x="164"/>
        <item x="271"/>
        <item x="264"/>
        <item x="25"/>
        <item x="213"/>
        <item x="149"/>
        <item x="156"/>
        <item x="23"/>
        <item x="111"/>
        <item x="221"/>
        <item x="22"/>
        <item x="134"/>
        <item x="295"/>
        <item x="3"/>
        <item x="297"/>
        <item x="159"/>
        <item x="24"/>
        <item x="190"/>
        <item x="220"/>
        <item x="162"/>
        <item x="260"/>
        <item x="147"/>
        <item x="123"/>
        <item x="36"/>
        <item x="15"/>
        <item x="268"/>
        <item x="47"/>
        <item x="232"/>
        <item x="231"/>
        <item x="274"/>
        <item x="207"/>
        <item x="73"/>
        <item x="243"/>
        <item x="58"/>
        <item x="30"/>
        <item x="148"/>
        <item x="292"/>
        <item x="209"/>
        <item x="70"/>
        <item x="280"/>
        <item x="7"/>
        <item x="198"/>
        <item x="287"/>
        <item x="109"/>
        <item x="238"/>
        <item x="262"/>
        <item x="62"/>
        <item x="28"/>
        <item x="77"/>
        <item x="200"/>
        <item x="182"/>
        <item x="167"/>
        <item x="199"/>
        <item x="128"/>
        <item x="142"/>
        <item x="145"/>
        <item x="13"/>
        <item x="279"/>
        <item x="229"/>
        <item x="247"/>
        <item x="314"/>
        <item x="99"/>
        <item x="270"/>
        <item x="202"/>
        <item x="56"/>
        <item x="102"/>
        <item x="48"/>
        <item x="140"/>
        <item x="63"/>
        <item x="46"/>
        <item x="18"/>
        <item x="105"/>
        <item x="103"/>
        <item x="258"/>
        <item x="86"/>
        <item x="32"/>
        <item x="98"/>
        <item x="50"/>
        <item x="115"/>
        <item x="90"/>
        <item x="116"/>
        <item x="82"/>
        <item x="9"/>
        <item x="307"/>
        <item x="312"/>
        <item x="21"/>
        <item x="79"/>
        <item x="226"/>
        <item x="193"/>
        <item x="74"/>
        <item x="91"/>
        <item x="177"/>
        <item x="228"/>
        <item x="216"/>
        <item x="11"/>
        <item x="61"/>
        <item x="263"/>
        <item x="250"/>
        <item x="184"/>
        <item x="120"/>
        <item x="144"/>
        <item x="152"/>
        <item x="211"/>
        <item x="277"/>
        <item x="127"/>
        <item x="125"/>
        <item x="131"/>
        <item x="54"/>
        <item x="146"/>
        <item x="275"/>
        <item x="309"/>
        <item x="121"/>
        <item x="1"/>
        <item x="170"/>
        <item x="311"/>
        <item x="267"/>
        <item x="214"/>
        <item x="27"/>
        <item x="186"/>
        <item x="180"/>
        <item x="26"/>
        <item x="66"/>
        <item x="272"/>
        <item x="89"/>
        <item x="34"/>
        <item x="0"/>
        <item x="101"/>
        <item x="150"/>
        <item x="245"/>
        <item x="241"/>
        <item x="290"/>
        <item x="81"/>
        <item x="203"/>
        <item x="108"/>
        <item x="49"/>
        <item x="12"/>
        <item x="237"/>
        <item x="151"/>
        <item x="2"/>
        <item x="44"/>
        <item x="53"/>
        <item x="285"/>
        <item x="215"/>
        <item x="39"/>
        <item x="281"/>
        <item x="143"/>
        <item x="17"/>
        <item x="283"/>
        <item x="197"/>
        <item x="218"/>
        <item x="122"/>
        <item x="104"/>
        <item x="118"/>
        <item x="313"/>
        <item x="303"/>
        <item x="124"/>
        <item t="default"/>
      </items>
    </pivotField>
    <pivotField showAll="0">
      <items count="5">
        <item x="1"/>
        <item x="0"/>
        <item x="2"/>
        <item x="3"/>
        <item t="default"/>
      </items>
    </pivotField>
    <pivotField numFmtId="165" showAll="0"/>
    <pivotField showAll="0"/>
    <pivotField showAll="0">
      <items count="4">
        <item x="0"/>
        <item x="1"/>
        <item x="2"/>
        <item t="default"/>
      </items>
    </pivotField>
    <pivotField numFmtId="14" showAll="0"/>
    <pivotField numFmtId="1" showAll="0"/>
    <pivotField axis="axisRow" showAll="0" sortType="descending">
      <items count="6">
        <item x="0"/>
        <item x="4"/>
        <item x="3"/>
        <item x="1"/>
        <item x="2"/>
        <item t="default"/>
      </items>
      <autoSortScope>
        <pivotArea dataOnly="0" outline="0" fieldPosition="0">
          <references count="1">
            <reference field="4294967294" count="1" selected="0">
              <x v="0"/>
            </reference>
          </references>
        </pivotArea>
      </autoSortScope>
    </pivotField>
    <pivotField showAll="0" defaultSubtotal="0"/>
    <pivotField showAll="0" defaultSubtotal="0">
      <items count="14">
        <item x="0"/>
        <item x="1"/>
        <item x="2"/>
        <item x="3"/>
        <item x="4"/>
        <item x="5"/>
        <item x="6"/>
        <item x="7"/>
        <item x="8"/>
        <item x="9"/>
        <item x="10"/>
        <item x="11"/>
        <item x="12"/>
        <item x="13"/>
      </items>
    </pivotField>
  </pivotFields>
  <rowFields count="1">
    <field x="13"/>
  </rowFields>
  <rowItems count="6">
    <i>
      <x v="1"/>
    </i>
    <i>
      <x v="2"/>
    </i>
    <i>
      <x v="4"/>
    </i>
    <i>
      <x v="3"/>
    </i>
    <i>
      <x/>
    </i>
    <i t="grand">
      <x/>
    </i>
  </rowItems>
  <colItems count="1">
    <i/>
  </colItems>
  <dataFields count="1">
    <dataField name="Count of Custom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24BA038-4CF6-4D74-B29B-F5B2454C8801}" name="PivotTable1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8:B27" firstHeaderRow="1" firstDataRow="1" firstDataCol="1"/>
  <pivotFields count="16">
    <pivotField dataField="1" showAll="0"/>
    <pivotField showAll="0"/>
    <pivotField showAll="0">
      <items count="6">
        <item x="0"/>
        <item x="4"/>
        <item x="2"/>
        <item x="3"/>
        <item x="1"/>
        <item t="default"/>
      </items>
    </pivotField>
    <pivotField showAll="0">
      <items count="3">
        <item x="0"/>
        <item x="1"/>
        <item t="default"/>
      </items>
    </pivotField>
    <pivotField axis="axisRow" showAll="0" sortType="descending">
      <items count="9">
        <item x="0"/>
        <item x="4"/>
        <item x="6"/>
        <item x="1"/>
        <item x="2"/>
        <item x="7"/>
        <item x="5"/>
        <item x="3"/>
        <item t="default"/>
      </items>
      <autoSortScope>
        <pivotArea dataOnly="0" outline="0" fieldPosition="0">
          <references count="1">
            <reference field="4294967294" count="1" selected="0">
              <x v="0"/>
            </reference>
          </references>
        </pivotArea>
      </autoSortScope>
    </pivotField>
    <pivotField showAll="0">
      <items count="7">
        <item x="2"/>
        <item x="0"/>
        <item x="4"/>
        <item x="3"/>
        <item x="1"/>
        <item x="5"/>
        <item t="default"/>
      </items>
    </pivotField>
    <pivotField numFmtId="14" showAll="0">
      <items count="317">
        <item x="16"/>
        <item x="187"/>
        <item x="163"/>
        <item x="14"/>
        <item x="194"/>
        <item x="183"/>
        <item x="88"/>
        <item x="254"/>
        <item x="294"/>
        <item x="173"/>
        <item x="223"/>
        <item x="251"/>
        <item x="246"/>
        <item x="252"/>
        <item x="85"/>
        <item x="96"/>
        <item x="8"/>
        <item x="69"/>
        <item x="227"/>
        <item x="242"/>
        <item x="51"/>
        <item x="132"/>
        <item x="20"/>
        <item x="157"/>
        <item x="4"/>
        <item x="78"/>
        <item x="41"/>
        <item x="178"/>
        <item x="97"/>
        <item x="305"/>
        <item x="72"/>
        <item x="35"/>
        <item x="208"/>
        <item x="133"/>
        <item x="165"/>
        <item x="282"/>
        <item x="179"/>
        <item x="64"/>
        <item x="110"/>
        <item x="269"/>
        <item x="310"/>
        <item x="107"/>
        <item x="95"/>
        <item x="59"/>
        <item x="224"/>
        <item x="112"/>
        <item x="261"/>
        <item x="235"/>
        <item x="191"/>
        <item x="233"/>
        <item x="244"/>
        <item x="257"/>
        <item x="205"/>
        <item x="253"/>
        <item x="240"/>
        <item x="259"/>
        <item x="248"/>
        <item x="83"/>
        <item x="137"/>
        <item x="135"/>
        <item x="33"/>
        <item x="106"/>
        <item x="60"/>
        <item x="239"/>
        <item x="291"/>
        <item x="230"/>
        <item x="298"/>
        <item x="176"/>
        <item x="65"/>
        <item x="117"/>
        <item x="299"/>
        <item x="42"/>
        <item x="234"/>
        <item x="45"/>
        <item x="55"/>
        <item x="201"/>
        <item x="172"/>
        <item x="75"/>
        <item x="293"/>
        <item x="40"/>
        <item x="300"/>
        <item x="169"/>
        <item x="100"/>
        <item x="31"/>
        <item x="139"/>
        <item x="212"/>
        <item x="93"/>
        <item x="296"/>
        <item x="68"/>
        <item x="276"/>
        <item x="306"/>
        <item x="288"/>
        <item x="67"/>
        <item x="236"/>
        <item x="158"/>
        <item x="171"/>
        <item x="278"/>
        <item x="255"/>
        <item x="192"/>
        <item x="43"/>
        <item x="5"/>
        <item x="136"/>
        <item x="71"/>
        <item x="266"/>
        <item x="129"/>
        <item x="286"/>
        <item x="153"/>
        <item x="225"/>
        <item x="161"/>
        <item x="289"/>
        <item x="87"/>
        <item x="80"/>
        <item x="189"/>
        <item x="301"/>
        <item x="154"/>
        <item x="256"/>
        <item x="196"/>
        <item x="57"/>
        <item x="84"/>
        <item x="138"/>
        <item x="265"/>
        <item x="126"/>
        <item x="219"/>
        <item x="114"/>
        <item x="168"/>
        <item x="284"/>
        <item x="181"/>
        <item x="302"/>
        <item x="119"/>
        <item x="92"/>
        <item x="210"/>
        <item x="38"/>
        <item x="76"/>
        <item x="175"/>
        <item x="37"/>
        <item x="155"/>
        <item x="273"/>
        <item x="160"/>
        <item x="174"/>
        <item x="217"/>
        <item x="206"/>
        <item x="113"/>
        <item x="195"/>
        <item x="188"/>
        <item x="94"/>
        <item x="249"/>
        <item x="204"/>
        <item x="185"/>
        <item x="166"/>
        <item x="222"/>
        <item x="141"/>
        <item x="10"/>
        <item x="6"/>
        <item x="130"/>
        <item x="308"/>
        <item x="315"/>
        <item x="19"/>
        <item x="304"/>
        <item x="29"/>
        <item x="52"/>
        <item x="164"/>
        <item x="271"/>
        <item x="264"/>
        <item x="25"/>
        <item x="213"/>
        <item x="149"/>
        <item x="156"/>
        <item x="23"/>
        <item x="111"/>
        <item x="221"/>
        <item x="22"/>
        <item x="134"/>
        <item x="295"/>
        <item x="3"/>
        <item x="297"/>
        <item x="159"/>
        <item x="24"/>
        <item x="190"/>
        <item x="220"/>
        <item x="162"/>
        <item x="260"/>
        <item x="147"/>
        <item x="123"/>
        <item x="36"/>
        <item x="15"/>
        <item x="268"/>
        <item x="47"/>
        <item x="232"/>
        <item x="231"/>
        <item x="274"/>
        <item x="207"/>
        <item x="73"/>
        <item x="243"/>
        <item x="58"/>
        <item x="30"/>
        <item x="148"/>
        <item x="292"/>
        <item x="209"/>
        <item x="70"/>
        <item x="280"/>
        <item x="7"/>
        <item x="198"/>
        <item x="287"/>
        <item x="109"/>
        <item x="238"/>
        <item x="262"/>
        <item x="62"/>
        <item x="28"/>
        <item x="77"/>
        <item x="200"/>
        <item x="182"/>
        <item x="167"/>
        <item x="199"/>
        <item x="128"/>
        <item x="142"/>
        <item x="145"/>
        <item x="13"/>
        <item x="279"/>
        <item x="229"/>
        <item x="247"/>
        <item x="314"/>
        <item x="99"/>
        <item x="270"/>
        <item x="202"/>
        <item x="56"/>
        <item x="102"/>
        <item x="48"/>
        <item x="140"/>
        <item x="63"/>
        <item x="46"/>
        <item x="18"/>
        <item x="105"/>
        <item x="103"/>
        <item x="258"/>
        <item x="86"/>
        <item x="32"/>
        <item x="98"/>
        <item x="50"/>
        <item x="115"/>
        <item x="90"/>
        <item x="116"/>
        <item x="82"/>
        <item x="9"/>
        <item x="307"/>
        <item x="312"/>
        <item x="21"/>
        <item x="79"/>
        <item x="226"/>
        <item x="193"/>
        <item x="74"/>
        <item x="91"/>
        <item x="177"/>
        <item x="228"/>
        <item x="216"/>
        <item x="11"/>
        <item x="61"/>
        <item x="263"/>
        <item x="250"/>
        <item x="184"/>
        <item x="120"/>
        <item x="144"/>
        <item x="152"/>
        <item x="211"/>
        <item x="277"/>
        <item x="127"/>
        <item x="125"/>
        <item x="131"/>
        <item x="54"/>
        <item x="146"/>
        <item x="275"/>
        <item x="309"/>
        <item x="121"/>
        <item x="1"/>
        <item x="170"/>
        <item x="311"/>
        <item x="267"/>
        <item x="214"/>
        <item x="27"/>
        <item x="186"/>
        <item x="180"/>
        <item x="26"/>
        <item x="66"/>
        <item x="272"/>
        <item x="89"/>
        <item x="34"/>
        <item x="0"/>
        <item x="101"/>
        <item x="150"/>
        <item x="245"/>
        <item x="241"/>
        <item x="290"/>
        <item x="81"/>
        <item x="203"/>
        <item x="108"/>
        <item x="49"/>
        <item x="12"/>
        <item x="237"/>
        <item x="151"/>
        <item x="2"/>
        <item x="44"/>
        <item x="53"/>
        <item x="285"/>
        <item x="215"/>
        <item x="39"/>
        <item x="281"/>
        <item x="143"/>
        <item x="17"/>
        <item x="283"/>
        <item x="197"/>
        <item x="218"/>
        <item x="122"/>
        <item x="104"/>
        <item x="118"/>
        <item x="313"/>
        <item x="303"/>
        <item x="124"/>
        <item t="default"/>
      </items>
    </pivotField>
    <pivotField showAll="0">
      <items count="5">
        <item x="1"/>
        <item x="0"/>
        <item x="2"/>
        <item x="3"/>
        <item t="default"/>
      </items>
    </pivotField>
    <pivotField numFmtId="165" showAll="0"/>
    <pivotField showAll="0"/>
    <pivotField showAll="0">
      <items count="4">
        <item x="0"/>
        <item x="1"/>
        <item x="2"/>
        <item t="default"/>
      </items>
    </pivotField>
    <pivotField numFmtId="14" showAll="0"/>
    <pivotField numFmtI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9">
    <i>
      <x v="6"/>
    </i>
    <i>
      <x/>
    </i>
    <i>
      <x v="4"/>
    </i>
    <i>
      <x v="1"/>
    </i>
    <i>
      <x v="5"/>
    </i>
    <i>
      <x v="7"/>
    </i>
    <i>
      <x v="3"/>
    </i>
    <i>
      <x v="2"/>
    </i>
    <i t="grand">
      <x/>
    </i>
  </rowItems>
  <colItems count="1">
    <i/>
  </colItems>
  <dataFields count="1">
    <dataField name="Count of Custom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2841B91-682D-43A6-98ED-FF000EDA193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16">
    <pivotField showAll="0"/>
    <pivotField showAll="0"/>
    <pivotField showAll="0">
      <items count="6">
        <item x="0"/>
        <item x="4"/>
        <item x="2"/>
        <item x="3"/>
        <item x="1"/>
        <item t="default"/>
      </items>
    </pivotField>
    <pivotField showAll="0">
      <items count="3">
        <item x="0"/>
        <item x="1"/>
        <item t="default"/>
      </items>
    </pivotField>
    <pivotField showAll="0"/>
    <pivotField showAll="0">
      <items count="7">
        <item x="2"/>
        <item x="0"/>
        <item x="4"/>
        <item x="3"/>
        <item x="1"/>
        <item x="5"/>
        <item t="default"/>
      </items>
    </pivotField>
    <pivotField numFmtId="14" showAll="0">
      <items count="317">
        <item x="16"/>
        <item x="187"/>
        <item x="163"/>
        <item x="14"/>
        <item x="194"/>
        <item x="183"/>
        <item x="88"/>
        <item x="254"/>
        <item x="294"/>
        <item x="173"/>
        <item x="223"/>
        <item x="251"/>
        <item x="246"/>
        <item x="252"/>
        <item x="85"/>
        <item x="96"/>
        <item x="8"/>
        <item x="69"/>
        <item x="227"/>
        <item x="242"/>
        <item x="51"/>
        <item x="132"/>
        <item x="20"/>
        <item x="157"/>
        <item x="4"/>
        <item x="78"/>
        <item x="41"/>
        <item x="178"/>
        <item x="97"/>
        <item x="305"/>
        <item x="72"/>
        <item x="35"/>
        <item x="208"/>
        <item x="133"/>
        <item x="165"/>
        <item x="282"/>
        <item x="179"/>
        <item x="64"/>
        <item x="110"/>
        <item x="269"/>
        <item x="310"/>
        <item x="107"/>
        <item x="95"/>
        <item x="59"/>
        <item x="224"/>
        <item x="112"/>
        <item x="261"/>
        <item x="235"/>
        <item x="191"/>
        <item x="233"/>
        <item x="244"/>
        <item x="257"/>
        <item x="205"/>
        <item x="253"/>
        <item x="240"/>
        <item x="259"/>
        <item x="248"/>
        <item x="83"/>
        <item x="137"/>
        <item x="135"/>
        <item x="33"/>
        <item x="106"/>
        <item x="60"/>
        <item x="239"/>
        <item x="291"/>
        <item x="230"/>
        <item x="298"/>
        <item x="176"/>
        <item x="65"/>
        <item x="117"/>
        <item x="299"/>
        <item x="42"/>
        <item x="234"/>
        <item x="45"/>
        <item x="55"/>
        <item x="201"/>
        <item x="172"/>
        <item x="75"/>
        <item x="293"/>
        <item x="40"/>
        <item x="300"/>
        <item x="169"/>
        <item x="100"/>
        <item x="31"/>
        <item x="139"/>
        <item x="212"/>
        <item x="93"/>
        <item x="296"/>
        <item x="68"/>
        <item x="276"/>
        <item x="306"/>
        <item x="288"/>
        <item x="67"/>
        <item x="236"/>
        <item x="158"/>
        <item x="171"/>
        <item x="278"/>
        <item x="255"/>
        <item x="192"/>
        <item x="43"/>
        <item x="5"/>
        <item x="136"/>
        <item x="71"/>
        <item x="266"/>
        <item x="129"/>
        <item x="286"/>
        <item x="153"/>
        <item x="225"/>
        <item x="161"/>
        <item x="289"/>
        <item x="87"/>
        <item x="80"/>
        <item x="189"/>
        <item x="301"/>
        <item x="154"/>
        <item x="256"/>
        <item x="196"/>
        <item x="57"/>
        <item x="84"/>
        <item x="138"/>
        <item x="265"/>
        <item x="126"/>
        <item x="219"/>
        <item x="114"/>
        <item x="168"/>
        <item x="284"/>
        <item x="181"/>
        <item x="302"/>
        <item x="119"/>
        <item x="92"/>
        <item x="210"/>
        <item x="38"/>
        <item x="76"/>
        <item x="175"/>
        <item x="37"/>
        <item x="155"/>
        <item x="273"/>
        <item x="160"/>
        <item x="174"/>
        <item x="217"/>
        <item x="206"/>
        <item x="113"/>
        <item x="195"/>
        <item x="188"/>
        <item x="94"/>
        <item x="249"/>
        <item x="204"/>
        <item x="185"/>
        <item x="166"/>
        <item x="222"/>
        <item x="141"/>
        <item x="10"/>
        <item x="6"/>
        <item x="130"/>
        <item x="308"/>
        <item x="315"/>
        <item x="19"/>
        <item x="304"/>
        <item x="29"/>
        <item x="52"/>
        <item x="164"/>
        <item x="271"/>
        <item x="264"/>
        <item x="25"/>
        <item x="213"/>
        <item x="149"/>
        <item x="156"/>
        <item x="23"/>
        <item x="111"/>
        <item x="221"/>
        <item x="22"/>
        <item x="134"/>
        <item x="295"/>
        <item x="3"/>
        <item x="297"/>
        <item x="159"/>
        <item x="24"/>
        <item x="190"/>
        <item x="220"/>
        <item x="162"/>
        <item x="260"/>
        <item x="147"/>
        <item x="123"/>
        <item x="36"/>
        <item x="15"/>
        <item x="268"/>
        <item x="47"/>
        <item x="232"/>
        <item x="231"/>
        <item x="274"/>
        <item x="207"/>
        <item x="73"/>
        <item x="243"/>
        <item x="58"/>
        <item x="30"/>
        <item x="148"/>
        <item x="292"/>
        <item x="209"/>
        <item x="70"/>
        <item x="280"/>
        <item x="7"/>
        <item x="198"/>
        <item x="287"/>
        <item x="109"/>
        <item x="238"/>
        <item x="262"/>
        <item x="62"/>
        <item x="28"/>
        <item x="77"/>
        <item x="200"/>
        <item x="182"/>
        <item x="167"/>
        <item x="199"/>
        <item x="128"/>
        <item x="142"/>
        <item x="145"/>
        <item x="13"/>
        <item x="279"/>
        <item x="229"/>
        <item x="247"/>
        <item x="314"/>
        <item x="99"/>
        <item x="270"/>
        <item x="202"/>
        <item x="56"/>
        <item x="102"/>
        <item x="48"/>
        <item x="140"/>
        <item x="63"/>
        <item x="46"/>
        <item x="18"/>
        <item x="105"/>
        <item x="103"/>
        <item x="258"/>
        <item x="86"/>
        <item x="32"/>
        <item x="98"/>
        <item x="50"/>
        <item x="115"/>
        <item x="90"/>
        <item x="116"/>
        <item x="82"/>
        <item x="9"/>
        <item x="307"/>
        <item x="312"/>
        <item x="21"/>
        <item x="79"/>
        <item x="226"/>
        <item x="193"/>
        <item x="74"/>
        <item x="91"/>
        <item x="177"/>
        <item x="228"/>
        <item x="216"/>
        <item x="11"/>
        <item x="61"/>
        <item x="263"/>
        <item x="250"/>
        <item x="184"/>
        <item x="120"/>
        <item x="144"/>
        <item x="152"/>
        <item x="211"/>
        <item x="277"/>
        <item x="127"/>
        <item x="125"/>
        <item x="131"/>
        <item x="54"/>
        <item x="146"/>
        <item x="275"/>
        <item x="309"/>
        <item x="121"/>
        <item x="1"/>
        <item x="170"/>
        <item x="311"/>
        <item x="267"/>
        <item x="214"/>
        <item x="27"/>
        <item x="186"/>
        <item x="180"/>
        <item x="26"/>
        <item x="66"/>
        <item x="272"/>
        <item x="89"/>
        <item x="34"/>
        <item x="0"/>
        <item x="101"/>
        <item x="150"/>
        <item x="245"/>
        <item x="241"/>
        <item x="290"/>
        <item x="81"/>
        <item x="203"/>
        <item x="108"/>
        <item x="49"/>
        <item x="12"/>
        <item x="237"/>
        <item x="151"/>
        <item x="2"/>
        <item x="44"/>
        <item x="53"/>
        <item x="285"/>
        <item x="215"/>
        <item x="39"/>
        <item x="281"/>
        <item x="143"/>
        <item x="17"/>
        <item x="283"/>
        <item x="197"/>
        <item x="218"/>
        <item x="122"/>
        <item x="104"/>
        <item x="118"/>
        <item x="313"/>
        <item x="303"/>
        <item x="124"/>
        <item t="default"/>
      </items>
    </pivotField>
    <pivotField showAll="0">
      <items count="5">
        <item x="1"/>
        <item x="0"/>
        <item x="2"/>
        <item x="3"/>
        <item t="default"/>
      </items>
    </pivotField>
    <pivotField numFmtId="165" showAll="0"/>
    <pivotField showAll="0"/>
    <pivotField showAll="0">
      <items count="4">
        <item x="0"/>
        <item x="1"/>
        <item x="2"/>
        <item t="default"/>
      </items>
    </pivotField>
    <pivotField numFmtId="14" showAll="0"/>
    <pivotField dataField="1" numFmtId="1"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erage Admission days" fld="12"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41101F3-FD48-419B-A6C7-52F499649A7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6:D21" firstHeaderRow="1" firstDataRow="1" firstDataCol="1"/>
  <pivotFields count="16">
    <pivotField showAll="0"/>
    <pivotField showAll="0"/>
    <pivotField showAll="0">
      <items count="6">
        <item x="0"/>
        <item x="4"/>
        <item x="2"/>
        <item x="3"/>
        <item x="1"/>
        <item t="default"/>
      </items>
    </pivotField>
    <pivotField showAll="0">
      <items count="3">
        <item x="0"/>
        <item x="1"/>
        <item t="default"/>
      </items>
    </pivotField>
    <pivotField showAll="0"/>
    <pivotField showAll="0">
      <items count="7">
        <item x="2"/>
        <item x="0"/>
        <item x="4"/>
        <item x="3"/>
        <item x="1"/>
        <item x="5"/>
        <item t="default"/>
      </items>
    </pivotField>
    <pivotField numFmtId="14" showAll="0">
      <items count="317">
        <item x="16"/>
        <item x="187"/>
        <item x="163"/>
        <item x="14"/>
        <item x="194"/>
        <item x="183"/>
        <item x="88"/>
        <item x="254"/>
        <item x="294"/>
        <item x="173"/>
        <item x="223"/>
        <item x="251"/>
        <item x="246"/>
        <item x="252"/>
        <item x="85"/>
        <item x="96"/>
        <item x="8"/>
        <item x="69"/>
        <item x="227"/>
        <item x="242"/>
        <item x="51"/>
        <item x="132"/>
        <item x="20"/>
        <item x="157"/>
        <item x="4"/>
        <item x="78"/>
        <item x="41"/>
        <item x="178"/>
        <item x="97"/>
        <item x="305"/>
        <item x="72"/>
        <item x="35"/>
        <item x="208"/>
        <item x="133"/>
        <item x="165"/>
        <item x="282"/>
        <item x="179"/>
        <item x="64"/>
        <item x="110"/>
        <item x="269"/>
        <item x="310"/>
        <item x="107"/>
        <item x="95"/>
        <item x="59"/>
        <item x="224"/>
        <item x="112"/>
        <item x="261"/>
        <item x="235"/>
        <item x="191"/>
        <item x="233"/>
        <item x="244"/>
        <item x="257"/>
        <item x="205"/>
        <item x="253"/>
        <item x="240"/>
        <item x="259"/>
        <item x="248"/>
        <item x="83"/>
        <item x="137"/>
        <item x="135"/>
        <item x="33"/>
        <item x="106"/>
        <item x="60"/>
        <item x="239"/>
        <item x="291"/>
        <item x="230"/>
        <item x="298"/>
        <item x="176"/>
        <item x="65"/>
        <item x="117"/>
        <item x="299"/>
        <item x="42"/>
        <item x="234"/>
        <item x="45"/>
        <item x="55"/>
        <item x="201"/>
        <item x="172"/>
        <item x="75"/>
        <item x="293"/>
        <item x="40"/>
        <item x="300"/>
        <item x="169"/>
        <item x="100"/>
        <item x="31"/>
        <item x="139"/>
        <item x="212"/>
        <item x="93"/>
        <item x="296"/>
        <item x="68"/>
        <item x="276"/>
        <item x="306"/>
        <item x="288"/>
        <item x="67"/>
        <item x="236"/>
        <item x="158"/>
        <item x="171"/>
        <item x="278"/>
        <item x="255"/>
        <item x="192"/>
        <item x="43"/>
        <item x="5"/>
        <item x="136"/>
        <item x="71"/>
        <item x="266"/>
        <item x="129"/>
        <item x="286"/>
        <item x="153"/>
        <item x="225"/>
        <item x="161"/>
        <item x="289"/>
        <item x="87"/>
        <item x="80"/>
        <item x="189"/>
        <item x="301"/>
        <item x="154"/>
        <item x="256"/>
        <item x="196"/>
        <item x="57"/>
        <item x="84"/>
        <item x="138"/>
        <item x="265"/>
        <item x="126"/>
        <item x="219"/>
        <item x="114"/>
        <item x="168"/>
        <item x="284"/>
        <item x="181"/>
        <item x="302"/>
        <item x="119"/>
        <item x="92"/>
        <item x="210"/>
        <item x="38"/>
        <item x="76"/>
        <item x="175"/>
        <item x="37"/>
        <item x="155"/>
        <item x="273"/>
        <item x="160"/>
        <item x="174"/>
        <item x="217"/>
        <item x="206"/>
        <item x="113"/>
        <item x="195"/>
        <item x="188"/>
        <item x="94"/>
        <item x="249"/>
        <item x="204"/>
        <item x="185"/>
        <item x="166"/>
        <item x="222"/>
        <item x="141"/>
        <item x="10"/>
        <item x="6"/>
        <item x="130"/>
        <item x="308"/>
        <item x="315"/>
        <item x="19"/>
        <item x="304"/>
        <item x="29"/>
        <item x="52"/>
        <item x="164"/>
        <item x="271"/>
        <item x="264"/>
        <item x="25"/>
        <item x="213"/>
        <item x="149"/>
        <item x="156"/>
        <item x="23"/>
        <item x="111"/>
        <item x="221"/>
        <item x="22"/>
        <item x="134"/>
        <item x="295"/>
        <item x="3"/>
        <item x="297"/>
        <item x="159"/>
        <item x="24"/>
        <item x="190"/>
        <item x="220"/>
        <item x="162"/>
        <item x="260"/>
        <item x="147"/>
        <item x="123"/>
        <item x="36"/>
        <item x="15"/>
        <item x="268"/>
        <item x="47"/>
        <item x="232"/>
        <item x="231"/>
        <item x="274"/>
        <item x="207"/>
        <item x="73"/>
        <item x="243"/>
        <item x="58"/>
        <item x="30"/>
        <item x="148"/>
        <item x="292"/>
        <item x="209"/>
        <item x="70"/>
        <item x="280"/>
        <item x="7"/>
        <item x="198"/>
        <item x="287"/>
        <item x="109"/>
        <item x="238"/>
        <item x="262"/>
        <item x="62"/>
        <item x="28"/>
        <item x="77"/>
        <item x="200"/>
        <item x="182"/>
        <item x="167"/>
        <item x="199"/>
        <item x="128"/>
        <item x="142"/>
        <item x="145"/>
        <item x="13"/>
        <item x="279"/>
        <item x="229"/>
        <item x="247"/>
        <item x="314"/>
        <item x="99"/>
        <item x="270"/>
        <item x="202"/>
        <item x="56"/>
        <item x="102"/>
        <item x="48"/>
        <item x="140"/>
        <item x="63"/>
        <item x="46"/>
        <item x="18"/>
        <item x="105"/>
        <item x="103"/>
        <item x="258"/>
        <item x="86"/>
        <item x="32"/>
        <item x="98"/>
        <item x="50"/>
        <item x="115"/>
        <item x="90"/>
        <item x="116"/>
        <item x="82"/>
        <item x="9"/>
        <item x="307"/>
        <item x="312"/>
        <item x="21"/>
        <item x="79"/>
        <item x="226"/>
        <item x="193"/>
        <item x="74"/>
        <item x="91"/>
        <item x="177"/>
        <item x="228"/>
        <item x="216"/>
        <item x="11"/>
        <item x="61"/>
        <item x="263"/>
        <item x="250"/>
        <item x="184"/>
        <item x="120"/>
        <item x="144"/>
        <item x="152"/>
        <item x="211"/>
        <item x="277"/>
        <item x="127"/>
        <item x="125"/>
        <item x="131"/>
        <item x="54"/>
        <item x="146"/>
        <item x="275"/>
        <item x="309"/>
        <item x="121"/>
        <item x="1"/>
        <item x="170"/>
        <item x="311"/>
        <item x="267"/>
        <item x="214"/>
        <item x="27"/>
        <item x="186"/>
        <item x="180"/>
        <item x="26"/>
        <item x="66"/>
        <item x="272"/>
        <item x="89"/>
        <item x="34"/>
        <item x="0"/>
        <item x="101"/>
        <item x="150"/>
        <item x="245"/>
        <item x="241"/>
        <item x="290"/>
        <item x="81"/>
        <item x="203"/>
        <item x="108"/>
        <item x="49"/>
        <item x="12"/>
        <item x="237"/>
        <item x="151"/>
        <item x="2"/>
        <item x="44"/>
        <item x="53"/>
        <item x="285"/>
        <item x="215"/>
        <item x="39"/>
        <item x="281"/>
        <item x="143"/>
        <item x="17"/>
        <item x="283"/>
        <item x="197"/>
        <item x="218"/>
        <item x="122"/>
        <item x="104"/>
        <item x="118"/>
        <item x="313"/>
        <item x="303"/>
        <item x="124"/>
        <item t="default"/>
      </items>
    </pivotField>
    <pivotField axis="axisRow" showAll="0">
      <items count="5">
        <item x="1"/>
        <item x="0"/>
        <item x="2"/>
        <item x="3"/>
        <item t="default"/>
      </items>
    </pivotField>
    <pivotField dataField="1" numFmtId="165" showAll="0"/>
    <pivotField showAll="0"/>
    <pivotField showAll="0">
      <items count="4">
        <item x="0"/>
        <item x="1"/>
        <item x="2"/>
        <item t="default"/>
      </items>
    </pivotField>
    <pivotField numFmtId="14" showAll="0"/>
    <pivotField numFmtI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5">
    <i>
      <x/>
    </i>
    <i>
      <x v="1"/>
    </i>
    <i>
      <x v="2"/>
    </i>
    <i>
      <x v="3"/>
    </i>
    <i t="grand">
      <x/>
    </i>
  </rowItems>
  <colItems count="1">
    <i/>
  </colItems>
  <dataFields count="1">
    <dataField name="Sum of Billing Amount" fld="8"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955924B-5240-4003-B722-57E239D26837}" name="PivotTable1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4:A15" firstHeaderRow="1" firstDataRow="1" firstDataCol="0"/>
  <pivotFields count="16">
    <pivotField showAll="0"/>
    <pivotField showAll="0"/>
    <pivotField showAll="0">
      <items count="6">
        <item x="0"/>
        <item x="4"/>
        <item x="2"/>
        <item x="3"/>
        <item x="1"/>
        <item t="default"/>
      </items>
    </pivotField>
    <pivotField showAll="0">
      <items count="3">
        <item x="0"/>
        <item x="1"/>
        <item t="default"/>
      </items>
    </pivotField>
    <pivotField showAll="0"/>
    <pivotField showAll="0">
      <items count="7">
        <item x="2"/>
        <item x="0"/>
        <item x="4"/>
        <item x="3"/>
        <item x="1"/>
        <item x="5"/>
        <item t="default"/>
      </items>
    </pivotField>
    <pivotField numFmtId="14" showAll="0">
      <items count="317">
        <item x="16"/>
        <item x="187"/>
        <item x="163"/>
        <item x="14"/>
        <item x="194"/>
        <item x="183"/>
        <item x="88"/>
        <item x="254"/>
        <item x="294"/>
        <item x="173"/>
        <item x="223"/>
        <item x="251"/>
        <item x="246"/>
        <item x="252"/>
        <item x="85"/>
        <item x="96"/>
        <item x="8"/>
        <item x="69"/>
        <item x="227"/>
        <item x="242"/>
        <item x="51"/>
        <item x="132"/>
        <item x="20"/>
        <item x="157"/>
        <item x="4"/>
        <item x="78"/>
        <item x="41"/>
        <item x="178"/>
        <item x="97"/>
        <item x="305"/>
        <item x="72"/>
        <item x="35"/>
        <item x="208"/>
        <item x="133"/>
        <item x="165"/>
        <item x="282"/>
        <item x="179"/>
        <item x="64"/>
        <item x="110"/>
        <item x="269"/>
        <item x="310"/>
        <item x="107"/>
        <item x="95"/>
        <item x="59"/>
        <item x="224"/>
        <item x="112"/>
        <item x="261"/>
        <item x="235"/>
        <item x="191"/>
        <item x="233"/>
        <item x="244"/>
        <item x="257"/>
        <item x="205"/>
        <item x="253"/>
        <item x="240"/>
        <item x="259"/>
        <item x="248"/>
        <item x="83"/>
        <item x="137"/>
        <item x="135"/>
        <item x="33"/>
        <item x="106"/>
        <item x="60"/>
        <item x="239"/>
        <item x="291"/>
        <item x="230"/>
        <item x="298"/>
        <item x="176"/>
        <item x="65"/>
        <item x="117"/>
        <item x="299"/>
        <item x="42"/>
        <item x="234"/>
        <item x="45"/>
        <item x="55"/>
        <item x="201"/>
        <item x="172"/>
        <item x="75"/>
        <item x="293"/>
        <item x="40"/>
        <item x="300"/>
        <item x="169"/>
        <item x="100"/>
        <item x="31"/>
        <item x="139"/>
        <item x="212"/>
        <item x="93"/>
        <item x="296"/>
        <item x="68"/>
        <item x="276"/>
        <item x="306"/>
        <item x="288"/>
        <item x="67"/>
        <item x="236"/>
        <item x="158"/>
        <item x="171"/>
        <item x="278"/>
        <item x="255"/>
        <item x="192"/>
        <item x="43"/>
        <item x="5"/>
        <item x="136"/>
        <item x="71"/>
        <item x="266"/>
        <item x="129"/>
        <item x="286"/>
        <item x="153"/>
        <item x="225"/>
        <item x="161"/>
        <item x="289"/>
        <item x="87"/>
        <item x="80"/>
        <item x="189"/>
        <item x="301"/>
        <item x="154"/>
        <item x="256"/>
        <item x="196"/>
        <item x="57"/>
        <item x="84"/>
        <item x="138"/>
        <item x="265"/>
        <item x="126"/>
        <item x="219"/>
        <item x="114"/>
        <item x="168"/>
        <item x="284"/>
        <item x="181"/>
        <item x="302"/>
        <item x="119"/>
        <item x="92"/>
        <item x="210"/>
        <item x="38"/>
        <item x="76"/>
        <item x="175"/>
        <item x="37"/>
        <item x="155"/>
        <item x="273"/>
        <item x="160"/>
        <item x="174"/>
        <item x="217"/>
        <item x="206"/>
        <item x="113"/>
        <item x="195"/>
        <item x="188"/>
        <item x="94"/>
        <item x="249"/>
        <item x="204"/>
        <item x="185"/>
        <item x="166"/>
        <item x="222"/>
        <item x="141"/>
        <item x="10"/>
        <item x="6"/>
        <item x="130"/>
        <item x="308"/>
        <item x="315"/>
        <item x="19"/>
        <item x="304"/>
        <item x="29"/>
        <item x="52"/>
        <item x="164"/>
        <item x="271"/>
        <item x="264"/>
        <item x="25"/>
        <item x="213"/>
        <item x="149"/>
        <item x="156"/>
        <item x="23"/>
        <item x="111"/>
        <item x="221"/>
        <item x="22"/>
        <item x="134"/>
        <item x="295"/>
        <item x="3"/>
        <item x="297"/>
        <item x="159"/>
        <item x="24"/>
        <item x="190"/>
        <item x="220"/>
        <item x="162"/>
        <item x="260"/>
        <item x="147"/>
        <item x="123"/>
        <item x="36"/>
        <item x="15"/>
        <item x="268"/>
        <item x="47"/>
        <item x="232"/>
        <item x="231"/>
        <item x="274"/>
        <item x="207"/>
        <item x="73"/>
        <item x="243"/>
        <item x="58"/>
        <item x="30"/>
        <item x="148"/>
        <item x="292"/>
        <item x="209"/>
        <item x="70"/>
        <item x="280"/>
        <item x="7"/>
        <item x="198"/>
        <item x="287"/>
        <item x="109"/>
        <item x="238"/>
        <item x="262"/>
        <item x="62"/>
        <item x="28"/>
        <item x="77"/>
        <item x="200"/>
        <item x="182"/>
        <item x="167"/>
        <item x="199"/>
        <item x="128"/>
        <item x="142"/>
        <item x="145"/>
        <item x="13"/>
        <item x="279"/>
        <item x="229"/>
        <item x="247"/>
        <item x="314"/>
        <item x="99"/>
        <item x="270"/>
        <item x="202"/>
        <item x="56"/>
        <item x="102"/>
        <item x="48"/>
        <item x="140"/>
        <item x="63"/>
        <item x="46"/>
        <item x="18"/>
        <item x="105"/>
        <item x="103"/>
        <item x="258"/>
        <item x="86"/>
        <item x="32"/>
        <item x="98"/>
        <item x="50"/>
        <item x="115"/>
        <item x="90"/>
        <item x="116"/>
        <item x="82"/>
        <item x="9"/>
        <item x="307"/>
        <item x="312"/>
        <item x="21"/>
        <item x="79"/>
        <item x="226"/>
        <item x="193"/>
        <item x="74"/>
        <item x="91"/>
        <item x="177"/>
        <item x="228"/>
        <item x="216"/>
        <item x="11"/>
        <item x="61"/>
        <item x="263"/>
        <item x="250"/>
        <item x="184"/>
        <item x="120"/>
        <item x="144"/>
        <item x="152"/>
        <item x="211"/>
        <item x="277"/>
        <item x="127"/>
        <item x="125"/>
        <item x="131"/>
        <item x="54"/>
        <item x="146"/>
        <item x="275"/>
        <item x="309"/>
        <item x="121"/>
        <item x="1"/>
        <item x="170"/>
        <item x="311"/>
        <item x="267"/>
        <item x="214"/>
        <item x="27"/>
        <item x="186"/>
        <item x="180"/>
        <item x="26"/>
        <item x="66"/>
        <item x="272"/>
        <item x="89"/>
        <item x="34"/>
        <item x="0"/>
        <item x="101"/>
        <item x="150"/>
        <item x="245"/>
        <item x="241"/>
        <item x="290"/>
        <item x="81"/>
        <item x="203"/>
        <item x="108"/>
        <item x="49"/>
        <item x="12"/>
        <item x="237"/>
        <item x="151"/>
        <item x="2"/>
        <item x="44"/>
        <item x="53"/>
        <item x="285"/>
        <item x="215"/>
        <item x="39"/>
        <item x="281"/>
        <item x="143"/>
        <item x="17"/>
        <item x="283"/>
        <item x="197"/>
        <item x="218"/>
        <item x="122"/>
        <item x="104"/>
        <item x="118"/>
        <item x="313"/>
        <item x="303"/>
        <item x="124"/>
        <item t="default"/>
      </items>
    </pivotField>
    <pivotField showAll="0">
      <items count="5">
        <item x="1"/>
        <item x="0"/>
        <item x="2"/>
        <item x="3"/>
        <item t="default"/>
      </items>
    </pivotField>
    <pivotField dataField="1" numFmtId="165" showAll="0"/>
    <pivotField showAll="0"/>
    <pivotField showAll="0">
      <items count="4">
        <item x="0"/>
        <item x="1"/>
        <item x="2"/>
        <item t="default"/>
      </items>
    </pivotField>
    <pivotField numFmtId="14" showAll="0"/>
    <pivotField numFmtId="1"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erage of Billing Amount" fld="8"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1F804F7-E73C-4A5F-B35B-0F4C76C86DD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6">
    <pivotField showAll="0"/>
    <pivotField showAll="0"/>
    <pivotField showAll="0">
      <items count="6">
        <item x="0"/>
        <item x="4"/>
        <item x="2"/>
        <item x="3"/>
        <item x="1"/>
        <item t="default"/>
      </items>
    </pivotField>
    <pivotField showAll="0">
      <items count="3">
        <item x="0"/>
        <item x="1"/>
        <item t="default"/>
      </items>
    </pivotField>
    <pivotField showAll="0"/>
    <pivotField showAll="0">
      <items count="7">
        <item x="2"/>
        <item x="0"/>
        <item x="4"/>
        <item x="3"/>
        <item x="1"/>
        <item x="5"/>
        <item t="default"/>
      </items>
    </pivotField>
    <pivotField numFmtId="14" showAll="0">
      <items count="317">
        <item x="16"/>
        <item x="187"/>
        <item x="163"/>
        <item x="14"/>
        <item x="194"/>
        <item x="183"/>
        <item x="88"/>
        <item x="254"/>
        <item x="294"/>
        <item x="173"/>
        <item x="223"/>
        <item x="251"/>
        <item x="246"/>
        <item x="252"/>
        <item x="85"/>
        <item x="96"/>
        <item x="8"/>
        <item x="69"/>
        <item x="227"/>
        <item x="242"/>
        <item x="51"/>
        <item x="132"/>
        <item x="20"/>
        <item x="157"/>
        <item x="4"/>
        <item x="78"/>
        <item x="41"/>
        <item x="178"/>
        <item x="97"/>
        <item x="305"/>
        <item x="72"/>
        <item x="35"/>
        <item x="208"/>
        <item x="133"/>
        <item x="165"/>
        <item x="282"/>
        <item x="179"/>
        <item x="64"/>
        <item x="110"/>
        <item x="269"/>
        <item x="310"/>
        <item x="107"/>
        <item x="95"/>
        <item x="59"/>
        <item x="224"/>
        <item x="112"/>
        <item x="261"/>
        <item x="235"/>
        <item x="191"/>
        <item x="233"/>
        <item x="244"/>
        <item x="257"/>
        <item x="205"/>
        <item x="253"/>
        <item x="240"/>
        <item x="259"/>
        <item x="248"/>
        <item x="83"/>
        <item x="137"/>
        <item x="135"/>
        <item x="33"/>
        <item x="106"/>
        <item x="60"/>
        <item x="239"/>
        <item x="291"/>
        <item x="230"/>
        <item x="298"/>
        <item x="176"/>
        <item x="65"/>
        <item x="117"/>
        <item x="299"/>
        <item x="42"/>
        <item x="234"/>
        <item x="45"/>
        <item x="55"/>
        <item x="201"/>
        <item x="172"/>
        <item x="75"/>
        <item x="293"/>
        <item x="40"/>
        <item x="300"/>
        <item x="169"/>
        <item x="100"/>
        <item x="31"/>
        <item x="139"/>
        <item x="212"/>
        <item x="93"/>
        <item x="296"/>
        <item x="68"/>
        <item x="276"/>
        <item x="306"/>
        <item x="288"/>
        <item x="67"/>
        <item x="236"/>
        <item x="158"/>
        <item x="171"/>
        <item x="278"/>
        <item x="255"/>
        <item x="192"/>
        <item x="43"/>
        <item x="5"/>
        <item x="136"/>
        <item x="71"/>
        <item x="266"/>
        <item x="129"/>
        <item x="286"/>
        <item x="153"/>
        <item x="225"/>
        <item x="161"/>
        <item x="289"/>
        <item x="87"/>
        <item x="80"/>
        <item x="189"/>
        <item x="301"/>
        <item x="154"/>
        <item x="256"/>
        <item x="196"/>
        <item x="57"/>
        <item x="84"/>
        <item x="138"/>
        <item x="265"/>
        <item x="126"/>
        <item x="219"/>
        <item x="114"/>
        <item x="168"/>
        <item x="284"/>
        <item x="181"/>
        <item x="302"/>
        <item x="119"/>
        <item x="92"/>
        <item x="210"/>
        <item x="38"/>
        <item x="76"/>
        <item x="175"/>
        <item x="37"/>
        <item x="155"/>
        <item x="273"/>
        <item x="160"/>
        <item x="174"/>
        <item x="217"/>
        <item x="206"/>
        <item x="113"/>
        <item x="195"/>
        <item x="188"/>
        <item x="94"/>
        <item x="249"/>
        <item x="204"/>
        <item x="185"/>
        <item x="166"/>
        <item x="222"/>
        <item x="141"/>
        <item x="10"/>
        <item x="6"/>
        <item x="130"/>
        <item x="308"/>
        <item x="315"/>
        <item x="19"/>
        <item x="304"/>
        <item x="29"/>
        <item x="52"/>
        <item x="164"/>
        <item x="271"/>
        <item x="264"/>
        <item x="25"/>
        <item x="213"/>
        <item x="149"/>
        <item x="156"/>
        <item x="23"/>
        <item x="111"/>
        <item x="221"/>
        <item x="22"/>
        <item x="134"/>
        <item x="295"/>
        <item x="3"/>
        <item x="297"/>
        <item x="159"/>
        <item x="24"/>
        <item x="190"/>
        <item x="220"/>
        <item x="162"/>
        <item x="260"/>
        <item x="147"/>
        <item x="123"/>
        <item x="36"/>
        <item x="15"/>
        <item x="268"/>
        <item x="47"/>
        <item x="232"/>
        <item x="231"/>
        <item x="274"/>
        <item x="207"/>
        <item x="73"/>
        <item x="243"/>
        <item x="58"/>
        <item x="30"/>
        <item x="148"/>
        <item x="292"/>
        <item x="209"/>
        <item x="70"/>
        <item x="280"/>
        <item x="7"/>
        <item x="198"/>
        <item x="287"/>
        <item x="109"/>
        <item x="238"/>
        <item x="262"/>
        <item x="62"/>
        <item x="28"/>
        <item x="77"/>
        <item x="200"/>
        <item x="182"/>
        <item x="167"/>
        <item x="199"/>
        <item x="128"/>
        <item x="142"/>
        <item x="145"/>
        <item x="13"/>
        <item x="279"/>
        <item x="229"/>
        <item x="247"/>
        <item x="314"/>
        <item x="99"/>
        <item x="270"/>
        <item x="202"/>
        <item x="56"/>
        <item x="102"/>
        <item x="48"/>
        <item x="140"/>
        <item x="63"/>
        <item x="46"/>
        <item x="18"/>
        <item x="105"/>
        <item x="103"/>
        <item x="258"/>
        <item x="86"/>
        <item x="32"/>
        <item x="98"/>
        <item x="50"/>
        <item x="115"/>
        <item x="90"/>
        <item x="116"/>
        <item x="82"/>
        <item x="9"/>
        <item x="307"/>
        <item x="312"/>
        <item x="21"/>
        <item x="79"/>
        <item x="226"/>
        <item x="193"/>
        <item x="74"/>
        <item x="91"/>
        <item x="177"/>
        <item x="228"/>
        <item x="216"/>
        <item x="11"/>
        <item x="61"/>
        <item x="263"/>
        <item x="250"/>
        <item x="184"/>
        <item x="120"/>
        <item x="144"/>
        <item x="152"/>
        <item x="211"/>
        <item x="277"/>
        <item x="127"/>
        <item x="125"/>
        <item x="131"/>
        <item x="54"/>
        <item x="146"/>
        <item x="275"/>
        <item x="309"/>
        <item x="121"/>
        <item x="1"/>
        <item x="170"/>
        <item x="311"/>
        <item x="267"/>
        <item x="214"/>
        <item x="27"/>
        <item x="186"/>
        <item x="180"/>
        <item x="26"/>
        <item x="66"/>
        <item x="272"/>
        <item x="89"/>
        <item x="34"/>
        <item x="0"/>
        <item x="101"/>
        <item x="150"/>
        <item x="245"/>
        <item x="241"/>
        <item x="290"/>
        <item x="81"/>
        <item x="203"/>
        <item x="108"/>
        <item x="49"/>
        <item x="12"/>
        <item x="237"/>
        <item x="151"/>
        <item x="2"/>
        <item x="44"/>
        <item x="53"/>
        <item x="285"/>
        <item x="215"/>
        <item x="39"/>
        <item x="281"/>
        <item x="143"/>
        <item x="17"/>
        <item x="283"/>
        <item x="197"/>
        <item x="218"/>
        <item x="122"/>
        <item x="104"/>
        <item x="118"/>
        <item x="313"/>
        <item x="303"/>
        <item x="124"/>
        <item t="default"/>
      </items>
    </pivotField>
    <pivotField showAll="0">
      <items count="5">
        <item x="1"/>
        <item x="0"/>
        <item x="2"/>
        <item x="3"/>
        <item t="default"/>
      </items>
    </pivotField>
    <pivotField dataField="1" numFmtId="165" showAll="0"/>
    <pivotField showAll="0"/>
    <pivotField showAll="0">
      <items count="4">
        <item x="0"/>
        <item x="1"/>
        <item x="2"/>
        <item t="default"/>
      </items>
    </pivotField>
    <pivotField numFmtId="14" showAll="0"/>
    <pivotField numFmtI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Billing Amount" fld="8"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1E27872-BB77-4907-9BE6-C8540E67F45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10:G16" firstHeaderRow="1" firstDataRow="1" firstDataCol="1"/>
  <pivotFields count="16">
    <pivotField dataField="1" showAll="0"/>
    <pivotField showAll="0"/>
    <pivotField axis="axisRow" showAll="0" sortType="descending">
      <items count="6">
        <item x="0"/>
        <item x="4"/>
        <item x="2"/>
        <item x="3"/>
        <item x="1"/>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showAll="0">
      <items count="7">
        <item x="2"/>
        <item x="0"/>
        <item x="4"/>
        <item x="3"/>
        <item x="1"/>
        <item x="5"/>
        <item t="default"/>
      </items>
    </pivotField>
    <pivotField numFmtId="14" showAll="0">
      <items count="317">
        <item x="16"/>
        <item x="187"/>
        <item x="163"/>
        <item x="14"/>
        <item x="194"/>
        <item x="183"/>
        <item x="88"/>
        <item x="254"/>
        <item x="294"/>
        <item x="173"/>
        <item x="223"/>
        <item x="251"/>
        <item x="246"/>
        <item x="252"/>
        <item x="85"/>
        <item x="96"/>
        <item x="8"/>
        <item x="69"/>
        <item x="227"/>
        <item x="242"/>
        <item x="51"/>
        <item x="132"/>
        <item x="20"/>
        <item x="157"/>
        <item x="4"/>
        <item x="78"/>
        <item x="41"/>
        <item x="178"/>
        <item x="97"/>
        <item x="305"/>
        <item x="72"/>
        <item x="35"/>
        <item x="208"/>
        <item x="133"/>
        <item x="165"/>
        <item x="282"/>
        <item x="179"/>
        <item x="64"/>
        <item x="110"/>
        <item x="269"/>
        <item x="310"/>
        <item x="107"/>
        <item x="95"/>
        <item x="59"/>
        <item x="224"/>
        <item x="112"/>
        <item x="261"/>
        <item x="235"/>
        <item x="191"/>
        <item x="233"/>
        <item x="244"/>
        <item x="257"/>
        <item x="205"/>
        <item x="253"/>
        <item x="240"/>
        <item x="259"/>
        <item x="248"/>
        <item x="83"/>
        <item x="137"/>
        <item x="135"/>
        <item x="33"/>
        <item x="106"/>
        <item x="60"/>
        <item x="239"/>
        <item x="291"/>
        <item x="230"/>
        <item x="298"/>
        <item x="176"/>
        <item x="65"/>
        <item x="117"/>
        <item x="299"/>
        <item x="42"/>
        <item x="234"/>
        <item x="45"/>
        <item x="55"/>
        <item x="201"/>
        <item x="172"/>
        <item x="75"/>
        <item x="293"/>
        <item x="40"/>
        <item x="300"/>
        <item x="169"/>
        <item x="100"/>
        <item x="31"/>
        <item x="139"/>
        <item x="212"/>
        <item x="93"/>
        <item x="296"/>
        <item x="68"/>
        <item x="276"/>
        <item x="306"/>
        <item x="288"/>
        <item x="67"/>
        <item x="236"/>
        <item x="158"/>
        <item x="171"/>
        <item x="278"/>
        <item x="255"/>
        <item x="192"/>
        <item x="43"/>
        <item x="5"/>
        <item x="136"/>
        <item x="71"/>
        <item x="266"/>
        <item x="129"/>
        <item x="286"/>
        <item x="153"/>
        <item x="225"/>
        <item x="161"/>
        <item x="289"/>
        <item x="87"/>
        <item x="80"/>
        <item x="189"/>
        <item x="301"/>
        <item x="154"/>
        <item x="256"/>
        <item x="196"/>
        <item x="57"/>
        <item x="84"/>
        <item x="138"/>
        <item x="265"/>
        <item x="126"/>
        <item x="219"/>
        <item x="114"/>
        <item x="168"/>
        <item x="284"/>
        <item x="181"/>
        <item x="302"/>
        <item x="119"/>
        <item x="92"/>
        <item x="210"/>
        <item x="38"/>
        <item x="76"/>
        <item x="175"/>
        <item x="37"/>
        <item x="155"/>
        <item x="273"/>
        <item x="160"/>
        <item x="174"/>
        <item x="217"/>
        <item x="206"/>
        <item x="113"/>
        <item x="195"/>
        <item x="188"/>
        <item x="94"/>
        <item x="249"/>
        <item x="204"/>
        <item x="185"/>
        <item x="166"/>
        <item x="222"/>
        <item x="141"/>
        <item x="10"/>
        <item x="6"/>
        <item x="130"/>
        <item x="308"/>
        <item x="315"/>
        <item x="19"/>
        <item x="304"/>
        <item x="29"/>
        <item x="52"/>
        <item x="164"/>
        <item x="271"/>
        <item x="264"/>
        <item x="25"/>
        <item x="213"/>
        <item x="149"/>
        <item x="156"/>
        <item x="23"/>
        <item x="111"/>
        <item x="221"/>
        <item x="22"/>
        <item x="134"/>
        <item x="295"/>
        <item x="3"/>
        <item x="297"/>
        <item x="159"/>
        <item x="24"/>
        <item x="190"/>
        <item x="220"/>
        <item x="162"/>
        <item x="260"/>
        <item x="147"/>
        <item x="123"/>
        <item x="36"/>
        <item x="15"/>
        <item x="268"/>
        <item x="47"/>
        <item x="232"/>
        <item x="231"/>
        <item x="274"/>
        <item x="207"/>
        <item x="73"/>
        <item x="243"/>
        <item x="58"/>
        <item x="30"/>
        <item x="148"/>
        <item x="292"/>
        <item x="209"/>
        <item x="70"/>
        <item x="280"/>
        <item x="7"/>
        <item x="198"/>
        <item x="287"/>
        <item x="109"/>
        <item x="238"/>
        <item x="262"/>
        <item x="62"/>
        <item x="28"/>
        <item x="77"/>
        <item x="200"/>
        <item x="182"/>
        <item x="167"/>
        <item x="199"/>
        <item x="128"/>
        <item x="142"/>
        <item x="145"/>
        <item x="13"/>
        <item x="279"/>
        <item x="229"/>
        <item x="247"/>
        <item x="314"/>
        <item x="99"/>
        <item x="270"/>
        <item x="202"/>
        <item x="56"/>
        <item x="102"/>
        <item x="48"/>
        <item x="140"/>
        <item x="63"/>
        <item x="46"/>
        <item x="18"/>
        <item x="105"/>
        <item x="103"/>
        <item x="258"/>
        <item x="86"/>
        <item x="32"/>
        <item x="98"/>
        <item x="50"/>
        <item x="115"/>
        <item x="90"/>
        <item x="116"/>
        <item x="82"/>
        <item x="9"/>
        <item x="307"/>
        <item x="312"/>
        <item x="21"/>
        <item x="79"/>
        <item x="226"/>
        <item x="193"/>
        <item x="74"/>
        <item x="91"/>
        <item x="177"/>
        <item x="228"/>
        <item x="216"/>
        <item x="11"/>
        <item x="61"/>
        <item x="263"/>
        <item x="250"/>
        <item x="184"/>
        <item x="120"/>
        <item x="144"/>
        <item x="152"/>
        <item x="211"/>
        <item x="277"/>
        <item x="127"/>
        <item x="125"/>
        <item x="131"/>
        <item x="54"/>
        <item x="146"/>
        <item x="275"/>
        <item x="309"/>
        <item x="121"/>
        <item x="1"/>
        <item x="170"/>
        <item x="311"/>
        <item x="267"/>
        <item x="214"/>
        <item x="27"/>
        <item x="186"/>
        <item x="180"/>
        <item x="26"/>
        <item x="66"/>
        <item x="272"/>
        <item x="89"/>
        <item x="34"/>
        <item x="0"/>
        <item x="101"/>
        <item x="150"/>
        <item x="245"/>
        <item x="241"/>
        <item x="290"/>
        <item x="81"/>
        <item x="203"/>
        <item x="108"/>
        <item x="49"/>
        <item x="12"/>
        <item x="237"/>
        <item x="151"/>
        <item x="2"/>
        <item x="44"/>
        <item x="53"/>
        <item x="285"/>
        <item x="215"/>
        <item x="39"/>
        <item x="281"/>
        <item x="143"/>
        <item x="17"/>
        <item x="283"/>
        <item x="197"/>
        <item x="218"/>
        <item x="122"/>
        <item x="104"/>
        <item x="118"/>
        <item x="313"/>
        <item x="303"/>
        <item x="124"/>
        <item t="default"/>
      </items>
    </pivotField>
    <pivotField showAll="0">
      <items count="5">
        <item x="1"/>
        <item x="0"/>
        <item x="2"/>
        <item x="3"/>
        <item t="default"/>
      </items>
    </pivotField>
    <pivotField numFmtId="165" showAll="0"/>
    <pivotField showAll="0"/>
    <pivotField showAll="0">
      <items count="4">
        <item x="0"/>
        <item x="1"/>
        <item x="2"/>
        <item t="default"/>
      </items>
    </pivotField>
    <pivotField numFmtId="14" showAll="0"/>
    <pivotField numFmtI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6">
    <i>
      <x/>
    </i>
    <i>
      <x v="2"/>
    </i>
    <i>
      <x v="4"/>
    </i>
    <i>
      <x v="3"/>
    </i>
    <i>
      <x v="1"/>
    </i>
    <i t="grand">
      <x/>
    </i>
  </rowItems>
  <colItems count="1">
    <i/>
  </colItems>
  <dataFields count="1">
    <dataField name="Count of Customer"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15D9CC9-26DC-4659-B666-8682D2F52B8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6">
    <pivotField dataField="1" showAll="0"/>
    <pivotField showAll="0"/>
    <pivotField showAll="0">
      <items count="6">
        <item x="0"/>
        <item x="4"/>
        <item x="2"/>
        <item x="3"/>
        <item x="1"/>
        <item t="default"/>
      </items>
    </pivotField>
    <pivotField showAll="0">
      <items count="3">
        <item x="0"/>
        <item x="1"/>
        <item t="default"/>
      </items>
    </pivotField>
    <pivotField showAll="0"/>
    <pivotField showAll="0">
      <items count="7">
        <item x="2"/>
        <item x="0"/>
        <item x="4"/>
        <item x="3"/>
        <item x="1"/>
        <item x="5"/>
        <item t="default"/>
      </items>
    </pivotField>
    <pivotField numFmtId="14" showAll="0">
      <items count="317">
        <item x="16"/>
        <item x="187"/>
        <item x="163"/>
        <item x="14"/>
        <item x="194"/>
        <item x="183"/>
        <item x="88"/>
        <item x="254"/>
        <item x="294"/>
        <item x="173"/>
        <item x="223"/>
        <item x="251"/>
        <item x="246"/>
        <item x="252"/>
        <item x="85"/>
        <item x="96"/>
        <item x="8"/>
        <item x="69"/>
        <item x="227"/>
        <item x="242"/>
        <item x="51"/>
        <item x="132"/>
        <item x="20"/>
        <item x="157"/>
        <item x="4"/>
        <item x="78"/>
        <item x="41"/>
        <item x="178"/>
        <item x="97"/>
        <item x="305"/>
        <item x="72"/>
        <item x="35"/>
        <item x="208"/>
        <item x="133"/>
        <item x="165"/>
        <item x="282"/>
        <item x="179"/>
        <item x="64"/>
        <item x="110"/>
        <item x="269"/>
        <item x="310"/>
        <item x="107"/>
        <item x="95"/>
        <item x="59"/>
        <item x="224"/>
        <item x="112"/>
        <item x="261"/>
        <item x="235"/>
        <item x="191"/>
        <item x="233"/>
        <item x="244"/>
        <item x="257"/>
        <item x="205"/>
        <item x="253"/>
        <item x="240"/>
        <item x="259"/>
        <item x="248"/>
        <item x="83"/>
        <item x="137"/>
        <item x="135"/>
        <item x="33"/>
        <item x="106"/>
        <item x="60"/>
        <item x="239"/>
        <item x="291"/>
        <item x="230"/>
        <item x="298"/>
        <item x="176"/>
        <item x="65"/>
        <item x="117"/>
        <item x="299"/>
        <item x="42"/>
        <item x="234"/>
        <item x="45"/>
        <item x="55"/>
        <item x="201"/>
        <item x="172"/>
        <item x="75"/>
        <item x="293"/>
        <item x="40"/>
        <item x="300"/>
        <item x="169"/>
        <item x="100"/>
        <item x="31"/>
        <item x="139"/>
        <item x="212"/>
        <item x="93"/>
        <item x="296"/>
        <item x="68"/>
        <item x="276"/>
        <item x="306"/>
        <item x="288"/>
        <item x="67"/>
        <item x="236"/>
        <item x="158"/>
        <item x="171"/>
        <item x="278"/>
        <item x="255"/>
        <item x="192"/>
        <item x="43"/>
        <item x="5"/>
        <item x="136"/>
        <item x="71"/>
        <item x="266"/>
        <item x="129"/>
        <item x="286"/>
        <item x="153"/>
        <item x="225"/>
        <item x="161"/>
        <item x="289"/>
        <item x="87"/>
        <item x="80"/>
        <item x="189"/>
        <item x="301"/>
        <item x="154"/>
        <item x="256"/>
        <item x="196"/>
        <item x="57"/>
        <item x="84"/>
        <item x="138"/>
        <item x="265"/>
        <item x="126"/>
        <item x="219"/>
        <item x="114"/>
        <item x="168"/>
        <item x="284"/>
        <item x="181"/>
        <item x="302"/>
        <item x="119"/>
        <item x="92"/>
        <item x="210"/>
        <item x="38"/>
        <item x="76"/>
        <item x="175"/>
        <item x="37"/>
        <item x="155"/>
        <item x="273"/>
        <item x="160"/>
        <item x="174"/>
        <item x="217"/>
        <item x="206"/>
        <item x="113"/>
        <item x="195"/>
        <item x="188"/>
        <item x="94"/>
        <item x="249"/>
        <item x="204"/>
        <item x="185"/>
        <item x="166"/>
        <item x="222"/>
        <item x="141"/>
        <item x="10"/>
        <item x="6"/>
        <item x="130"/>
        <item x="308"/>
        <item x="315"/>
        <item x="19"/>
        <item x="304"/>
        <item x="29"/>
        <item x="52"/>
        <item x="164"/>
        <item x="271"/>
        <item x="264"/>
        <item x="25"/>
        <item x="213"/>
        <item x="149"/>
        <item x="156"/>
        <item x="23"/>
        <item x="111"/>
        <item x="221"/>
        <item x="22"/>
        <item x="134"/>
        <item x="295"/>
        <item x="3"/>
        <item x="297"/>
        <item x="159"/>
        <item x="24"/>
        <item x="190"/>
        <item x="220"/>
        <item x="162"/>
        <item x="260"/>
        <item x="147"/>
        <item x="123"/>
        <item x="36"/>
        <item x="15"/>
        <item x="268"/>
        <item x="47"/>
        <item x="232"/>
        <item x="231"/>
        <item x="274"/>
        <item x="207"/>
        <item x="73"/>
        <item x="243"/>
        <item x="58"/>
        <item x="30"/>
        <item x="148"/>
        <item x="292"/>
        <item x="209"/>
        <item x="70"/>
        <item x="280"/>
        <item x="7"/>
        <item x="198"/>
        <item x="287"/>
        <item x="109"/>
        <item x="238"/>
        <item x="262"/>
        <item x="62"/>
        <item x="28"/>
        <item x="77"/>
        <item x="200"/>
        <item x="182"/>
        <item x="167"/>
        <item x="199"/>
        <item x="128"/>
        <item x="142"/>
        <item x="145"/>
        <item x="13"/>
        <item x="279"/>
        <item x="229"/>
        <item x="247"/>
        <item x="314"/>
        <item x="99"/>
        <item x="270"/>
        <item x="202"/>
        <item x="56"/>
        <item x="102"/>
        <item x="48"/>
        <item x="140"/>
        <item x="63"/>
        <item x="46"/>
        <item x="18"/>
        <item x="105"/>
        <item x="103"/>
        <item x="258"/>
        <item x="86"/>
        <item x="32"/>
        <item x="98"/>
        <item x="50"/>
        <item x="115"/>
        <item x="90"/>
        <item x="116"/>
        <item x="82"/>
        <item x="9"/>
        <item x="307"/>
        <item x="312"/>
        <item x="21"/>
        <item x="79"/>
        <item x="226"/>
        <item x="193"/>
        <item x="74"/>
        <item x="91"/>
        <item x="177"/>
        <item x="228"/>
        <item x="216"/>
        <item x="11"/>
        <item x="61"/>
        <item x="263"/>
        <item x="250"/>
        <item x="184"/>
        <item x="120"/>
        <item x="144"/>
        <item x="152"/>
        <item x="211"/>
        <item x="277"/>
        <item x="127"/>
        <item x="125"/>
        <item x="131"/>
        <item x="54"/>
        <item x="146"/>
        <item x="275"/>
        <item x="309"/>
        <item x="121"/>
        <item x="1"/>
        <item x="170"/>
        <item x="311"/>
        <item x="267"/>
        <item x="214"/>
        <item x="27"/>
        <item x="186"/>
        <item x="180"/>
        <item x="26"/>
        <item x="66"/>
        <item x="272"/>
        <item x="89"/>
        <item x="34"/>
        <item x="0"/>
        <item x="101"/>
        <item x="150"/>
        <item x="245"/>
        <item x="241"/>
        <item x="290"/>
        <item x="81"/>
        <item x="203"/>
        <item x="108"/>
        <item x="49"/>
        <item x="12"/>
        <item x="237"/>
        <item x="151"/>
        <item x="2"/>
        <item x="44"/>
        <item x="53"/>
        <item x="285"/>
        <item x="215"/>
        <item x="39"/>
        <item x="281"/>
        <item x="143"/>
        <item x="17"/>
        <item x="283"/>
        <item x="197"/>
        <item x="218"/>
        <item x="122"/>
        <item x="104"/>
        <item x="118"/>
        <item x="313"/>
        <item x="303"/>
        <item x="124"/>
        <item t="default"/>
      </items>
    </pivotField>
    <pivotField showAll="0">
      <items count="5">
        <item x="1"/>
        <item x="0"/>
        <item x="2"/>
        <item x="3"/>
        <item t="default"/>
      </items>
    </pivotField>
    <pivotField numFmtId="165" showAll="0"/>
    <pivotField showAll="0"/>
    <pivotField showAll="0">
      <items count="4">
        <item x="0"/>
        <item x="1"/>
        <item x="2"/>
        <item t="default"/>
      </items>
    </pivotField>
    <pivotField numFmtId="14" showAll="0"/>
    <pivotField numFmtI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Custom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C542160-62E2-4215-A1B7-1943AD3F59C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C10:D13" firstHeaderRow="1" firstDataRow="1" firstDataCol="1"/>
  <pivotFields count="16">
    <pivotField dataField="1" showAll="0"/>
    <pivotField showAll="0"/>
    <pivotField showAll="0">
      <items count="6">
        <item x="0"/>
        <item x="4"/>
        <item x="2"/>
        <item x="3"/>
        <item x="1"/>
        <item t="default"/>
      </items>
    </pivotField>
    <pivotField axis="axisRow" showAll="0">
      <items count="3">
        <item x="0"/>
        <item x="1"/>
        <item t="default"/>
      </items>
    </pivotField>
    <pivotField showAll="0"/>
    <pivotField showAll="0">
      <items count="7">
        <item x="2"/>
        <item x="0"/>
        <item x="4"/>
        <item x="3"/>
        <item x="1"/>
        <item x="5"/>
        <item t="default"/>
      </items>
    </pivotField>
    <pivotField numFmtId="14" showAll="0">
      <items count="317">
        <item x="16"/>
        <item x="187"/>
        <item x="163"/>
        <item x="14"/>
        <item x="194"/>
        <item x="183"/>
        <item x="88"/>
        <item x="254"/>
        <item x="294"/>
        <item x="173"/>
        <item x="223"/>
        <item x="251"/>
        <item x="246"/>
        <item x="252"/>
        <item x="85"/>
        <item x="96"/>
        <item x="8"/>
        <item x="69"/>
        <item x="227"/>
        <item x="242"/>
        <item x="51"/>
        <item x="132"/>
        <item x="20"/>
        <item x="157"/>
        <item x="4"/>
        <item x="78"/>
        <item x="41"/>
        <item x="178"/>
        <item x="97"/>
        <item x="305"/>
        <item x="72"/>
        <item x="35"/>
        <item x="208"/>
        <item x="133"/>
        <item x="165"/>
        <item x="282"/>
        <item x="179"/>
        <item x="64"/>
        <item x="110"/>
        <item x="269"/>
        <item x="310"/>
        <item x="107"/>
        <item x="95"/>
        <item x="59"/>
        <item x="224"/>
        <item x="112"/>
        <item x="261"/>
        <item x="235"/>
        <item x="191"/>
        <item x="233"/>
        <item x="244"/>
        <item x="257"/>
        <item x="205"/>
        <item x="253"/>
        <item x="240"/>
        <item x="259"/>
        <item x="248"/>
        <item x="83"/>
        <item x="137"/>
        <item x="135"/>
        <item x="33"/>
        <item x="106"/>
        <item x="60"/>
        <item x="239"/>
        <item x="291"/>
        <item x="230"/>
        <item x="298"/>
        <item x="176"/>
        <item x="65"/>
        <item x="117"/>
        <item x="299"/>
        <item x="42"/>
        <item x="234"/>
        <item x="45"/>
        <item x="55"/>
        <item x="201"/>
        <item x="172"/>
        <item x="75"/>
        <item x="293"/>
        <item x="40"/>
        <item x="300"/>
        <item x="169"/>
        <item x="100"/>
        <item x="31"/>
        <item x="139"/>
        <item x="212"/>
        <item x="93"/>
        <item x="296"/>
        <item x="68"/>
        <item x="276"/>
        <item x="306"/>
        <item x="288"/>
        <item x="67"/>
        <item x="236"/>
        <item x="158"/>
        <item x="171"/>
        <item x="278"/>
        <item x="255"/>
        <item x="192"/>
        <item x="43"/>
        <item x="5"/>
        <item x="136"/>
        <item x="71"/>
        <item x="266"/>
        <item x="129"/>
        <item x="286"/>
        <item x="153"/>
        <item x="225"/>
        <item x="161"/>
        <item x="289"/>
        <item x="87"/>
        <item x="80"/>
        <item x="189"/>
        <item x="301"/>
        <item x="154"/>
        <item x="256"/>
        <item x="196"/>
        <item x="57"/>
        <item x="84"/>
        <item x="138"/>
        <item x="265"/>
        <item x="126"/>
        <item x="219"/>
        <item x="114"/>
        <item x="168"/>
        <item x="284"/>
        <item x="181"/>
        <item x="302"/>
        <item x="119"/>
        <item x="92"/>
        <item x="210"/>
        <item x="38"/>
        <item x="76"/>
        <item x="175"/>
        <item x="37"/>
        <item x="155"/>
        <item x="273"/>
        <item x="160"/>
        <item x="174"/>
        <item x="217"/>
        <item x="206"/>
        <item x="113"/>
        <item x="195"/>
        <item x="188"/>
        <item x="94"/>
        <item x="249"/>
        <item x="204"/>
        <item x="185"/>
        <item x="166"/>
        <item x="222"/>
        <item x="141"/>
        <item x="10"/>
        <item x="6"/>
        <item x="130"/>
        <item x="308"/>
        <item x="315"/>
        <item x="19"/>
        <item x="304"/>
        <item x="29"/>
        <item x="52"/>
        <item x="164"/>
        <item x="271"/>
        <item x="264"/>
        <item x="25"/>
        <item x="213"/>
        <item x="149"/>
        <item x="156"/>
        <item x="23"/>
        <item x="111"/>
        <item x="221"/>
        <item x="22"/>
        <item x="134"/>
        <item x="295"/>
        <item x="3"/>
        <item x="297"/>
        <item x="159"/>
        <item x="24"/>
        <item x="190"/>
        <item x="220"/>
        <item x="162"/>
        <item x="260"/>
        <item x="147"/>
        <item x="123"/>
        <item x="36"/>
        <item x="15"/>
        <item x="268"/>
        <item x="47"/>
        <item x="232"/>
        <item x="231"/>
        <item x="274"/>
        <item x="207"/>
        <item x="73"/>
        <item x="243"/>
        <item x="58"/>
        <item x="30"/>
        <item x="148"/>
        <item x="292"/>
        <item x="209"/>
        <item x="70"/>
        <item x="280"/>
        <item x="7"/>
        <item x="198"/>
        <item x="287"/>
        <item x="109"/>
        <item x="238"/>
        <item x="262"/>
        <item x="62"/>
        <item x="28"/>
        <item x="77"/>
        <item x="200"/>
        <item x="182"/>
        <item x="167"/>
        <item x="199"/>
        <item x="128"/>
        <item x="142"/>
        <item x="145"/>
        <item x="13"/>
        <item x="279"/>
        <item x="229"/>
        <item x="247"/>
        <item x="314"/>
        <item x="99"/>
        <item x="270"/>
        <item x="202"/>
        <item x="56"/>
        <item x="102"/>
        <item x="48"/>
        <item x="140"/>
        <item x="63"/>
        <item x="46"/>
        <item x="18"/>
        <item x="105"/>
        <item x="103"/>
        <item x="258"/>
        <item x="86"/>
        <item x="32"/>
        <item x="98"/>
        <item x="50"/>
        <item x="115"/>
        <item x="90"/>
        <item x="116"/>
        <item x="82"/>
        <item x="9"/>
        <item x="307"/>
        <item x="312"/>
        <item x="21"/>
        <item x="79"/>
        <item x="226"/>
        <item x="193"/>
        <item x="74"/>
        <item x="91"/>
        <item x="177"/>
        <item x="228"/>
        <item x="216"/>
        <item x="11"/>
        <item x="61"/>
        <item x="263"/>
        <item x="250"/>
        <item x="184"/>
        <item x="120"/>
        <item x="144"/>
        <item x="152"/>
        <item x="211"/>
        <item x="277"/>
        <item x="127"/>
        <item x="125"/>
        <item x="131"/>
        <item x="54"/>
        <item x="146"/>
        <item x="275"/>
        <item x="309"/>
        <item x="121"/>
        <item x="1"/>
        <item x="170"/>
        <item x="311"/>
        <item x="267"/>
        <item x="214"/>
        <item x="27"/>
        <item x="186"/>
        <item x="180"/>
        <item x="26"/>
        <item x="66"/>
        <item x="272"/>
        <item x="89"/>
        <item x="34"/>
        <item x="0"/>
        <item x="101"/>
        <item x="150"/>
        <item x="245"/>
        <item x="241"/>
        <item x="290"/>
        <item x="81"/>
        <item x="203"/>
        <item x="108"/>
        <item x="49"/>
        <item x="12"/>
        <item x="237"/>
        <item x="151"/>
        <item x="2"/>
        <item x="44"/>
        <item x="53"/>
        <item x="285"/>
        <item x="215"/>
        <item x="39"/>
        <item x="281"/>
        <item x="143"/>
        <item x="17"/>
        <item x="283"/>
        <item x="197"/>
        <item x="218"/>
        <item x="122"/>
        <item x="104"/>
        <item x="118"/>
        <item x="313"/>
        <item x="303"/>
        <item x="124"/>
        <item t="default"/>
      </items>
    </pivotField>
    <pivotField showAll="0">
      <items count="5">
        <item x="1"/>
        <item x="0"/>
        <item x="2"/>
        <item x="3"/>
        <item t="default"/>
      </items>
    </pivotField>
    <pivotField numFmtId="165" showAll="0"/>
    <pivotField showAll="0"/>
    <pivotField showAll="0">
      <items count="4">
        <item x="0"/>
        <item x="1"/>
        <item x="2"/>
        <item t="default"/>
      </items>
    </pivotField>
    <pivotField numFmtId="14" showAll="0"/>
    <pivotField numFmtI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3">
    <i>
      <x/>
    </i>
    <i>
      <x v="1"/>
    </i>
    <i t="grand">
      <x/>
    </i>
  </rowItems>
  <colItems count="1">
    <i/>
  </colItems>
  <dataFields count="1">
    <dataField name="Count of Customer" fld="0" subtotal="count" baseField="0" baseItem="0"/>
  </dataField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3" count="1" selected="0">
            <x v="0"/>
          </reference>
        </references>
      </pivotArea>
    </chartFormat>
    <chartFormat chart="2"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2</v>
    <v>8</v>
    <v>17</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Range" xr10:uid="{04104BD1-CB2F-4FB2-B474-2728FDA3C7AF}" sourceName="Age Range">
  <pivotTables>
    <pivotTable tabId="5" name="PivotTable9"/>
    <pivotTable tabId="5" name="PivotTable1"/>
    <pivotTable tabId="5" name="PivotTable10"/>
    <pivotTable tabId="5" name="PivotTable11"/>
    <pivotTable tabId="5" name="PivotTable12"/>
    <pivotTable tabId="5" name="PivotTable13"/>
    <pivotTable tabId="5" name="PivotTable14"/>
    <pivotTable tabId="5" name="PivotTable15"/>
    <pivotTable tabId="5" name="PivotTable17"/>
    <pivotTable tabId="5" name="PivotTable18"/>
    <pivotTable tabId="5" name="PivotTable2"/>
    <pivotTable tabId="5" name="PivotTable5"/>
    <pivotTable tabId="5" name="PivotTable6"/>
    <pivotTable tabId="5" name="PivotTable8"/>
  </pivotTables>
  <data>
    <tabular pivotCacheId="386012109">
      <items count="5">
        <i x="0" s="1"/>
        <i x="4"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4E665C1-8C75-496E-9CCD-F227BDD69261}" sourceName="Gender">
  <pivotTables>
    <pivotTable tabId="5" name="PivotTable9"/>
    <pivotTable tabId="5" name="PivotTable1"/>
    <pivotTable tabId="5" name="PivotTable10"/>
    <pivotTable tabId="5" name="PivotTable11"/>
    <pivotTable tabId="5" name="PivotTable12"/>
    <pivotTable tabId="5" name="PivotTable13"/>
    <pivotTable tabId="5" name="PivotTable14"/>
    <pivotTable tabId="5" name="PivotTable15"/>
    <pivotTable tabId="5" name="PivotTable17"/>
    <pivotTable tabId="5" name="PivotTable18"/>
    <pivotTable tabId="5" name="PivotTable2"/>
    <pivotTable tabId="5" name="PivotTable5"/>
    <pivotTable tabId="5" name="PivotTable6"/>
    <pivotTable tabId="5" name="PivotTable8"/>
  </pivotTables>
  <data>
    <tabular pivotCacheId="386012109">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dical_Condition" xr10:uid="{98C57F49-45CF-44A5-9A5D-AABC57FEED6A}" sourceName="Medical Condition">
  <pivotTables>
    <pivotTable tabId="5" name="PivotTable9"/>
    <pivotTable tabId="5" name="PivotTable1"/>
    <pivotTable tabId="5" name="PivotTable10"/>
    <pivotTable tabId="5" name="PivotTable11"/>
    <pivotTable tabId="5" name="PivotTable12"/>
    <pivotTable tabId="5" name="PivotTable13"/>
    <pivotTable tabId="5" name="PivotTable14"/>
    <pivotTable tabId="5" name="PivotTable15"/>
    <pivotTable tabId="5" name="PivotTable17"/>
    <pivotTable tabId="5" name="PivotTable18"/>
    <pivotTable tabId="5" name="PivotTable2"/>
    <pivotTable tabId="5" name="PivotTable5"/>
    <pivotTable tabId="5" name="PivotTable6"/>
    <pivotTable tabId="5" name="PivotTable8"/>
  </pivotTables>
  <data>
    <tabular pivotCacheId="386012109">
      <items count="6">
        <i x="2" s="1"/>
        <i x="0" s="1"/>
        <i x="4" s="1"/>
        <i x="3" s="1"/>
        <i x="1"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spital" xr10:uid="{0E69C7F4-FF80-4E94-831B-23C4DD454716}" sourceName="Hospital">
  <pivotTables>
    <pivotTable tabId="5" name="PivotTable9"/>
    <pivotTable tabId="5" name="PivotTable1"/>
    <pivotTable tabId="5" name="PivotTable10"/>
    <pivotTable tabId="5" name="PivotTable11"/>
    <pivotTable tabId="5" name="PivotTable12"/>
    <pivotTable tabId="5" name="PivotTable13"/>
    <pivotTable tabId="5" name="PivotTable14"/>
    <pivotTable tabId="5" name="PivotTable15"/>
    <pivotTable tabId="5" name="PivotTable17"/>
    <pivotTable tabId="5" name="PivotTable18"/>
    <pivotTable tabId="5" name="PivotTable2"/>
    <pivotTable tabId="5" name="PivotTable5"/>
    <pivotTable tabId="5" name="PivotTable6"/>
    <pivotTable tabId="5" name="PivotTable8"/>
  </pivotTables>
  <data>
    <tabular pivotCacheId="386012109">
      <items count="4">
        <i x="1" s="1"/>
        <i x="0" s="1"/>
        <i x="2"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mission_Type" xr10:uid="{38901B71-5DF5-4005-BD12-E1E434000064}" sourceName="Admission Type">
  <pivotTables>
    <pivotTable tabId="5" name="PivotTable9"/>
    <pivotTable tabId="5" name="PivotTable1"/>
    <pivotTable tabId="5" name="PivotTable10"/>
    <pivotTable tabId="5" name="PivotTable11"/>
    <pivotTable tabId="5" name="PivotTable12"/>
    <pivotTable tabId="5" name="PivotTable13"/>
    <pivotTable tabId="5" name="PivotTable14"/>
    <pivotTable tabId="5" name="PivotTable15"/>
    <pivotTable tabId="5" name="PivotTable17"/>
    <pivotTable tabId="5" name="PivotTable18"/>
    <pivotTable tabId="5" name="PivotTable2"/>
    <pivotTable tabId="5" name="PivotTable5"/>
    <pivotTable tabId="5" name="PivotTable6"/>
    <pivotTable tabId="5" name="PivotTable8"/>
  </pivotTables>
  <data>
    <tabular pivotCacheId="38601210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Range" xr10:uid="{569FD788-C5AA-45F9-8C4D-2699E7F23EBC}" cache="Slicer_Age_Range" caption="Age Range" style="SlicerStyleOther2" rowHeight="241300"/>
  <slicer name="Gender" xr10:uid="{56612E94-8179-4483-A9EA-309E4AF7F3F4}" cache="Slicer_Gender" caption="Gender" style="SlicerStyleOther2" rowHeight="241300"/>
  <slicer name="Medical Condition" xr10:uid="{D210A89C-7F58-4298-B3A4-C05F42383913}" cache="Slicer_Medical_Condition" caption="Medical Condition" style="SlicerStyleOther2" rowHeight="241300"/>
  <slicer name="Hospital" xr10:uid="{5605A340-0121-4CFB-920E-555F192BBE7D}" cache="Slicer_Hospital" caption="Hospital" style="SlicerStyleOther2" rowHeight="241300"/>
  <slicer name="Admission Type" xr10:uid="{584990E3-91BB-474E-AAF2-18FF3B9EF4E6}" cache="Slicer_Admission_Type" caption="Admission Type" style="SlicerStyleOther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44A0E17-03E7-4BDF-B954-D55194BD32BB}" name="Table3" displayName="Table3" ref="A3:N769" totalsRowShown="0">
  <autoFilter ref="A3:N769" xr:uid="{144A0E17-03E7-4BDF-B954-D55194BD32BB}"/>
  <tableColumns count="14">
    <tableColumn id="1" xr3:uid="{FF4EECF9-60B7-4952-8BF4-A3D5AACE106A}" name="Customer"/>
    <tableColumn id="2" xr3:uid="{D59E8D59-7C0F-4BD5-8279-729816F86F46}" name="Age"/>
    <tableColumn id="3" xr3:uid="{AA3C7EFC-892B-4FC3-8E01-BCFA9B48EA8B}" name="Age Range"/>
    <tableColumn id="4" xr3:uid="{61F3B356-4695-4FD8-B92A-6825AEE2048A}" name="Gender"/>
    <tableColumn id="5" xr3:uid="{267AA292-5A0C-4149-811F-1900015BF9F4}" name="Blood Type"/>
    <tableColumn id="6" xr3:uid="{5161147F-6DCC-451D-A947-876B1BD63286}" name="Medical Condition"/>
    <tableColumn id="7" xr3:uid="{084838AE-29BB-4C84-8A03-689BE2DD6B19}" name="Date of Admission" dataDxfId="6"/>
    <tableColumn id="8" xr3:uid="{6D202FCE-014E-4104-BB61-1164EB530FE5}" name="Hospital"/>
    <tableColumn id="9" xr3:uid="{E0325E2F-E3FE-43BA-976F-5D8DD2C26D79}" name="Billing Amount"/>
    <tableColumn id="10" xr3:uid="{AE5BCC22-0D9F-44AA-9B6D-103B080370AD}" name="Room Number"/>
    <tableColumn id="11" xr3:uid="{7FF10E7B-1ED8-4790-80D6-F9A810B8CE31}" name="Admission Type"/>
    <tableColumn id="12" xr3:uid="{18F3A68D-1DB8-4259-A41B-2103F6EF0DDA}" name="Discharge Date" dataDxfId="5"/>
    <tableColumn id="13" xr3:uid="{F624C693-85DC-43DA-BFE9-02802905D503}" name="Average days"/>
    <tableColumn id="14" xr3:uid="{3B57717C-7BA2-4348-9FA8-198595F0262D}" name="Medicat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A394CCF-A729-4778-A61F-DB264BCD62E0}" name="WilsonData" displayName="WilsonData" ref="A1:N767" totalsRowShown="0">
  <autoFilter ref="A1:N767" xr:uid="{CB060BDA-B737-4223-B16B-C2BCD2A2169A}"/>
  <tableColumns count="14">
    <tableColumn id="1" xr3:uid="{7E1BE264-2DFA-4AED-B46D-4AEDFA4C6814}" name="Customer"/>
    <tableColumn id="2" xr3:uid="{45BA25FA-C6D3-410F-9D36-FD769AD0BF25}" name="Age"/>
    <tableColumn id="17" xr3:uid="{4ED57B9C-42AF-41B2-A6CA-F78184A5C105}" name="Age Range" dataDxfId="4">
      <calculatedColumnFormula>IF(WilsonData[[#This Row],[Age]]&lt;=18, "0-18", IF(WilsonData[[#This Row],[Age]]&lt;=35,"19-35", IF(WilsonData[[#This Row],[Age]]&lt;=50, "36-50",IF(WilsonData[[#This Row],[Age]]&lt;=65,"51-65", " 66+"))))</calculatedColumnFormula>
    </tableColumn>
    <tableColumn id="3" xr3:uid="{51063864-2C2C-471B-9F20-D7F478DED40C}" name="Gender"/>
    <tableColumn id="4" xr3:uid="{5C467B52-BC62-4AF5-9B7C-FB5997137501}" name="Blood Type"/>
    <tableColumn id="5" xr3:uid="{3C8F6625-1F29-47C5-AA62-5087CE596F76}" name="Medical Condition"/>
    <tableColumn id="6" xr3:uid="{5DA483CB-7D2F-45FF-B4DC-D3310893E2C2}" name="Date of Admission" dataDxfId="3"/>
    <tableColumn id="7" xr3:uid="{3ED6720D-3F6D-440B-BC81-13D922994FDD}" name="Hospital"/>
    <tableColumn id="8" xr3:uid="{952B9794-7A04-402D-AB24-90375086F95D}" name="Billing Amount" dataDxfId="2"/>
    <tableColumn id="9" xr3:uid="{875E9E38-5A24-43FF-85D0-1048B1D3BCCE}" name="Room Number"/>
    <tableColumn id="10" xr3:uid="{FA54DF57-364F-4EFC-BF34-2B22290FC75D}" name="Admission Type"/>
    <tableColumn id="11" xr3:uid="{1FA5A364-9B4C-4A92-972A-7284F97D66C9}" name="Discharge Date" dataDxfId="1"/>
    <tableColumn id="18" xr3:uid="{F2F203BB-94EF-4EEC-81C8-87A38DBF0488}" name="Average days" dataDxfId="0">
      <calculatedColumnFormula>WilsonData[[#This Row],[Discharge Date]]-WilsonData[[#This Row],[Date of Admission]]</calculatedColumnFormula>
    </tableColumn>
    <tableColumn id="12" xr3:uid="{84561427-8A69-4527-8802-8E7C11E09C55}" name="Medication"/>
  </tableColumns>
  <tableStyleInfo name="TableStyleLight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060BDA-B737-4223-B16B-C2BCD2A2169A}" name="Table1" displayName="Table1" ref="A1:L767" totalsRowShown="0">
  <autoFilter ref="A1:L767" xr:uid="{CB060BDA-B737-4223-B16B-C2BCD2A2169A}"/>
  <tableColumns count="12">
    <tableColumn id="1" xr3:uid="{70ABFBC6-A98C-414D-9B66-7C096538366B}" name="Customers"/>
    <tableColumn id="2" xr3:uid="{3303C91B-BC8B-4C89-9E83-090007ACC7FA}" name="Column1"/>
    <tableColumn id="3" xr3:uid="{7E24E4D1-0F20-46BD-AEFA-5A287757B0A4}" name="Gender"/>
    <tableColumn id="4" xr3:uid="{206BB094-5A0A-4CB1-9EEC-6398003F1878}" name="Blood Type"/>
    <tableColumn id="5" xr3:uid="{2211C2A4-E34F-4843-9979-58A7E68960BD}" name="Medical Condition"/>
    <tableColumn id="6" xr3:uid="{926867AF-13BE-439C-90FE-7E667ED32B7F}" name="Date of Admission"/>
    <tableColumn id="7" xr3:uid="{0A7D5BE6-C308-4EEC-9432-4E044A024203}" name="Hospital"/>
    <tableColumn id="8" xr3:uid="{EDF083C0-C0CC-4C44-8E82-8AEFA69E1BD6}" name="Billing Amount"/>
    <tableColumn id="9" xr3:uid="{BD62707C-43BB-44EA-803F-AF5034DD3BD4}" name="Room Number"/>
    <tableColumn id="10" xr3:uid="{D901632D-9B09-4449-AAAF-5C2A46B40122}" name="Admission Type"/>
    <tableColumn id="11" xr3:uid="{ADCA9B64-B5E5-4436-8C56-0958237DF80F}" name="Discharge Date"/>
    <tableColumn id="12" xr3:uid="{176B19FD-3984-407D-BFA5-A43B29F7CBC7}" name="Medicatio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82FB7-9DA5-418F-9C7B-D96C979B8BFD}">
  <dimension ref="A1:N769"/>
  <sheetViews>
    <sheetView workbookViewId="0">
      <selection activeCell="A3" sqref="A3:N769"/>
    </sheetView>
  </sheetViews>
  <sheetFormatPr defaultRowHeight="14.5" x14ac:dyDescent="0.35"/>
  <cols>
    <col min="1" max="1" width="20.36328125" bestFit="1" customWidth="1"/>
    <col min="2" max="2" width="8.81640625" bestFit="1" customWidth="1"/>
    <col min="3" max="3" width="11.7265625" bestFit="1" customWidth="1"/>
    <col min="4" max="4" width="9.26953125" bestFit="1" customWidth="1"/>
    <col min="5" max="5" width="12.36328125" bestFit="1" customWidth="1"/>
    <col min="6" max="6" width="18.36328125" bestFit="1" customWidth="1"/>
    <col min="7" max="7" width="18.453125" bestFit="1" customWidth="1"/>
    <col min="8" max="8" width="14.6328125" bestFit="1" customWidth="1"/>
    <col min="9" max="10" width="15.36328125" bestFit="1" customWidth="1"/>
    <col min="11" max="11" width="16.26953125" bestFit="1" customWidth="1"/>
    <col min="12" max="12" width="15.7265625" bestFit="1" customWidth="1"/>
    <col min="13" max="13" width="14.08984375" bestFit="1" customWidth="1"/>
    <col min="14" max="14" width="12.54296875" bestFit="1" customWidth="1"/>
  </cols>
  <sheetData>
    <row r="1" spans="1:14" x14ac:dyDescent="0.35">
      <c r="A1" s="7" t="s">
        <v>1596</v>
      </c>
    </row>
    <row r="3" spans="1:14" x14ac:dyDescent="0.35">
      <c r="A3" t="s">
        <v>807</v>
      </c>
      <c r="B3" t="s">
        <v>0</v>
      </c>
      <c r="C3" t="s">
        <v>1571</v>
      </c>
      <c r="D3" t="s">
        <v>1</v>
      </c>
      <c r="E3" t="s">
        <v>2</v>
      </c>
      <c r="F3" t="s">
        <v>3</v>
      </c>
      <c r="G3" t="s">
        <v>4</v>
      </c>
      <c r="H3" t="s">
        <v>5</v>
      </c>
      <c r="I3" t="s">
        <v>6</v>
      </c>
      <c r="J3" t="s">
        <v>7</v>
      </c>
      <c r="K3" t="s">
        <v>8</v>
      </c>
      <c r="L3" t="s">
        <v>9</v>
      </c>
      <c r="M3" t="s">
        <v>1589</v>
      </c>
      <c r="N3" t="s">
        <v>10</v>
      </c>
    </row>
    <row r="4" spans="1:14" x14ac:dyDescent="0.35">
      <c r="A4" t="s">
        <v>808</v>
      </c>
      <c r="B4">
        <v>67</v>
      </c>
      <c r="C4" t="s">
        <v>1591</v>
      </c>
      <c r="D4" t="s">
        <v>20</v>
      </c>
      <c r="E4" t="s">
        <v>21</v>
      </c>
      <c r="F4" t="s">
        <v>28</v>
      </c>
      <c r="G4" s="1">
        <v>45987</v>
      </c>
      <c r="H4" t="s">
        <v>36</v>
      </c>
      <c r="I4">
        <v>42.514588553324302</v>
      </c>
      <c r="J4">
        <v>115</v>
      </c>
      <c r="K4" t="s">
        <v>25</v>
      </c>
      <c r="L4" s="1">
        <v>45988</v>
      </c>
      <c r="M4">
        <v>1</v>
      </c>
      <c r="N4" t="s">
        <v>22</v>
      </c>
    </row>
    <row r="5" spans="1:14" x14ac:dyDescent="0.35">
      <c r="A5" t="s">
        <v>809</v>
      </c>
      <c r="B5">
        <v>72</v>
      </c>
      <c r="C5" t="s">
        <v>1591</v>
      </c>
      <c r="D5" t="s">
        <v>20</v>
      </c>
      <c r="E5" t="s">
        <v>26</v>
      </c>
      <c r="F5" t="s">
        <v>30</v>
      </c>
      <c r="G5" s="1">
        <v>45973</v>
      </c>
      <c r="H5" t="s">
        <v>37</v>
      </c>
      <c r="I5">
        <v>33211.295419012022</v>
      </c>
      <c r="J5">
        <v>109</v>
      </c>
      <c r="K5" t="s">
        <v>18</v>
      </c>
      <c r="L5" s="1">
        <v>45978</v>
      </c>
      <c r="M5">
        <v>5</v>
      </c>
      <c r="N5" t="s">
        <v>15</v>
      </c>
    </row>
    <row r="6" spans="1:14" x14ac:dyDescent="0.35">
      <c r="A6" t="s">
        <v>810</v>
      </c>
      <c r="B6">
        <v>57</v>
      </c>
      <c r="C6" t="s">
        <v>1592</v>
      </c>
      <c r="D6" t="s">
        <v>11</v>
      </c>
      <c r="E6" t="s">
        <v>12</v>
      </c>
      <c r="F6" t="s">
        <v>32</v>
      </c>
      <c r="G6" s="1">
        <v>46002</v>
      </c>
      <c r="H6" t="s">
        <v>38</v>
      </c>
      <c r="I6">
        <v>46429.508203722617</v>
      </c>
      <c r="J6">
        <v>233</v>
      </c>
      <c r="K6" t="s">
        <v>25</v>
      </c>
      <c r="L6" s="1">
        <v>46012</v>
      </c>
      <c r="M6">
        <v>10</v>
      </c>
      <c r="N6" t="s">
        <v>15</v>
      </c>
    </row>
    <row r="7" spans="1:14" x14ac:dyDescent="0.35">
      <c r="A7" t="s">
        <v>811</v>
      </c>
      <c r="B7">
        <v>21</v>
      </c>
      <c r="C7" t="s">
        <v>1593</v>
      </c>
      <c r="D7" t="s">
        <v>11</v>
      </c>
      <c r="E7" t="s">
        <v>23</v>
      </c>
      <c r="F7" t="s">
        <v>24</v>
      </c>
      <c r="G7" s="1">
        <v>45860</v>
      </c>
      <c r="H7" t="s">
        <v>36</v>
      </c>
      <c r="I7">
        <v>12880.652412771489</v>
      </c>
      <c r="J7">
        <v>267</v>
      </c>
      <c r="K7" t="s">
        <v>14</v>
      </c>
      <c r="L7" s="1">
        <v>45865</v>
      </c>
      <c r="M7">
        <v>5</v>
      </c>
      <c r="N7" t="s">
        <v>27</v>
      </c>
    </row>
    <row r="8" spans="1:14" x14ac:dyDescent="0.35">
      <c r="A8" t="s">
        <v>812</v>
      </c>
      <c r="B8">
        <v>34</v>
      </c>
      <c r="C8" t="s">
        <v>1593</v>
      </c>
      <c r="D8" t="s">
        <v>20</v>
      </c>
      <c r="E8" t="s">
        <v>23</v>
      </c>
      <c r="F8" t="s">
        <v>13</v>
      </c>
      <c r="G8" s="1">
        <v>45686</v>
      </c>
      <c r="H8" t="s">
        <v>36</v>
      </c>
      <c r="I8">
        <v>18524.86663748576</v>
      </c>
      <c r="J8">
        <v>472</v>
      </c>
      <c r="K8" t="s">
        <v>14</v>
      </c>
      <c r="L8" s="1">
        <v>45689</v>
      </c>
      <c r="M8">
        <v>3</v>
      </c>
      <c r="N8" t="s">
        <v>31</v>
      </c>
    </row>
    <row r="9" spans="1:14" x14ac:dyDescent="0.35">
      <c r="A9" t="s">
        <v>813</v>
      </c>
      <c r="B9">
        <v>56</v>
      </c>
      <c r="C9" t="s">
        <v>1592</v>
      </c>
      <c r="D9" t="s">
        <v>11</v>
      </c>
      <c r="E9" t="s">
        <v>12</v>
      </c>
      <c r="F9" t="s">
        <v>24</v>
      </c>
      <c r="G9" s="1">
        <v>45773</v>
      </c>
      <c r="H9" t="s">
        <v>37</v>
      </c>
      <c r="I9">
        <v>26437.774630145719</v>
      </c>
      <c r="J9">
        <v>267</v>
      </c>
      <c r="K9" t="s">
        <v>18</v>
      </c>
      <c r="L9" s="1">
        <v>45778</v>
      </c>
      <c r="M9">
        <v>5</v>
      </c>
      <c r="N9" t="s">
        <v>19</v>
      </c>
    </row>
    <row r="10" spans="1:14" x14ac:dyDescent="0.35">
      <c r="A10" t="s">
        <v>814</v>
      </c>
      <c r="B10">
        <v>30</v>
      </c>
      <c r="C10" t="s">
        <v>1593</v>
      </c>
      <c r="D10" t="s">
        <v>11</v>
      </c>
      <c r="E10" t="s">
        <v>21</v>
      </c>
      <c r="F10" t="s">
        <v>13</v>
      </c>
      <c r="G10" s="1">
        <v>45832</v>
      </c>
      <c r="H10" t="s">
        <v>39</v>
      </c>
      <c r="I10">
        <v>2879.4605320542428</v>
      </c>
      <c r="J10">
        <v>183</v>
      </c>
      <c r="K10" t="s">
        <v>14</v>
      </c>
      <c r="L10" s="1">
        <v>45835</v>
      </c>
      <c r="M10">
        <v>3</v>
      </c>
      <c r="N10" t="s">
        <v>19</v>
      </c>
    </row>
    <row r="11" spans="1:14" x14ac:dyDescent="0.35">
      <c r="A11" t="s">
        <v>815</v>
      </c>
      <c r="B11">
        <v>25</v>
      </c>
      <c r="C11" t="s">
        <v>1593</v>
      </c>
      <c r="D11" t="s">
        <v>20</v>
      </c>
      <c r="E11" t="s">
        <v>16</v>
      </c>
      <c r="F11" t="s">
        <v>13</v>
      </c>
      <c r="G11" s="1">
        <v>45890</v>
      </c>
      <c r="H11" t="s">
        <v>38</v>
      </c>
      <c r="I11">
        <v>36990.455775325318</v>
      </c>
      <c r="J11">
        <v>356</v>
      </c>
      <c r="K11" t="s">
        <v>14</v>
      </c>
      <c r="L11" s="1">
        <v>45892</v>
      </c>
      <c r="M11">
        <v>2</v>
      </c>
      <c r="N11" t="s">
        <v>22</v>
      </c>
    </row>
    <row r="12" spans="1:14" x14ac:dyDescent="0.35">
      <c r="A12" t="s">
        <v>816</v>
      </c>
      <c r="B12">
        <v>49</v>
      </c>
      <c r="C12" t="s">
        <v>1594</v>
      </c>
      <c r="D12" t="s">
        <v>20</v>
      </c>
      <c r="E12" t="s">
        <v>23</v>
      </c>
      <c r="F12" t="s">
        <v>24</v>
      </c>
      <c r="G12" s="1">
        <v>45678</v>
      </c>
      <c r="H12" t="s">
        <v>39</v>
      </c>
      <c r="I12">
        <v>2133.7372022713962</v>
      </c>
      <c r="J12">
        <v>189</v>
      </c>
      <c r="K12" t="s">
        <v>14</v>
      </c>
      <c r="L12" s="1">
        <v>45683</v>
      </c>
      <c r="M12">
        <v>5</v>
      </c>
      <c r="N12" t="s">
        <v>19</v>
      </c>
    </row>
    <row r="13" spans="1:14" x14ac:dyDescent="0.35">
      <c r="A13" t="s">
        <v>817</v>
      </c>
      <c r="B13">
        <v>49</v>
      </c>
      <c r="C13" t="s">
        <v>1594</v>
      </c>
      <c r="D13" t="s">
        <v>11</v>
      </c>
      <c r="E13" t="s">
        <v>21</v>
      </c>
      <c r="F13" t="s">
        <v>24</v>
      </c>
      <c r="G13" s="1">
        <v>45941</v>
      </c>
      <c r="H13" t="s">
        <v>37</v>
      </c>
      <c r="I13">
        <v>37636.441661616896</v>
      </c>
      <c r="J13">
        <v>385</v>
      </c>
      <c r="K13" t="s">
        <v>25</v>
      </c>
      <c r="L13" s="1">
        <v>45953</v>
      </c>
      <c r="M13">
        <v>12</v>
      </c>
      <c r="N13" t="s">
        <v>19</v>
      </c>
    </row>
    <row r="14" spans="1:14" x14ac:dyDescent="0.35">
      <c r="A14" t="s">
        <v>818</v>
      </c>
      <c r="B14">
        <v>61</v>
      </c>
      <c r="C14" t="s">
        <v>1592</v>
      </c>
      <c r="D14" t="s">
        <v>20</v>
      </c>
      <c r="E14" t="s">
        <v>26</v>
      </c>
      <c r="F14" t="s">
        <v>30</v>
      </c>
      <c r="G14" s="1">
        <v>45831</v>
      </c>
      <c r="H14" t="s">
        <v>39</v>
      </c>
      <c r="I14">
        <v>20577.708926659619</v>
      </c>
      <c r="J14">
        <v>387</v>
      </c>
      <c r="K14" t="s">
        <v>25</v>
      </c>
      <c r="L14" s="1">
        <v>45832</v>
      </c>
      <c r="M14">
        <v>1</v>
      </c>
      <c r="N14" t="s">
        <v>27</v>
      </c>
    </row>
    <row r="15" spans="1:14" x14ac:dyDescent="0.35">
      <c r="A15" t="s">
        <v>819</v>
      </c>
      <c r="B15">
        <v>85</v>
      </c>
      <c r="C15" t="s">
        <v>1591</v>
      </c>
      <c r="D15" t="s">
        <v>20</v>
      </c>
      <c r="E15" t="s">
        <v>16</v>
      </c>
      <c r="F15" t="s">
        <v>13</v>
      </c>
      <c r="G15" s="1">
        <v>45953</v>
      </c>
      <c r="H15" t="s">
        <v>36</v>
      </c>
      <c r="I15">
        <v>27971.280360766319</v>
      </c>
      <c r="J15">
        <v>120</v>
      </c>
      <c r="K15" t="s">
        <v>18</v>
      </c>
      <c r="L15" s="1">
        <v>45961</v>
      </c>
      <c r="M15">
        <v>8</v>
      </c>
      <c r="N15" t="s">
        <v>31</v>
      </c>
    </row>
    <row r="16" spans="1:14" x14ac:dyDescent="0.35">
      <c r="A16" t="s">
        <v>820</v>
      </c>
      <c r="B16">
        <v>59</v>
      </c>
      <c r="C16" t="s">
        <v>1592</v>
      </c>
      <c r="D16" t="s">
        <v>20</v>
      </c>
      <c r="E16" t="s">
        <v>23</v>
      </c>
      <c r="F16" t="s">
        <v>32</v>
      </c>
      <c r="G16" s="1">
        <v>45999</v>
      </c>
      <c r="H16" t="s">
        <v>36</v>
      </c>
      <c r="I16">
        <v>7796.2596143766759</v>
      </c>
      <c r="J16">
        <v>144</v>
      </c>
      <c r="K16" t="s">
        <v>14</v>
      </c>
      <c r="L16" s="1">
        <v>46004</v>
      </c>
      <c r="M16">
        <v>5</v>
      </c>
      <c r="N16" t="s">
        <v>19</v>
      </c>
    </row>
    <row r="17" spans="1:14" x14ac:dyDescent="0.35">
      <c r="A17" t="s">
        <v>821</v>
      </c>
      <c r="B17">
        <v>77</v>
      </c>
      <c r="C17" t="s">
        <v>1591</v>
      </c>
      <c r="D17" t="s">
        <v>20</v>
      </c>
      <c r="E17" t="s">
        <v>26</v>
      </c>
      <c r="F17" t="s">
        <v>24</v>
      </c>
      <c r="G17" s="1">
        <v>45910</v>
      </c>
      <c r="H17" t="s">
        <v>37</v>
      </c>
      <c r="I17">
        <v>28228.694722456519</v>
      </c>
      <c r="J17">
        <v>277</v>
      </c>
      <c r="K17" t="s">
        <v>14</v>
      </c>
      <c r="L17" s="1">
        <v>45913</v>
      </c>
      <c r="M17">
        <v>3</v>
      </c>
      <c r="N17" t="s">
        <v>15</v>
      </c>
    </row>
    <row r="18" spans="1:14" x14ac:dyDescent="0.35">
      <c r="A18" t="s">
        <v>822</v>
      </c>
      <c r="B18">
        <v>24</v>
      </c>
      <c r="C18" t="s">
        <v>1593</v>
      </c>
      <c r="D18" t="s">
        <v>11</v>
      </c>
      <c r="E18" t="s">
        <v>21</v>
      </c>
      <c r="F18" t="s">
        <v>32</v>
      </c>
      <c r="G18" s="1">
        <v>45664</v>
      </c>
      <c r="H18" t="s">
        <v>38</v>
      </c>
      <c r="I18">
        <v>7192.6281782379574</v>
      </c>
      <c r="J18">
        <v>443</v>
      </c>
      <c r="K18" t="s">
        <v>18</v>
      </c>
      <c r="L18" s="1">
        <v>45677</v>
      </c>
      <c r="M18">
        <v>13</v>
      </c>
      <c r="N18" t="s">
        <v>27</v>
      </c>
    </row>
    <row r="19" spans="1:14" x14ac:dyDescent="0.35">
      <c r="A19" t="s">
        <v>823</v>
      </c>
      <c r="B19">
        <v>63</v>
      </c>
      <c r="C19" t="s">
        <v>1592</v>
      </c>
      <c r="D19" t="s">
        <v>11</v>
      </c>
      <c r="E19" t="s">
        <v>21</v>
      </c>
      <c r="F19" t="s">
        <v>24</v>
      </c>
      <c r="G19" s="1">
        <v>45873</v>
      </c>
      <c r="H19" t="s">
        <v>38</v>
      </c>
      <c r="I19">
        <v>22361.147596566221</v>
      </c>
      <c r="J19">
        <v>445</v>
      </c>
      <c r="K19" t="s">
        <v>18</v>
      </c>
      <c r="L19" s="1">
        <v>45878</v>
      </c>
      <c r="M19">
        <v>5</v>
      </c>
      <c r="N19" t="s">
        <v>15</v>
      </c>
    </row>
    <row r="20" spans="1:14" x14ac:dyDescent="0.35">
      <c r="A20" t="s">
        <v>824</v>
      </c>
      <c r="B20">
        <v>51</v>
      </c>
      <c r="C20" t="s">
        <v>1592</v>
      </c>
      <c r="D20" t="s">
        <v>20</v>
      </c>
      <c r="E20" t="s">
        <v>21</v>
      </c>
      <c r="F20" t="s">
        <v>17</v>
      </c>
      <c r="G20" s="1">
        <v>45659</v>
      </c>
      <c r="H20" t="s">
        <v>38</v>
      </c>
      <c r="I20">
        <v>32006.03156588805</v>
      </c>
      <c r="J20">
        <v>200</v>
      </c>
      <c r="K20" t="s">
        <v>14</v>
      </c>
      <c r="L20" s="1">
        <v>45664</v>
      </c>
      <c r="M20">
        <v>5</v>
      </c>
      <c r="N20" t="s">
        <v>27</v>
      </c>
    </row>
    <row r="21" spans="1:14" x14ac:dyDescent="0.35">
      <c r="A21" t="s">
        <v>825</v>
      </c>
      <c r="B21">
        <v>26</v>
      </c>
      <c r="C21" t="s">
        <v>1593</v>
      </c>
      <c r="D21" t="s">
        <v>11</v>
      </c>
      <c r="E21" t="s">
        <v>34</v>
      </c>
      <c r="F21" t="s">
        <v>28</v>
      </c>
      <c r="G21" s="1">
        <v>46012</v>
      </c>
      <c r="H21" t="s">
        <v>37</v>
      </c>
      <c r="I21">
        <v>45916.324833865241</v>
      </c>
      <c r="J21">
        <v>301</v>
      </c>
      <c r="K21" t="s">
        <v>25</v>
      </c>
      <c r="L21" s="1">
        <v>46018</v>
      </c>
      <c r="M21">
        <v>6</v>
      </c>
      <c r="N21" t="s">
        <v>27</v>
      </c>
    </row>
    <row r="22" spans="1:14" x14ac:dyDescent="0.35">
      <c r="A22" t="s">
        <v>826</v>
      </c>
      <c r="B22">
        <v>44</v>
      </c>
      <c r="C22" t="s">
        <v>1594</v>
      </c>
      <c r="D22" t="s">
        <v>11</v>
      </c>
      <c r="E22" t="s">
        <v>12</v>
      </c>
      <c r="F22" t="s">
        <v>32</v>
      </c>
      <c r="G22" s="1">
        <v>45926</v>
      </c>
      <c r="H22" t="s">
        <v>37</v>
      </c>
      <c r="I22">
        <v>19691.420685517242</v>
      </c>
      <c r="J22">
        <v>264</v>
      </c>
      <c r="K22" t="s">
        <v>25</v>
      </c>
      <c r="L22" s="1">
        <v>45936</v>
      </c>
      <c r="M22">
        <v>10</v>
      </c>
      <c r="N22" t="s">
        <v>22</v>
      </c>
    </row>
    <row r="23" spans="1:14" x14ac:dyDescent="0.35">
      <c r="A23" t="s">
        <v>827</v>
      </c>
      <c r="B23">
        <v>81</v>
      </c>
      <c r="C23" t="s">
        <v>1591</v>
      </c>
      <c r="D23" t="s">
        <v>20</v>
      </c>
      <c r="E23" t="s">
        <v>29</v>
      </c>
      <c r="F23" t="s">
        <v>32</v>
      </c>
      <c r="G23" s="1">
        <v>45838</v>
      </c>
      <c r="H23" t="s">
        <v>38</v>
      </c>
      <c r="I23">
        <v>3638.2461963533001</v>
      </c>
      <c r="J23">
        <v>125</v>
      </c>
      <c r="K23" t="s">
        <v>18</v>
      </c>
      <c r="L23" s="1">
        <v>45847</v>
      </c>
      <c r="M23">
        <v>9</v>
      </c>
      <c r="N23" t="s">
        <v>22</v>
      </c>
    </row>
    <row r="24" spans="1:14" x14ac:dyDescent="0.35">
      <c r="A24" t="s">
        <v>828</v>
      </c>
      <c r="B24">
        <v>78</v>
      </c>
      <c r="C24" t="s">
        <v>1591</v>
      </c>
      <c r="D24" t="s">
        <v>11</v>
      </c>
      <c r="E24" t="s">
        <v>23</v>
      </c>
      <c r="F24" t="s">
        <v>13</v>
      </c>
      <c r="G24" s="1">
        <v>45684</v>
      </c>
      <c r="H24" t="s">
        <v>37</v>
      </c>
      <c r="I24">
        <v>30549.653324730469</v>
      </c>
      <c r="J24">
        <v>314</v>
      </c>
      <c r="K24" t="s">
        <v>18</v>
      </c>
      <c r="L24" s="1">
        <v>45686</v>
      </c>
      <c r="M24">
        <v>2</v>
      </c>
      <c r="N24" t="s">
        <v>15</v>
      </c>
    </row>
    <row r="25" spans="1:14" x14ac:dyDescent="0.35">
      <c r="A25" t="s">
        <v>829</v>
      </c>
      <c r="B25">
        <v>44</v>
      </c>
      <c r="C25" t="s">
        <v>1594</v>
      </c>
      <c r="D25" t="s">
        <v>20</v>
      </c>
      <c r="E25" t="s">
        <v>33</v>
      </c>
      <c r="F25" t="s">
        <v>13</v>
      </c>
      <c r="G25" s="1">
        <v>45944</v>
      </c>
      <c r="H25" t="s">
        <v>39</v>
      </c>
      <c r="I25">
        <v>4794.7513545462562</v>
      </c>
      <c r="J25">
        <v>382</v>
      </c>
      <c r="K25" t="s">
        <v>18</v>
      </c>
      <c r="L25" s="1">
        <v>45952</v>
      </c>
      <c r="M25">
        <v>8</v>
      </c>
      <c r="N25" t="s">
        <v>15</v>
      </c>
    </row>
    <row r="26" spans="1:14" x14ac:dyDescent="0.35">
      <c r="A26" t="s">
        <v>830</v>
      </c>
      <c r="B26">
        <v>19</v>
      </c>
      <c r="C26" t="s">
        <v>1593</v>
      </c>
      <c r="D26" t="s">
        <v>20</v>
      </c>
      <c r="E26" t="s">
        <v>16</v>
      </c>
      <c r="F26" t="s">
        <v>30</v>
      </c>
      <c r="G26" s="1">
        <v>45855</v>
      </c>
      <c r="H26" t="s">
        <v>39</v>
      </c>
      <c r="I26">
        <v>41794.355426215472</v>
      </c>
      <c r="J26">
        <v>354</v>
      </c>
      <c r="K26" t="s">
        <v>18</v>
      </c>
      <c r="L26" s="1">
        <v>45867</v>
      </c>
      <c r="M26">
        <v>12</v>
      </c>
      <c r="N26" t="s">
        <v>22</v>
      </c>
    </row>
    <row r="27" spans="1:14" x14ac:dyDescent="0.35">
      <c r="A27" t="s">
        <v>831</v>
      </c>
      <c r="B27">
        <v>65</v>
      </c>
      <c r="C27" t="s">
        <v>1592</v>
      </c>
      <c r="D27" t="s">
        <v>11</v>
      </c>
      <c r="E27" t="s">
        <v>21</v>
      </c>
      <c r="F27" t="s">
        <v>17</v>
      </c>
      <c r="G27" s="1">
        <v>45850</v>
      </c>
      <c r="H27" t="s">
        <v>37</v>
      </c>
      <c r="I27">
        <v>13302.22990824893</v>
      </c>
      <c r="J27">
        <v>494</v>
      </c>
      <c r="K27" t="s">
        <v>25</v>
      </c>
      <c r="L27" s="1">
        <v>45852</v>
      </c>
      <c r="M27">
        <v>2</v>
      </c>
      <c r="N27" t="s">
        <v>27</v>
      </c>
    </row>
    <row r="28" spans="1:14" x14ac:dyDescent="0.35">
      <c r="A28" t="s">
        <v>832</v>
      </c>
      <c r="B28">
        <v>85</v>
      </c>
      <c r="C28" t="s">
        <v>1591</v>
      </c>
      <c r="D28" t="s">
        <v>20</v>
      </c>
      <c r="E28" t="s">
        <v>26</v>
      </c>
      <c r="F28" t="s">
        <v>30</v>
      </c>
      <c r="G28" s="1">
        <v>45864</v>
      </c>
      <c r="H28" t="s">
        <v>38</v>
      </c>
      <c r="I28">
        <v>13924.723861179849</v>
      </c>
      <c r="J28">
        <v>147</v>
      </c>
      <c r="K28" t="s">
        <v>25</v>
      </c>
      <c r="L28" s="1">
        <v>45865</v>
      </c>
      <c r="M28">
        <v>1</v>
      </c>
      <c r="N28" t="s">
        <v>31</v>
      </c>
    </row>
    <row r="29" spans="1:14" x14ac:dyDescent="0.35">
      <c r="A29" t="s">
        <v>833</v>
      </c>
      <c r="B29">
        <v>79</v>
      </c>
      <c r="C29" t="s">
        <v>1591</v>
      </c>
      <c r="D29" t="s">
        <v>20</v>
      </c>
      <c r="E29" t="s">
        <v>29</v>
      </c>
      <c r="F29" t="s">
        <v>32</v>
      </c>
      <c r="G29" s="1">
        <v>45846</v>
      </c>
      <c r="H29" t="s">
        <v>38</v>
      </c>
      <c r="I29">
        <v>18609.8981700976</v>
      </c>
      <c r="J29">
        <v>127</v>
      </c>
      <c r="K29" t="s">
        <v>25</v>
      </c>
      <c r="L29" s="1">
        <v>45853</v>
      </c>
      <c r="M29">
        <v>7</v>
      </c>
      <c r="N29" t="s">
        <v>31</v>
      </c>
    </row>
    <row r="30" spans="1:14" x14ac:dyDescent="0.35">
      <c r="A30" t="s">
        <v>834</v>
      </c>
      <c r="B30">
        <v>66</v>
      </c>
      <c r="C30" t="s">
        <v>1591</v>
      </c>
      <c r="D30" t="s">
        <v>20</v>
      </c>
      <c r="E30" t="s">
        <v>34</v>
      </c>
      <c r="F30" t="s">
        <v>28</v>
      </c>
      <c r="G30" s="1">
        <v>45855</v>
      </c>
      <c r="H30" t="s">
        <v>37</v>
      </c>
      <c r="I30">
        <v>26911.222987495701</v>
      </c>
      <c r="J30">
        <v>249</v>
      </c>
      <c r="K30" t="s">
        <v>25</v>
      </c>
      <c r="L30" s="1">
        <v>45866</v>
      </c>
      <c r="M30">
        <v>11</v>
      </c>
      <c r="N30" t="s">
        <v>15</v>
      </c>
    </row>
    <row r="31" spans="1:14" x14ac:dyDescent="0.35">
      <c r="A31" t="s">
        <v>835</v>
      </c>
      <c r="B31">
        <v>63</v>
      </c>
      <c r="C31" t="s">
        <v>1592</v>
      </c>
      <c r="D31" t="s">
        <v>11</v>
      </c>
      <c r="E31" t="s">
        <v>16</v>
      </c>
      <c r="F31" t="s">
        <v>13</v>
      </c>
      <c r="G31" s="1">
        <v>45981</v>
      </c>
      <c r="H31" t="s">
        <v>39</v>
      </c>
      <c r="I31">
        <v>21380.197228861711</v>
      </c>
      <c r="J31">
        <v>406</v>
      </c>
      <c r="K31" t="s">
        <v>25</v>
      </c>
      <c r="L31" s="1">
        <v>45994</v>
      </c>
      <c r="M31">
        <v>13</v>
      </c>
      <c r="N31" t="s">
        <v>31</v>
      </c>
    </row>
    <row r="32" spans="1:14" x14ac:dyDescent="0.35">
      <c r="A32" t="s">
        <v>836</v>
      </c>
      <c r="B32">
        <v>75</v>
      </c>
      <c r="C32" t="s">
        <v>1591</v>
      </c>
      <c r="D32" t="s">
        <v>20</v>
      </c>
      <c r="E32" t="s">
        <v>23</v>
      </c>
      <c r="F32" t="s">
        <v>30</v>
      </c>
      <c r="G32" s="1">
        <v>45978</v>
      </c>
      <c r="H32" t="s">
        <v>36</v>
      </c>
      <c r="I32">
        <v>13354.514225106581</v>
      </c>
      <c r="J32">
        <v>361</v>
      </c>
      <c r="K32" t="s">
        <v>25</v>
      </c>
      <c r="L32" s="1">
        <v>45980</v>
      </c>
      <c r="M32">
        <v>2</v>
      </c>
      <c r="N32" t="s">
        <v>19</v>
      </c>
    </row>
    <row r="33" spans="1:14" x14ac:dyDescent="0.35">
      <c r="A33" t="s">
        <v>837</v>
      </c>
      <c r="B33">
        <v>21</v>
      </c>
      <c r="C33" t="s">
        <v>1593</v>
      </c>
      <c r="D33" t="s">
        <v>20</v>
      </c>
      <c r="E33" t="s">
        <v>29</v>
      </c>
      <c r="F33" t="s">
        <v>32</v>
      </c>
      <c r="G33" s="1">
        <v>45899</v>
      </c>
      <c r="H33" t="s">
        <v>39</v>
      </c>
      <c r="I33">
        <v>24809.717443047339</v>
      </c>
      <c r="J33">
        <v>379</v>
      </c>
      <c r="K33" t="s">
        <v>25</v>
      </c>
      <c r="L33" s="1">
        <v>45908</v>
      </c>
      <c r="M33">
        <v>9</v>
      </c>
      <c r="N33" t="s">
        <v>27</v>
      </c>
    </row>
    <row r="34" spans="1:14" x14ac:dyDescent="0.35">
      <c r="A34" t="s">
        <v>838</v>
      </c>
      <c r="B34">
        <v>55</v>
      </c>
      <c r="C34" t="s">
        <v>1592</v>
      </c>
      <c r="D34" t="s">
        <v>20</v>
      </c>
      <c r="E34" t="s">
        <v>23</v>
      </c>
      <c r="F34" t="s">
        <v>32</v>
      </c>
      <c r="G34" s="1">
        <v>45840</v>
      </c>
      <c r="H34" t="s">
        <v>36</v>
      </c>
      <c r="I34">
        <v>27643.32340185776</v>
      </c>
      <c r="J34">
        <v>183</v>
      </c>
      <c r="K34" t="s">
        <v>25</v>
      </c>
      <c r="L34" s="1">
        <v>45850</v>
      </c>
      <c r="M34">
        <v>10</v>
      </c>
      <c r="N34" t="s">
        <v>22</v>
      </c>
    </row>
    <row r="35" spans="1:14" x14ac:dyDescent="0.35">
      <c r="A35" t="s">
        <v>839</v>
      </c>
      <c r="B35">
        <v>55</v>
      </c>
      <c r="C35" t="s">
        <v>1592</v>
      </c>
      <c r="D35" t="s">
        <v>20</v>
      </c>
      <c r="E35" t="s">
        <v>12</v>
      </c>
      <c r="F35" t="s">
        <v>17</v>
      </c>
      <c r="G35" s="1">
        <v>45873</v>
      </c>
      <c r="H35" t="s">
        <v>39</v>
      </c>
      <c r="I35">
        <v>26408.469156782219</v>
      </c>
      <c r="J35">
        <v>236</v>
      </c>
      <c r="K35" t="s">
        <v>25</v>
      </c>
      <c r="L35" s="1">
        <v>45884</v>
      </c>
      <c r="M35">
        <v>11</v>
      </c>
      <c r="N35" t="s">
        <v>15</v>
      </c>
    </row>
    <row r="36" spans="1:14" x14ac:dyDescent="0.35">
      <c r="A36" t="s">
        <v>840</v>
      </c>
      <c r="B36">
        <v>19</v>
      </c>
      <c r="C36" t="s">
        <v>1593</v>
      </c>
      <c r="D36" t="s">
        <v>11</v>
      </c>
      <c r="E36" t="s">
        <v>33</v>
      </c>
      <c r="F36" t="s">
        <v>30</v>
      </c>
      <c r="G36" s="1">
        <v>45883</v>
      </c>
      <c r="H36" t="s">
        <v>37</v>
      </c>
      <c r="I36">
        <v>49167.762946447008</v>
      </c>
      <c r="J36">
        <v>254</v>
      </c>
      <c r="K36" t="s">
        <v>25</v>
      </c>
      <c r="L36" s="1">
        <v>45894</v>
      </c>
      <c r="M36">
        <v>11</v>
      </c>
      <c r="N36" t="s">
        <v>31</v>
      </c>
    </row>
    <row r="37" spans="1:14" x14ac:dyDescent="0.35">
      <c r="A37" t="s">
        <v>841</v>
      </c>
      <c r="B37">
        <v>32</v>
      </c>
      <c r="C37" t="s">
        <v>1593</v>
      </c>
      <c r="D37" t="s">
        <v>11</v>
      </c>
      <c r="E37" t="s">
        <v>29</v>
      </c>
      <c r="F37" t="s">
        <v>13</v>
      </c>
      <c r="G37" s="1">
        <v>45753</v>
      </c>
      <c r="H37" t="s">
        <v>36</v>
      </c>
      <c r="I37">
        <v>28814.06695021379</v>
      </c>
      <c r="J37">
        <v>189</v>
      </c>
      <c r="K37" t="s">
        <v>25</v>
      </c>
      <c r="L37" s="1">
        <v>45754</v>
      </c>
      <c r="M37">
        <v>1</v>
      </c>
      <c r="N37" t="s">
        <v>31</v>
      </c>
    </row>
    <row r="38" spans="1:14" x14ac:dyDescent="0.35">
      <c r="A38" t="s">
        <v>842</v>
      </c>
      <c r="B38">
        <v>57</v>
      </c>
      <c r="C38" t="s">
        <v>1592</v>
      </c>
      <c r="D38" t="s">
        <v>11</v>
      </c>
      <c r="E38" t="s">
        <v>26</v>
      </c>
      <c r="F38" t="s">
        <v>24</v>
      </c>
      <c r="G38" s="1">
        <v>45933</v>
      </c>
      <c r="H38" t="s">
        <v>36</v>
      </c>
      <c r="I38">
        <v>21505.4210748726</v>
      </c>
      <c r="J38">
        <v>252</v>
      </c>
      <c r="K38" t="s">
        <v>25</v>
      </c>
      <c r="L38" s="1">
        <v>45942</v>
      </c>
      <c r="M38">
        <v>9</v>
      </c>
      <c r="N38" t="s">
        <v>19</v>
      </c>
    </row>
    <row r="39" spans="1:14" x14ac:dyDescent="0.35">
      <c r="A39" t="s">
        <v>843</v>
      </c>
      <c r="B39">
        <v>22</v>
      </c>
      <c r="C39" t="s">
        <v>1593</v>
      </c>
      <c r="D39" t="s">
        <v>11</v>
      </c>
      <c r="E39" t="s">
        <v>29</v>
      </c>
      <c r="F39" t="s">
        <v>13</v>
      </c>
      <c r="G39" s="1">
        <v>45726</v>
      </c>
      <c r="H39" t="s">
        <v>37</v>
      </c>
      <c r="I39">
        <v>29133.32202906816</v>
      </c>
      <c r="J39">
        <v>354</v>
      </c>
      <c r="K39" t="s">
        <v>25</v>
      </c>
      <c r="L39" s="1">
        <v>45727</v>
      </c>
      <c r="M39">
        <v>1</v>
      </c>
      <c r="N39" t="s">
        <v>27</v>
      </c>
    </row>
    <row r="40" spans="1:14" x14ac:dyDescent="0.35">
      <c r="A40" t="s">
        <v>844</v>
      </c>
      <c r="B40">
        <v>44</v>
      </c>
      <c r="C40" t="s">
        <v>1594</v>
      </c>
      <c r="D40" t="s">
        <v>20</v>
      </c>
      <c r="E40" t="s">
        <v>26</v>
      </c>
      <c r="F40" t="s">
        <v>32</v>
      </c>
      <c r="G40" s="1">
        <v>45986</v>
      </c>
      <c r="H40" t="s">
        <v>39</v>
      </c>
      <c r="I40">
        <v>48106.412366043762</v>
      </c>
      <c r="J40">
        <v>155</v>
      </c>
      <c r="K40" t="s">
        <v>25</v>
      </c>
      <c r="L40" s="1">
        <v>45987</v>
      </c>
      <c r="M40">
        <v>1</v>
      </c>
      <c r="N40" t="s">
        <v>15</v>
      </c>
    </row>
    <row r="41" spans="1:14" x14ac:dyDescent="0.35">
      <c r="A41" t="s">
        <v>845</v>
      </c>
      <c r="B41">
        <v>50</v>
      </c>
      <c r="C41" t="s">
        <v>1594</v>
      </c>
      <c r="D41" t="s">
        <v>11</v>
      </c>
      <c r="E41" t="s">
        <v>34</v>
      </c>
      <c r="F41" t="s">
        <v>13</v>
      </c>
      <c r="G41" s="1">
        <v>45693</v>
      </c>
      <c r="H41" t="s">
        <v>39</v>
      </c>
      <c r="I41">
        <v>9434.7608310983924</v>
      </c>
      <c r="J41">
        <v>372</v>
      </c>
      <c r="K41" t="s">
        <v>25</v>
      </c>
      <c r="L41" s="1">
        <v>45698</v>
      </c>
      <c r="M41">
        <v>5</v>
      </c>
      <c r="N41" t="s">
        <v>22</v>
      </c>
    </row>
    <row r="42" spans="1:14" x14ac:dyDescent="0.35">
      <c r="A42" t="s">
        <v>846</v>
      </c>
      <c r="B42">
        <v>33</v>
      </c>
      <c r="C42" t="s">
        <v>1593</v>
      </c>
      <c r="D42" t="s">
        <v>11</v>
      </c>
      <c r="E42" t="s">
        <v>23</v>
      </c>
      <c r="F42" t="s">
        <v>32</v>
      </c>
      <c r="G42" s="1">
        <v>45872</v>
      </c>
      <c r="H42" t="s">
        <v>37</v>
      </c>
      <c r="I42">
        <v>15663.98853978353</v>
      </c>
      <c r="J42">
        <v>496</v>
      </c>
      <c r="K42" t="s">
        <v>25</v>
      </c>
      <c r="L42" s="1">
        <v>45873</v>
      </c>
      <c r="M42">
        <v>1</v>
      </c>
      <c r="N42" t="s">
        <v>22</v>
      </c>
    </row>
    <row r="43" spans="1:14" x14ac:dyDescent="0.35">
      <c r="A43" t="s">
        <v>847</v>
      </c>
      <c r="B43">
        <v>75</v>
      </c>
      <c r="C43" t="s">
        <v>1591</v>
      </c>
      <c r="D43" t="s">
        <v>20</v>
      </c>
      <c r="E43" t="s">
        <v>34</v>
      </c>
      <c r="F43" t="s">
        <v>13</v>
      </c>
      <c r="G43" s="1">
        <v>45812</v>
      </c>
      <c r="H43" t="s">
        <v>36</v>
      </c>
      <c r="I43">
        <v>7733.7898217749471</v>
      </c>
      <c r="J43">
        <v>224</v>
      </c>
      <c r="K43" t="s">
        <v>25</v>
      </c>
      <c r="L43" s="1">
        <v>45821</v>
      </c>
      <c r="M43">
        <v>9</v>
      </c>
      <c r="N43" t="s">
        <v>27</v>
      </c>
    </row>
    <row r="44" spans="1:14" x14ac:dyDescent="0.35">
      <c r="A44" t="s">
        <v>848</v>
      </c>
      <c r="B44">
        <v>59</v>
      </c>
      <c r="C44" t="s">
        <v>1592</v>
      </c>
      <c r="D44" t="s">
        <v>20</v>
      </c>
      <c r="E44" t="s">
        <v>16</v>
      </c>
      <c r="F44" t="s">
        <v>30</v>
      </c>
      <c r="G44" s="1">
        <v>45809</v>
      </c>
      <c r="H44" t="s">
        <v>36</v>
      </c>
      <c r="I44">
        <v>7633.1365610129924</v>
      </c>
      <c r="J44">
        <v>459</v>
      </c>
      <c r="K44" t="s">
        <v>25</v>
      </c>
      <c r="L44" s="1">
        <v>45818</v>
      </c>
      <c r="M44">
        <v>9</v>
      </c>
      <c r="N44" t="s">
        <v>22</v>
      </c>
    </row>
    <row r="45" spans="1:14" x14ac:dyDescent="0.35">
      <c r="A45" t="s">
        <v>849</v>
      </c>
      <c r="B45">
        <v>37</v>
      </c>
      <c r="C45" t="s">
        <v>1594</v>
      </c>
      <c r="D45" t="s">
        <v>20</v>
      </c>
      <c r="E45" t="s">
        <v>29</v>
      </c>
      <c r="F45" t="s">
        <v>24</v>
      </c>
      <c r="G45" s="1">
        <v>46009</v>
      </c>
      <c r="H45" t="s">
        <v>39</v>
      </c>
      <c r="I45">
        <v>32521.057620464449</v>
      </c>
      <c r="J45">
        <v>376</v>
      </c>
      <c r="K45" t="s">
        <v>25</v>
      </c>
      <c r="L45" s="1">
        <v>46017</v>
      </c>
      <c r="M45">
        <v>8</v>
      </c>
      <c r="N45" t="s">
        <v>15</v>
      </c>
    </row>
    <row r="46" spans="1:14" x14ac:dyDescent="0.35">
      <c r="A46" t="s">
        <v>850</v>
      </c>
      <c r="B46">
        <v>77</v>
      </c>
      <c r="C46" t="s">
        <v>1591</v>
      </c>
      <c r="D46" t="s">
        <v>20</v>
      </c>
      <c r="E46" t="s">
        <v>33</v>
      </c>
      <c r="F46" t="s">
        <v>24</v>
      </c>
      <c r="G46" s="1">
        <v>45749</v>
      </c>
      <c r="H46" t="s">
        <v>37</v>
      </c>
      <c r="I46">
        <v>12207.31620726869</v>
      </c>
      <c r="J46">
        <v>189</v>
      </c>
      <c r="K46" t="s">
        <v>25</v>
      </c>
      <c r="L46" s="1">
        <v>45755</v>
      </c>
      <c r="M46">
        <v>6</v>
      </c>
      <c r="N46" t="s">
        <v>19</v>
      </c>
    </row>
    <row r="47" spans="1:14" x14ac:dyDescent="0.35">
      <c r="A47" t="s">
        <v>851</v>
      </c>
      <c r="B47">
        <v>30</v>
      </c>
      <c r="C47" t="s">
        <v>1593</v>
      </c>
      <c r="D47" t="s">
        <v>20</v>
      </c>
      <c r="E47" t="s">
        <v>34</v>
      </c>
      <c r="F47" t="s">
        <v>32</v>
      </c>
      <c r="G47" s="1">
        <v>45688</v>
      </c>
      <c r="H47" t="s">
        <v>36</v>
      </c>
      <c r="I47">
        <v>17602.655794869868</v>
      </c>
      <c r="J47">
        <v>291</v>
      </c>
      <c r="K47" t="s">
        <v>25</v>
      </c>
      <c r="L47" s="1">
        <v>45689</v>
      </c>
      <c r="M47">
        <v>1</v>
      </c>
      <c r="N47" t="s">
        <v>31</v>
      </c>
    </row>
    <row r="48" spans="1:14" x14ac:dyDescent="0.35">
      <c r="A48" t="s">
        <v>852</v>
      </c>
      <c r="B48">
        <v>47</v>
      </c>
      <c r="C48" t="s">
        <v>1594</v>
      </c>
      <c r="D48" t="s">
        <v>20</v>
      </c>
      <c r="E48" t="s">
        <v>33</v>
      </c>
      <c r="F48" t="s">
        <v>24</v>
      </c>
      <c r="G48" s="1">
        <v>45737</v>
      </c>
      <c r="H48" t="s">
        <v>37</v>
      </c>
      <c r="I48">
        <v>26489.573558170381</v>
      </c>
      <c r="J48">
        <v>403</v>
      </c>
      <c r="K48" t="s">
        <v>18</v>
      </c>
      <c r="L48" s="1">
        <v>45741</v>
      </c>
      <c r="M48">
        <v>4</v>
      </c>
      <c r="N48" t="s">
        <v>19</v>
      </c>
    </row>
    <row r="49" spans="1:14" x14ac:dyDescent="0.35">
      <c r="A49" t="s">
        <v>853</v>
      </c>
      <c r="B49">
        <v>60</v>
      </c>
      <c r="C49" t="s">
        <v>1592</v>
      </c>
      <c r="D49" t="s">
        <v>11</v>
      </c>
      <c r="E49" t="s">
        <v>34</v>
      </c>
      <c r="F49" t="s">
        <v>13</v>
      </c>
      <c r="G49" s="1">
        <v>45772</v>
      </c>
      <c r="H49" t="s">
        <v>39</v>
      </c>
      <c r="I49">
        <v>42320.295456327432</v>
      </c>
      <c r="J49">
        <v>217</v>
      </c>
      <c r="K49" t="s">
        <v>25</v>
      </c>
      <c r="L49" s="1">
        <v>45784</v>
      </c>
      <c r="M49">
        <v>12</v>
      </c>
      <c r="N49" t="s">
        <v>31</v>
      </c>
    </row>
    <row r="50" spans="1:14" x14ac:dyDescent="0.35">
      <c r="A50" t="s">
        <v>854</v>
      </c>
      <c r="B50">
        <v>82</v>
      </c>
      <c r="C50" t="s">
        <v>1591</v>
      </c>
      <c r="D50" t="s">
        <v>11</v>
      </c>
      <c r="E50" t="s">
        <v>12</v>
      </c>
      <c r="F50" t="s">
        <v>32</v>
      </c>
      <c r="G50" s="1">
        <v>46004</v>
      </c>
      <c r="H50" t="s">
        <v>39</v>
      </c>
      <c r="I50">
        <v>10551.277441968559</v>
      </c>
      <c r="J50">
        <v>145</v>
      </c>
      <c r="K50" t="s">
        <v>18</v>
      </c>
      <c r="L50" s="1">
        <v>46016</v>
      </c>
      <c r="M50">
        <v>12</v>
      </c>
      <c r="N50" t="s">
        <v>31</v>
      </c>
    </row>
    <row r="51" spans="1:14" x14ac:dyDescent="0.35">
      <c r="A51" t="s">
        <v>855</v>
      </c>
      <c r="B51">
        <v>42</v>
      </c>
      <c r="C51" t="s">
        <v>1594</v>
      </c>
      <c r="D51" t="s">
        <v>11</v>
      </c>
      <c r="E51" t="s">
        <v>23</v>
      </c>
      <c r="F51" t="s">
        <v>17</v>
      </c>
      <c r="G51" s="1">
        <v>45739</v>
      </c>
      <c r="H51" t="s">
        <v>36</v>
      </c>
      <c r="I51">
        <v>29620.696673653809</v>
      </c>
      <c r="J51">
        <v>466</v>
      </c>
      <c r="K51" t="s">
        <v>25</v>
      </c>
      <c r="L51" s="1">
        <v>45747</v>
      </c>
      <c r="M51">
        <v>8</v>
      </c>
      <c r="N51" t="s">
        <v>22</v>
      </c>
    </row>
    <row r="52" spans="1:14" x14ac:dyDescent="0.35">
      <c r="A52" t="s">
        <v>856</v>
      </c>
      <c r="B52">
        <v>30</v>
      </c>
      <c r="C52" t="s">
        <v>1593</v>
      </c>
      <c r="D52" t="s">
        <v>11</v>
      </c>
      <c r="E52" t="s">
        <v>26</v>
      </c>
      <c r="F52" t="s">
        <v>28</v>
      </c>
      <c r="G52" s="1">
        <v>45924</v>
      </c>
      <c r="H52" t="s">
        <v>36</v>
      </c>
      <c r="I52">
        <v>39420.130769473013</v>
      </c>
      <c r="J52">
        <v>449</v>
      </c>
      <c r="K52" t="s">
        <v>18</v>
      </c>
      <c r="L52" s="1">
        <v>45938</v>
      </c>
      <c r="M52">
        <v>14</v>
      </c>
      <c r="N52" t="s">
        <v>19</v>
      </c>
    </row>
    <row r="53" spans="1:14" x14ac:dyDescent="0.35">
      <c r="A53" t="s">
        <v>857</v>
      </c>
      <c r="B53">
        <v>23</v>
      </c>
      <c r="C53" t="s">
        <v>1593</v>
      </c>
      <c r="D53" t="s">
        <v>20</v>
      </c>
      <c r="E53" t="s">
        <v>26</v>
      </c>
      <c r="F53" t="s">
        <v>32</v>
      </c>
      <c r="G53" s="1">
        <v>45875</v>
      </c>
      <c r="H53" t="s">
        <v>39</v>
      </c>
      <c r="I53">
        <v>26054.68493247962</v>
      </c>
      <c r="J53">
        <v>343</v>
      </c>
      <c r="K53" t="s">
        <v>25</v>
      </c>
      <c r="L53" s="1">
        <v>45881</v>
      </c>
      <c r="M53">
        <v>6</v>
      </c>
      <c r="N53" t="s">
        <v>15</v>
      </c>
    </row>
    <row r="54" spans="1:14" x14ac:dyDescent="0.35">
      <c r="A54" t="s">
        <v>858</v>
      </c>
      <c r="B54">
        <v>54</v>
      </c>
      <c r="C54" t="s">
        <v>1592</v>
      </c>
      <c r="D54" t="s">
        <v>20</v>
      </c>
      <c r="E54" t="s">
        <v>21</v>
      </c>
      <c r="F54" t="s">
        <v>32</v>
      </c>
      <c r="G54" s="1">
        <v>45920</v>
      </c>
      <c r="H54" t="s">
        <v>39</v>
      </c>
      <c r="I54">
        <v>24308.250870419972</v>
      </c>
      <c r="J54">
        <v>367</v>
      </c>
      <c r="K54" t="s">
        <v>25</v>
      </c>
      <c r="L54" s="1">
        <v>45925</v>
      </c>
      <c r="M54">
        <v>5</v>
      </c>
      <c r="N54" t="s">
        <v>19</v>
      </c>
    </row>
    <row r="55" spans="1:14" x14ac:dyDescent="0.35">
      <c r="A55" t="s">
        <v>859</v>
      </c>
      <c r="B55">
        <v>35</v>
      </c>
      <c r="C55" t="s">
        <v>1593</v>
      </c>
      <c r="D55" t="s">
        <v>11</v>
      </c>
      <c r="E55" t="s">
        <v>12</v>
      </c>
      <c r="F55" t="s">
        <v>28</v>
      </c>
      <c r="G55" s="1">
        <v>46009</v>
      </c>
      <c r="H55" t="s">
        <v>39</v>
      </c>
      <c r="I55">
        <v>11434.567168621639</v>
      </c>
      <c r="J55">
        <v>223</v>
      </c>
      <c r="K55" t="s">
        <v>18</v>
      </c>
      <c r="L55" s="1">
        <v>46019</v>
      </c>
      <c r="M55">
        <v>10</v>
      </c>
      <c r="N55" t="s">
        <v>31</v>
      </c>
    </row>
    <row r="56" spans="1:14" x14ac:dyDescent="0.35">
      <c r="A56" t="s">
        <v>860</v>
      </c>
      <c r="B56">
        <v>47</v>
      </c>
      <c r="C56" t="s">
        <v>1594</v>
      </c>
      <c r="D56" t="s">
        <v>11</v>
      </c>
      <c r="E56" t="s">
        <v>34</v>
      </c>
      <c r="F56" t="s">
        <v>32</v>
      </c>
      <c r="G56" s="1">
        <v>45998</v>
      </c>
      <c r="H56" t="s">
        <v>36</v>
      </c>
      <c r="I56">
        <v>40168.579439122957</v>
      </c>
      <c r="J56">
        <v>472</v>
      </c>
      <c r="K56" t="s">
        <v>18</v>
      </c>
      <c r="L56" s="1">
        <v>46001</v>
      </c>
      <c r="M56">
        <v>3</v>
      </c>
      <c r="N56" t="s">
        <v>19</v>
      </c>
    </row>
    <row r="57" spans="1:14" x14ac:dyDescent="0.35">
      <c r="A57" t="s">
        <v>861</v>
      </c>
      <c r="B57">
        <v>73</v>
      </c>
      <c r="C57" t="s">
        <v>1591</v>
      </c>
      <c r="D57" t="s">
        <v>11</v>
      </c>
      <c r="E57" t="s">
        <v>12</v>
      </c>
      <c r="F57" t="s">
        <v>32</v>
      </c>
      <c r="G57" s="1">
        <v>45935</v>
      </c>
      <c r="H57" t="s">
        <v>36</v>
      </c>
      <c r="I57">
        <v>26988.097230346539</v>
      </c>
      <c r="J57">
        <v>450</v>
      </c>
      <c r="K57" t="s">
        <v>25</v>
      </c>
      <c r="L57" s="1">
        <v>45946</v>
      </c>
      <c r="M57">
        <v>11</v>
      </c>
      <c r="N57" t="s">
        <v>27</v>
      </c>
    </row>
    <row r="58" spans="1:14" x14ac:dyDescent="0.35">
      <c r="A58" t="s">
        <v>862</v>
      </c>
      <c r="B58">
        <v>39</v>
      </c>
      <c r="C58" t="s">
        <v>1594</v>
      </c>
      <c r="D58" t="s">
        <v>11</v>
      </c>
      <c r="E58" t="s">
        <v>16</v>
      </c>
      <c r="F58" t="s">
        <v>17</v>
      </c>
      <c r="G58" s="1">
        <v>45682</v>
      </c>
      <c r="H58" t="s">
        <v>37</v>
      </c>
      <c r="I58">
        <v>37607.162590914078</v>
      </c>
      <c r="J58">
        <v>370</v>
      </c>
      <c r="K58" t="s">
        <v>18</v>
      </c>
      <c r="L58" s="1">
        <v>45683</v>
      </c>
      <c r="M58">
        <v>1</v>
      </c>
      <c r="N58" t="s">
        <v>19</v>
      </c>
    </row>
    <row r="59" spans="1:14" x14ac:dyDescent="0.35">
      <c r="A59" t="s">
        <v>863</v>
      </c>
      <c r="B59">
        <v>19</v>
      </c>
      <c r="C59" t="s">
        <v>1593</v>
      </c>
      <c r="D59" t="s">
        <v>11</v>
      </c>
      <c r="E59" t="s">
        <v>12</v>
      </c>
      <c r="F59" t="s">
        <v>24</v>
      </c>
      <c r="G59" s="1">
        <v>45841</v>
      </c>
      <c r="H59" t="s">
        <v>37</v>
      </c>
      <c r="I59">
        <v>36786.419594928811</v>
      </c>
      <c r="J59">
        <v>170</v>
      </c>
      <c r="K59" t="s">
        <v>18</v>
      </c>
      <c r="L59" s="1">
        <v>45842</v>
      </c>
      <c r="M59">
        <v>1</v>
      </c>
      <c r="N59" t="s">
        <v>15</v>
      </c>
    </row>
    <row r="60" spans="1:14" x14ac:dyDescent="0.35">
      <c r="A60" t="s">
        <v>864</v>
      </c>
      <c r="B60">
        <v>41</v>
      </c>
      <c r="C60" t="s">
        <v>1594</v>
      </c>
      <c r="D60" t="s">
        <v>11</v>
      </c>
      <c r="E60" t="s">
        <v>16</v>
      </c>
      <c r="F60" t="s">
        <v>32</v>
      </c>
      <c r="G60" s="1">
        <v>46005</v>
      </c>
      <c r="H60" t="s">
        <v>37</v>
      </c>
      <c r="I60">
        <v>897.33512916354914</v>
      </c>
      <c r="J60">
        <v>215</v>
      </c>
      <c r="K60" t="s">
        <v>25</v>
      </c>
      <c r="L60" s="1">
        <v>46018</v>
      </c>
      <c r="M60">
        <v>13</v>
      </c>
      <c r="N60" t="s">
        <v>31</v>
      </c>
    </row>
    <row r="61" spans="1:14" x14ac:dyDescent="0.35">
      <c r="A61" t="s">
        <v>865</v>
      </c>
      <c r="B61">
        <v>75</v>
      </c>
      <c r="C61" t="s">
        <v>1591</v>
      </c>
      <c r="D61" t="s">
        <v>20</v>
      </c>
      <c r="E61" t="s">
        <v>16</v>
      </c>
      <c r="F61" t="s">
        <v>28</v>
      </c>
      <c r="G61" s="1">
        <v>45968</v>
      </c>
      <c r="H61" t="s">
        <v>36</v>
      </c>
      <c r="I61">
        <v>3529.128245917163</v>
      </c>
      <c r="J61">
        <v>429</v>
      </c>
      <c r="K61" t="s">
        <v>25</v>
      </c>
      <c r="L61" s="1">
        <v>45974</v>
      </c>
      <c r="M61">
        <v>6</v>
      </c>
      <c r="N61" t="s">
        <v>19</v>
      </c>
    </row>
    <row r="62" spans="1:14" x14ac:dyDescent="0.35">
      <c r="A62" t="s">
        <v>866</v>
      </c>
      <c r="B62">
        <v>36</v>
      </c>
      <c r="C62" t="s">
        <v>1594</v>
      </c>
      <c r="D62" t="s">
        <v>11</v>
      </c>
      <c r="E62" t="s">
        <v>21</v>
      </c>
      <c r="F62" t="s">
        <v>28</v>
      </c>
      <c r="G62" s="1">
        <v>45742</v>
      </c>
      <c r="H62" t="s">
        <v>39</v>
      </c>
      <c r="I62">
        <v>35398.709264291509</v>
      </c>
      <c r="J62">
        <v>263</v>
      </c>
      <c r="K62" t="s">
        <v>18</v>
      </c>
      <c r="L62" s="1">
        <v>45748</v>
      </c>
      <c r="M62">
        <v>6</v>
      </c>
      <c r="N62" t="s">
        <v>15</v>
      </c>
    </row>
    <row r="63" spans="1:14" x14ac:dyDescent="0.35">
      <c r="A63" t="s">
        <v>867</v>
      </c>
      <c r="B63">
        <v>46</v>
      </c>
      <c r="C63" t="s">
        <v>1594</v>
      </c>
      <c r="D63" t="s">
        <v>20</v>
      </c>
      <c r="E63" t="s">
        <v>26</v>
      </c>
      <c r="F63" t="s">
        <v>13</v>
      </c>
      <c r="G63" s="1">
        <v>45918</v>
      </c>
      <c r="H63" t="s">
        <v>36</v>
      </c>
      <c r="I63">
        <v>23103.0572294515</v>
      </c>
      <c r="J63">
        <v>409</v>
      </c>
      <c r="K63" t="s">
        <v>25</v>
      </c>
      <c r="L63" s="1">
        <v>45932</v>
      </c>
      <c r="M63">
        <v>14</v>
      </c>
      <c r="N63" t="s">
        <v>31</v>
      </c>
    </row>
    <row r="64" spans="1:14" x14ac:dyDescent="0.35">
      <c r="A64" t="s">
        <v>868</v>
      </c>
      <c r="B64">
        <v>18</v>
      </c>
      <c r="C64" t="s">
        <v>1595</v>
      </c>
      <c r="D64" t="s">
        <v>11</v>
      </c>
      <c r="E64" t="s">
        <v>21</v>
      </c>
      <c r="F64" t="s">
        <v>13</v>
      </c>
      <c r="G64" s="1">
        <v>45793</v>
      </c>
      <c r="H64" t="s">
        <v>39</v>
      </c>
      <c r="I64">
        <v>35709.072887239221</v>
      </c>
      <c r="J64">
        <v>284</v>
      </c>
      <c r="K64" t="s">
        <v>25</v>
      </c>
      <c r="L64" s="1">
        <v>45798</v>
      </c>
      <c r="M64">
        <v>5</v>
      </c>
      <c r="N64" t="s">
        <v>15</v>
      </c>
    </row>
    <row r="65" spans="1:14" x14ac:dyDescent="0.35">
      <c r="A65" t="s">
        <v>869</v>
      </c>
      <c r="B65">
        <v>76</v>
      </c>
      <c r="C65" t="s">
        <v>1591</v>
      </c>
      <c r="D65" t="s">
        <v>20</v>
      </c>
      <c r="E65" t="s">
        <v>12</v>
      </c>
      <c r="F65" t="s">
        <v>24</v>
      </c>
      <c r="G65" s="1">
        <v>45882</v>
      </c>
      <c r="H65" t="s">
        <v>36</v>
      </c>
      <c r="I65">
        <v>36792.385882096409</v>
      </c>
      <c r="J65">
        <v>179</v>
      </c>
      <c r="K65" t="s">
        <v>25</v>
      </c>
      <c r="L65" s="1">
        <v>45895</v>
      </c>
      <c r="M65">
        <v>13</v>
      </c>
      <c r="N65" t="s">
        <v>27</v>
      </c>
    </row>
    <row r="66" spans="1:14" x14ac:dyDescent="0.35">
      <c r="A66" t="s">
        <v>870</v>
      </c>
      <c r="B66">
        <v>74</v>
      </c>
      <c r="C66" t="s">
        <v>1591</v>
      </c>
      <c r="D66" t="s">
        <v>20</v>
      </c>
      <c r="E66" t="s">
        <v>33</v>
      </c>
      <c r="F66" t="s">
        <v>24</v>
      </c>
      <c r="G66" s="1">
        <v>45709</v>
      </c>
      <c r="H66" t="s">
        <v>37</v>
      </c>
      <c r="I66">
        <v>30961.244737653731</v>
      </c>
      <c r="J66">
        <v>413</v>
      </c>
      <c r="K66" t="s">
        <v>18</v>
      </c>
      <c r="L66" s="1">
        <v>45716</v>
      </c>
      <c r="M66">
        <v>7</v>
      </c>
      <c r="N66" t="s">
        <v>22</v>
      </c>
    </row>
    <row r="67" spans="1:14" x14ac:dyDescent="0.35">
      <c r="A67" t="s">
        <v>871</v>
      </c>
      <c r="B67">
        <v>41</v>
      </c>
      <c r="C67" t="s">
        <v>1594</v>
      </c>
      <c r="D67" t="s">
        <v>11</v>
      </c>
      <c r="E67" t="s">
        <v>26</v>
      </c>
      <c r="F67" t="s">
        <v>17</v>
      </c>
      <c r="G67" s="1">
        <v>45728</v>
      </c>
      <c r="H67" t="s">
        <v>36</v>
      </c>
      <c r="I67">
        <v>29881.638125413891</v>
      </c>
      <c r="J67">
        <v>169</v>
      </c>
      <c r="K67" t="s">
        <v>25</v>
      </c>
      <c r="L67" s="1">
        <v>45735</v>
      </c>
      <c r="M67">
        <v>7</v>
      </c>
      <c r="N67" t="s">
        <v>27</v>
      </c>
    </row>
    <row r="68" spans="1:14" x14ac:dyDescent="0.35">
      <c r="A68" t="s">
        <v>872</v>
      </c>
      <c r="B68">
        <v>56</v>
      </c>
      <c r="C68" t="s">
        <v>1592</v>
      </c>
      <c r="D68" t="s">
        <v>11</v>
      </c>
      <c r="E68" t="s">
        <v>12</v>
      </c>
      <c r="F68" t="s">
        <v>13</v>
      </c>
      <c r="G68" s="1">
        <v>45954</v>
      </c>
      <c r="H68" t="s">
        <v>37</v>
      </c>
      <c r="I68">
        <v>33066.42532790258</v>
      </c>
      <c r="J68">
        <v>312</v>
      </c>
      <c r="K68" t="s">
        <v>25</v>
      </c>
      <c r="L68" s="1">
        <v>45958</v>
      </c>
      <c r="M68">
        <v>4</v>
      </c>
      <c r="N68" t="s">
        <v>22</v>
      </c>
    </row>
    <row r="69" spans="1:14" x14ac:dyDescent="0.35">
      <c r="A69" t="s">
        <v>873</v>
      </c>
      <c r="B69">
        <v>48</v>
      </c>
      <c r="C69" t="s">
        <v>1594</v>
      </c>
      <c r="D69" t="s">
        <v>11</v>
      </c>
      <c r="E69" t="s">
        <v>26</v>
      </c>
      <c r="F69" t="s">
        <v>24</v>
      </c>
      <c r="G69" s="1">
        <v>45898</v>
      </c>
      <c r="H69" t="s">
        <v>37</v>
      </c>
      <c r="I69">
        <v>35684.392045078253</v>
      </c>
      <c r="J69">
        <v>411</v>
      </c>
      <c r="K69" t="s">
        <v>25</v>
      </c>
      <c r="L69" s="1">
        <v>45908</v>
      </c>
      <c r="M69">
        <v>10</v>
      </c>
      <c r="N69" t="s">
        <v>15</v>
      </c>
    </row>
    <row r="70" spans="1:14" x14ac:dyDescent="0.35">
      <c r="A70" t="s">
        <v>874</v>
      </c>
      <c r="B70">
        <v>51</v>
      </c>
      <c r="C70" t="s">
        <v>1592</v>
      </c>
      <c r="D70" t="s">
        <v>20</v>
      </c>
      <c r="E70" t="s">
        <v>16</v>
      </c>
      <c r="F70" t="s">
        <v>28</v>
      </c>
      <c r="G70" s="1">
        <v>45923</v>
      </c>
      <c r="H70" t="s">
        <v>39</v>
      </c>
      <c r="I70">
        <v>24271.130884345781</v>
      </c>
      <c r="J70">
        <v>226</v>
      </c>
      <c r="K70" t="s">
        <v>18</v>
      </c>
      <c r="L70" s="1">
        <v>45931</v>
      </c>
      <c r="M70">
        <v>8</v>
      </c>
      <c r="N70" t="s">
        <v>31</v>
      </c>
    </row>
    <row r="71" spans="1:14" x14ac:dyDescent="0.35">
      <c r="A71" t="s">
        <v>875</v>
      </c>
      <c r="B71">
        <v>42</v>
      </c>
      <c r="C71" t="s">
        <v>1594</v>
      </c>
      <c r="D71" t="s">
        <v>11</v>
      </c>
      <c r="E71" t="s">
        <v>33</v>
      </c>
      <c r="F71" t="s">
        <v>17</v>
      </c>
      <c r="G71" s="1">
        <v>45701</v>
      </c>
      <c r="H71" t="s">
        <v>39</v>
      </c>
      <c r="I71">
        <v>3263.4972347163061</v>
      </c>
      <c r="J71">
        <v>248</v>
      </c>
      <c r="K71" t="s">
        <v>18</v>
      </c>
      <c r="L71" s="1">
        <v>45707</v>
      </c>
      <c r="M71">
        <v>6</v>
      </c>
      <c r="N71" t="s">
        <v>19</v>
      </c>
    </row>
    <row r="72" spans="1:14" x14ac:dyDescent="0.35">
      <c r="A72" t="s">
        <v>876</v>
      </c>
      <c r="B72">
        <v>48</v>
      </c>
      <c r="C72" t="s">
        <v>1594</v>
      </c>
      <c r="D72" t="s">
        <v>11</v>
      </c>
      <c r="E72" t="s">
        <v>23</v>
      </c>
      <c r="F72" t="s">
        <v>13</v>
      </c>
      <c r="G72" s="1">
        <v>45734</v>
      </c>
      <c r="H72" t="s">
        <v>36</v>
      </c>
      <c r="I72">
        <v>24330.424672958241</v>
      </c>
      <c r="J72">
        <v>122</v>
      </c>
      <c r="K72" t="s">
        <v>25</v>
      </c>
      <c r="L72" s="1">
        <v>45737</v>
      </c>
      <c r="M72">
        <v>3</v>
      </c>
      <c r="N72" t="s">
        <v>31</v>
      </c>
    </row>
    <row r="73" spans="1:14" x14ac:dyDescent="0.35">
      <c r="A73" t="s">
        <v>877</v>
      </c>
      <c r="B73">
        <v>21</v>
      </c>
      <c r="C73" t="s">
        <v>1593</v>
      </c>
      <c r="D73" t="s">
        <v>11</v>
      </c>
      <c r="E73" t="s">
        <v>12</v>
      </c>
      <c r="F73" t="s">
        <v>17</v>
      </c>
      <c r="G73" s="1">
        <v>45982</v>
      </c>
      <c r="H73" t="s">
        <v>37</v>
      </c>
      <c r="I73">
        <v>35165.347545991361</v>
      </c>
      <c r="J73">
        <v>148</v>
      </c>
      <c r="K73" t="s">
        <v>25</v>
      </c>
      <c r="L73" s="1">
        <v>45992</v>
      </c>
      <c r="M73">
        <v>10</v>
      </c>
      <c r="N73" t="s">
        <v>31</v>
      </c>
    </row>
    <row r="74" spans="1:14" x14ac:dyDescent="0.35">
      <c r="A74" t="s">
        <v>878</v>
      </c>
      <c r="B74">
        <v>31</v>
      </c>
      <c r="C74" t="s">
        <v>1593</v>
      </c>
      <c r="D74" t="s">
        <v>11</v>
      </c>
      <c r="E74" t="s">
        <v>23</v>
      </c>
      <c r="F74" t="s">
        <v>13</v>
      </c>
      <c r="G74" s="1">
        <v>45764</v>
      </c>
      <c r="H74" t="s">
        <v>37</v>
      </c>
      <c r="I74">
        <v>36250.968878310239</v>
      </c>
      <c r="J74">
        <v>201</v>
      </c>
      <c r="K74" t="s">
        <v>25</v>
      </c>
      <c r="L74" s="1">
        <v>45775</v>
      </c>
      <c r="M74">
        <v>11</v>
      </c>
      <c r="N74" t="s">
        <v>27</v>
      </c>
    </row>
    <row r="75" spans="1:14" x14ac:dyDescent="0.35">
      <c r="A75" t="s">
        <v>879</v>
      </c>
      <c r="B75">
        <v>24</v>
      </c>
      <c r="C75" t="s">
        <v>1593</v>
      </c>
      <c r="D75" t="s">
        <v>11</v>
      </c>
      <c r="E75" t="s">
        <v>26</v>
      </c>
      <c r="F75" t="s">
        <v>30</v>
      </c>
      <c r="G75" s="1">
        <v>45758</v>
      </c>
      <c r="H75" t="s">
        <v>37</v>
      </c>
      <c r="I75">
        <v>12637.0756825794</v>
      </c>
      <c r="J75">
        <v>499</v>
      </c>
      <c r="K75" t="s">
        <v>25</v>
      </c>
      <c r="L75" s="1">
        <v>45771</v>
      </c>
      <c r="M75">
        <v>13</v>
      </c>
      <c r="N75" t="s">
        <v>27</v>
      </c>
    </row>
    <row r="76" spans="1:14" x14ac:dyDescent="0.35">
      <c r="A76" t="s">
        <v>880</v>
      </c>
      <c r="B76">
        <v>76</v>
      </c>
      <c r="C76" t="s">
        <v>1591</v>
      </c>
      <c r="D76" t="s">
        <v>20</v>
      </c>
      <c r="E76" t="s">
        <v>34</v>
      </c>
      <c r="F76" t="s">
        <v>32</v>
      </c>
      <c r="G76" s="1">
        <v>45679</v>
      </c>
      <c r="H76" t="s">
        <v>39</v>
      </c>
      <c r="I76">
        <v>24984.323711030938</v>
      </c>
      <c r="J76">
        <v>131</v>
      </c>
      <c r="K76" t="s">
        <v>25</v>
      </c>
      <c r="L76" s="1">
        <v>45687</v>
      </c>
      <c r="M76">
        <v>8</v>
      </c>
      <c r="N76" t="s">
        <v>19</v>
      </c>
    </row>
    <row r="77" spans="1:14" x14ac:dyDescent="0.35">
      <c r="A77" t="s">
        <v>881</v>
      </c>
      <c r="B77">
        <v>33</v>
      </c>
      <c r="C77" t="s">
        <v>1593</v>
      </c>
      <c r="D77" t="s">
        <v>11</v>
      </c>
      <c r="E77" t="s">
        <v>12</v>
      </c>
      <c r="F77" t="s">
        <v>30</v>
      </c>
      <c r="G77" s="1">
        <v>45887</v>
      </c>
      <c r="H77" t="s">
        <v>36</v>
      </c>
      <c r="I77">
        <v>5340.0514148335988</v>
      </c>
      <c r="J77">
        <v>252</v>
      </c>
      <c r="K77" t="s">
        <v>25</v>
      </c>
      <c r="L77" s="1">
        <v>45891</v>
      </c>
      <c r="M77">
        <v>4</v>
      </c>
      <c r="N77" t="s">
        <v>19</v>
      </c>
    </row>
    <row r="78" spans="1:14" x14ac:dyDescent="0.35">
      <c r="A78" t="s">
        <v>882</v>
      </c>
      <c r="B78">
        <v>53</v>
      </c>
      <c r="C78" t="s">
        <v>1592</v>
      </c>
      <c r="D78" t="s">
        <v>20</v>
      </c>
      <c r="E78" t="s">
        <v>33</v>
      </c>
      <c r="F78" t="s">
        <v>32</v>
      </c>
      <c r="G78" s="1">
        <v>45775</v>
      </c>
      <c r="H78" t="s">
        <v>37</v>
      </c>
      <c r="I78">
        <v>27967.388343924489</v>
      </c>
      <c r="J78">
        <v>498</v>
      </c>
      <c r="K78" t="s">
        <v>18</v>
      </c>
      <c r="L78" s="1">
        <v>45779</v>
      </c>
      <c r="M78">
        <v>4</v>
      </c>
      <c r="N78" t="s">
        <v>15</v>
      </c>
    </row>
    <row r="79" spans="1:14" x14ac:dyDescent="0.35">
      <c r="A79" t="s">
        <v>883</v>
      </c>
      <c r="B79">
        <v>37</v>
      </c>
      <c r="C79" t="s">
        <v>1594</v>
      </c>
      <c r="D79" t="s">
        <v>20</v>
      </c>
      <c r="E79" t="s">
        <v>21</v>
      </c>
      <c r="F79" t="s">
        <v>30</v>
      </c>
      <c r="G79" s="1">
        <v>45739</v>
      </c>
      <c r="H79" t="s">
        <v>39</v>
      </c>
      <c r="I79">
        <v>18083.789523970041</v>
      </c>
      <c r="J79">
        <v>337</v>
      </c>
      <c r="K79" t="s">
        <v>18</v>
      </c>
      <c r="L79" s="1">
        <v>45752</v>
      </c>
      <c r="M79">
        <v>13</v>
      </c>
      <c r="N79" t="s">
        <v>22</v>
      </c>
    </row>
    <row r="80" spans="1:14" x14ac:dyDescent="0.35">
      <c r="A80" t="s">
        <v>884</v>
      </c>
      <c r="B80">
        <v>50</v>
      </c>
      <c r="C80" t="s">
        <v>1594</v>
      </c>
      <c r="D80" t="s">
        <v>11</v>
      </c>
      <c r="E80" t="s">
        <v>23</v>
      </c>
      <c r="F80" t="s">
        <v>30</v>
      </c>
      <c r="G80" s="1">
        <v>45692</v>
      </c>
      <c r="H80" t="s">
        <v>36</v>
      </c>
      <c r="I80">
        <v>22361.29684207536</v>
      </c>
      <c r="J80">
        <v>265</v>
      </c>
      <c r="K80" t="s">
        <v>25</v>
      </c>
      <c r="L80" s="1">
        <v>45705</v>
      </c>
      <c r="M80">
        <v>13</v>
      </c>
      <c r="N80" t="s">
        <v>27</v>
      </c>
    </row>
    <row r="81" spans="1:14" x14ac:dyDescent="0.35">
      <c r="A81" t="s">
        <v>885</v>
      </c>
      <c r="B81">
        <v>78</v>
      </c>
      <c r="C81" t="s">
        <v>1591</v>
      </c>
      <c r="D81" t="s">
        <v>11</v>
      </c>
      <c r="E81" t="s">
        <v>23</v>
      </c>
      <c r="F81" t="s">
        <v>13</v>
      </c>
      <c r="G81" s="1">
        <v>45880</v>
      </c>
      <c r="H81" t="s">
        <v>37</v>
      </c>
      <c r="I81">
        <v>31725.722306520471</v>
      </c>
      <c r="J81">
        <v>372</v>
      </c>
      <c r="K81" t="s">
        <v>18</v>
      </c>
      <c r="L81" s="1">
        <v>45884</v>
      </c>
      <c r="M81">
        <v>4</v>
      </c>
      <c r="N81" t="s">
        <v>22</v>
      </c>
    </row>
    <row r="82" spans="1:14" x14ac:dyDescent="0.35">
      <c r="A82" t="s">
        <v>886</v>
      </c>
      <c r="B82">
        <v>57</v>
      </c>
      <c r="C82" t="s">
        <v>1592</v>
      </c>
      <c r="D82" t="s">
        <v>20</v>
      </c>
      <c r="E82" t="s">
        <v>33</v>
      </c>
      <c r="F82" t="s">
        <v>17</v>
      </c>
      <c r="G82" s="1">
        <v>45948</v>
      </c>
      <c r="H82" t="s">
        <v>36</v>
      </c>
      <c r="I82">
        <v>47552.063053740443</v>
      </c>
      <c r="J82">
        <v>212</v>
      </c>
      <c r="K82" t="s">
        <v>25</v>
      </c>
      <c r="L82" s="1">
        <v>45956</v>
      </c>
      <c r="M82">
        <v>8</v>
      </c>
      <c r="N82" t="s">
        <v>27</v>
      </c>
    </row>
    <row r="83" spans="1:14" x14ac:dyDescent="0.35">
      <c r="A83" t="s">
        <v>887</v>
      </c>
      <c r="B83">
        <v>26</v>
      </c>
      <c r="C83" t="s">
        <v>1593</v>
      </c>
      <c r="D83" t="s">
        <v>11</v>
      </c>
      <c r="E83" t="s">
        <v>34</v>
      </c>
      <c r="F83" t="s">
        <v>28</v>
      </c>
      <c r="G83" s="1">
        <v>45747</v>
      </c>
      <c r="H83" t="s">
        <v>39</v>
      </c>
      <c r="I83">
        <v>27118.758269869191</v>
      </c>
      <c r="J83">
        <v>236</v>
      </c>
      <c r="K83" t="s">
        <v>18</v>
      </c>
      <c r="L83" s="1">
        <v>45759</v>
      </c>
      <c r="M83">
        <v>12</v>
      </c>
      <c r="N83" t="s">
        <v>31</v>
      </c>
    </row>
    <row r="84" spans="1:14" x14ac:dyDescent="0.35">
      <c r="A84" t="s">
        <v>888</v>
      </c>
      <c r="B84">
        <v>67</v>
      </c>
      <c r="C84" t="s">
        <v>1591</v>
      </c>
      <c r="D84" t="s">
        <v>20</v>
      </c>
      <c r="E84" t="s">
        <v>29</v>
      </c>
      <c r="F84" t="s">
        <v>17</v>
      </c>
      <c r="G84" s="1">
        <v>45810</v>
      </c>
      <c r="H84" t="s">
        <v>36</v>
      </c>
      <c r="I84">
        <v>14528.200868985439</v>
      </c>
      <c r="J84">
        <v>397</v>
      </c>
      <c r="K84" t="s">
        <v>25</v>
      </c>
      <c r="L84" s="1">
        <v>45824</v>
      </c>
      <c r="M84">
        <v>14</v>
      </c>
      <c r="N84" t="s">
        <v>27</v>
      </c>
    </row>
    <row r="85" spans="1:14" x14ac:dyDescent="0.35">
      <c r="A85" t="s">
        <v>889</v>
      </c>
      <c r="B85">
        <v>61</v>
      </c>
      <c r="C85" t="s">
        <v>1592</v>
      </c>
      <c r="D85" t="s">
        <v>11</v>
      </c>
      <c r="E85" t="s">
        <v>29</v>
      </c>
      <c r="F85" t="s">
        <v>30</v>
      </c>
      <c r="G85" s="1">
        <v>45900</v>
      </c>
      <c r="H85" t="s">
        <v>39</v>
      </c>
      <c r="I85">
        <v>9333.1694948133754</v>
      </c>
      <c r="J85">
        <v>212</v>
      </c>
      <c r="K85" t="s">
        <v>25</v>
      </c>
      <c r="L85" s="1">
        <v>45903</v>
      </c>
      <c r="M85">
        <v>3</v>
      </c>
      <c r="N85" t="s">
        <v>22</v>
      </c>
    </row>
    <row r="86" spans="1:14" x14ac:dyDescent="0.35">
      <c r="A86" t="s">
        <v>890</v>
      </c>
      <c r="B86">
        <v>24</v>
      </c>
      <c r="C86" t="s">
        <v>1593</v>
      </c>
      <c r="D86" t="s">
        <v>11</v>
      </c>
      <c r="E86" t="s">
        <v>16</v>
      </c>
      <c r="F86" t="s">
        <v>30</v>
      </c>
      <c r="G86" s="1">
        <v>45687</v>
      </c>
      <c r="H86" t="s">
        <v>39</v>
      </c>
      <c r="I86">
        <v>19782.6389913577</v>
      </c>
      <c r="J86">
        <v>438</v>
      </c>
      <c r="K86" t="s">
        <v>18</v>
      </c>
      <c r="L86" s="1">
        <v>45691</v>
      </c>
      <c r="M86">
        <v>4</v>
      </c>
      <c r="N86" t="s">
        <v>19</v>
      </c>
    </row>
    <row r="87" spans="1:14" x14ac:dyDescent="0.35">
      <c r="A87" t="s">
        <v>891</v>
      </c>
      <c r="B87">
        <v>46</v>
      </c>
      <c r="C87" t="s">
        <v>1594</v>
      </c>
      <c r="D87" t="s">
        <v>20</v>
      </c>
      <c r="E87" t="s">
        <v>16</v>
      </c>
      <c r="F87" t="s">
        <v>13</v>
      </c>
      <c r="G87" s="1">
        <v>45945</v>
      </c>
      <c r="H87" t="s">
        <v>36</v>
      </c>
      <c r="I87">
        <v>28119.131954616299</v>
      </c>
      <c r="J87">
        <v>200</v>
      </c>
      <c r="K87" t="s">
        <v>25</v>
      </c>
      <c r="L87" s="1">
        <v>45956</v>
      </c>
      <c r="M87">
        <v>11</v>
      </c>
      <c r="N87" t="s">
        <v>19</v>
      </c>
    </row>
    <row r="88" spans="1:14" x14ac:dyDescent="0.35">
      <c r="A88" t="s">
        <v>892</v>
      </c>
      <c r="B88">
        <v>52</v>
      </c>
      <c r="C88" t="s">
        <v>1592</v>
      </c>
      <c r="D88" t="s">
        <v>11</v>
      </c>
      <c r="E88" t="s">
        <v>21</v>
      </c>
      <c r="F88" t="s">
        <v>13</v>
      </c>
      <c r="G88" s="1">
        <v>45785</v>
      </c>
      <c r="H88" t="s">
        <v>37</v>
      </c>
      <c r="I88">
        <v>22014.36322015616</v>
      </c>
      <c r="J88">
        <v>206</v>
      </c>
      <c r="K88" t="s">
        <v>18</v>
      </c>
      <c r="L88" s="1">
        <v>45793</v>
      </c>
      <c r="M88">
        <v>8</v>
      </c>
      <c r="N88" t="s">
        <v>19</v>
      </c>
    </row>
    <row r="89" spans="1:14" x14ac:dyDescent="0.35">
      <c r="A89" t="s">
        <v>893</v>
      </c>
      <c r="B89">
        <v>63</v>
      </c>
      <c r="C89" t="s">
        <v>1592</v>
      </c>
      <c r="D89" t="s">
        <v>20</v>
      </c>
      <c r="E89" t="s">
        <v>29</v>
      </c>
      <c r="F89" t="s">
        <v>13</v>
      </c>
      <c r="G89" s="1">
        <v>45994</v>
      </c>
      <c r="H89" t="s">
        <v>37</v>
      </c>
      <c r="I89">
        <v>7872.138635918418</v>
      </c>
      <c r="J89">
        <v>121</v>
      </c>
      <c r="K89" t="s">
        <v>18</v>
      </c>
      <c r="L89" s="1">
        <v>46001</v>
      </c>
      <c r="M89">
        <v>7</v>
      </c>
      <c r="N89" t="s">
        <v>19</v>
      </c>
    </row>
    <row r="90" spans="1:14" x14ac:dyDescent="0.35">
      <c r="A90" t="s">
        <v>894</v>
      </c>
      <c r="B90">
        <v>71</v>
      </c>
      <c r="C90" t="s">
        <v>1591</v>
      </c>
      <c r="D90" t="s">
        <v>11</v>
      </c>
      <c r="E90" t="s">
        <v>29</v>
      </c>
      <c r="F90" t="s">
        <v>32</v>
      </c>
      <c r="G90" s="1">
        <v>45940</v>
      </c>
      <c r="H90" t="s">
        <v>39</v>
      </c>
      <c r="I90">
        <v>46271.376196317018</v>
      </c>
      <c r="J90">
        <v>145</v>
      </c>
      <c r="K90" t="s">
        <v>25</v>
      </c>
      <c r="L90" s="1">
        <v>45946</v>
      </c>
      <c r="M90">
        <v>6</v>
      </c>
      <c r="N90" t="s">
        <v>31</v>
      </c>
    </row>
    <row r="91" spans="1:14" x14ac:dyDescent="0.35">
      <c r="A91" t="s">
        <v>895</v>
      </c>
      <c r="B91">
        <v>20</v>
      </c>
      <c r="C91" t="s">
        <v>1593</v>
      </c>
      <c r="D91" t="s">
        <v>11</v>
      </c>
      <c r="E91" t="s">
        <v>21</v>
      </c>
      <c r="F91" t="s">
        <v>13</v>
      </c>
      <c r="G91" s="1">
        <v>45775</v>
      </c>
      <c r="H91" t="s">
        <v>36</v>
      </c>
      <c r="I91">
        <v>20616.550195486539</v>
      </c>
      <c r="J91">
        <v>426</v>
      </c>
      <c r="K91" t="s">
        <v>25</v>
      </c>
      <c r="L91" s="1">
        <v>45780</v>
      </c>
      <c r="M91">
        <v>5</v>
      </c>
      <c r="N91" t="s">
        <v>19</v>
      </c>
    </row>
    <row r="92" spans="1:14" x14ac:dyDescent="0.35">
      <c r="A92" t="s">
        <v>896</v>
      </c>
      <c r="B92">
        <v>72</v>
      </c>
      <c r="C92" t="s">
        <v>1591</v>
      </c>
      <c r="D92" t="s">
        <v>20</v>
      </c>
      <c r="E92" t="s">
        <v>23</v>
      </c>
      <c r="F92" t="s">
        <v>30</v>
      </c>
      <c r="G92" s="1">
        <v>45723</v>
      </c>
      <c r="H92" t="s">
        <v>36</v>
      </c>
      <c r="I92">
        <v>47267.928203278279</v>
      </c>
      <c r="J92">
        <v>170</v>
      </c>
      <c r="K92" t="s">
        <v>25</v>
      </c>
      <c r="L92" s="1">
        <v>45736</v>
      </c>
      <c r="M92">
        <v>13</v>
      </c>
      <c r="N92" t="s">
        <v>27</v>
      </c>
    </row>
    <row r="93" spans="1:14" x14ac:dyDescent="0.35">
      <c r="A93" t="s">
        <v>897</v>
      </c>
      <c r="B93">
        <v>58</v>
      </c>
      <c r="C93" t="s">
        <v>1592</v>
      </c>
      <c r="D93" t="s">
        <v>20</v>
      </c>
      <c r="E93" t="s">
        <v>21</v>
      </c>
      <c r="F93" t="s">
        <v>13</v>
      </c>
      <c r="G93" s="1">
        <v>45701</v>
      </c>
      <c r="H93" t="s">
        <v>36</v>
      </c>
      <c r="I93">
        <v>2403.2908991141949</v>
      </c>
      <c r="J93">
        <v>349</v>
      </c>
      <c r="K93" t="s">
        <v>25</v>
      </c>
      <c r="L93" s="1">
        <v>45714</v>
      </c>
      <c r="M93">
        <v>13</v>
      </c>
      <c r="N93" t="s">
        <v>27</v>
      </c>
    </row>
    <row r="94" spans="1:14" x14ac:dyDescent="0.35">
      <c r="A94" t="s">
        <v>898</v>
      </c>
      <c r="B94">
        <v>23</v>
      </c>
      <c r="C94" t="s">
        <v>1593</v>
      </c>
      <c r="D94" t="s">
        <v>11</v>
      </c>
      <c r="E94" t="s">
        <v>33</v>
      </c>
      <c r="F94" t="s">
        <v>28</v>
      </c>
      <c r="G94" s="1">
        <v>45794</v>
      </c>
      <c r="H94" t="s">
        <v>37</v>
      </c>
      <c r="I94">
        <v>49817.112709190013</v>
      </c>
      <c r="J94">
        <v>422</v>
      </c>
      <c r="K94" t="s">
        <v>18</v>
      </c>
      <c r="L94" s="1">
        <v>45808</v>
      </c>
      <c r="M94">
        <v>14</v>
      </c>
      <c r="N94" t="s">
        <v>22</v>
      </c>
    </row>
    <row r="95" spans="1:14" x14ac:dyDescent="0.35">
      <c r="A95" t="s">
        <v>899</v>
      </c>
      <c r="B95">
        <v>33</v>
      </c>
      <c r="C95" t="s">
        <v>1593</v>
      </c>
      <c r="D95" t="s">
        <v>20</v>
      </c>
      <c r="E95" t="s">
        <v>26</v>
      </c>
      <c r="F95" t="s">
        <v>28</v>
      </c>
      <c r="G95" s="1">
        <v>45676</v>
      </c>
      <c r="H95" t="s">
        <v>37</v>
      </c>
      <c r="I95">
        <v>44302.237204928053</v>
      </c>
      <c r="J95">
        <v>289</v>
      </c>
      <c r="K95" t="s">
        <v>25</v>
      </c>
      <c r="L95" s="1">
        <v>45680</v>
      </c>
      <c r="M95">
        <v>4</v>
      </c>
      <c r="N95" t="s">
        <v>27</v>
      </c>
    </row>
    <row r="96" spans="1:14" x14ac:dyDescent="0.35">
      <c r="A96" t="s">
        <v>900</v>
      </c>
      <c r="B96">
        <v>69</v>
      </c>
      <c r="C96" t="s">
        <v>1591</v>
      </c>
      <c r="D96" t="s">
        <v>20</v>
      </c>
      <c r="E96" t="s">
        <v>33</v>
      </c>
      <c r="F96" t="s">
        <v>17</v>
      </c>
      <c r="G96" s="1">
        <v>45678</v>
      </c>
      <c r="H96" t="s">
        <v>39</v>
      </c>
      <c r="I96">
        <v>24579.105440731211</v>
      </c>
      <c r="J96">
        <v>205</v>
      </c>
      <c r="K96" t="s">
        <v>25</v>
      </c>
      <c r="L96" s="1">
        <v>45691</v>
      </c>
      <c r="M96">
        <v>13</v>
      </c>
      <c r="N96" t="s">
        <v>31</v>
      </c>
    </row>
    <row r="97" spans="1:14" x14ac:dyDescent="0.35">
      <c r="A97" t="s">
        <v>901</v>
      </c>
      <c r="B97">
        <v>49</v>
      </c>
      <c r="C97" t="s">
        <v>1594</v>
      </c>
      <c r="D97" t="s">
        <v>11</v>
      </c>
      <c r="E97" t="s">
        <v>12</v>
      </c>
      <c r="F97" t="s">
        <v>30</v>
      </c>
      <c r="G97" s="1">
        <v>45728</v>
      </c>
      <c r="H97" t="s">
        <v>36</v>
      </c>
      <c r="I97">
        <v>4372.7058190851922</v>
      </c>
      <c r="J97">
        <v>469</v>
      </c>
      <c r="K97" t="s">
        <v>25</v>
      </c>
      <c r="L97" s="1">
        <v>45738</v>
      </c>
      <c r="M97">
        <v>10</v>
      </c>
      <c r="N97" t="s">
        <v>19</v>
      </c>
    </row>
    <row r="98" spans="1:14" x14ac:dyDescent="0.35">
      <c r="A98" t="s">
        <v>902</v>
      </c>
      <c r="B98">
        <v>65</v>
      </c>
      <c r="C98" t="s">
        <v>1592</v>
      </c>
      <c r="D98" t="s">
        <v>11</v>
      </c>
      <c r="E98" t="s">
        <v>26</v>
      </c>
      <c r="F98" t="s">
        <v>28</v>
      </c>
      <c r="G98" s="1">
        <v>45864</v>
      </c>
      <c r="H98" t="s">
        <v>36</v>
      </c>
      <c r="I98">
        <v>33093.480796531549</v>
      </c>
      <c r="J98">
        <v>447</v>
      </c>
      <c r="K98" t="s">
        <v>25</v>
      </c>
      <c r="L98" s="1">
        <v>45871</v>
      </c>
      <c r="M98">
        <v>7</v>
      </c>
      <c r="N98" t="s">
        <v>22</v>
      </c>
    </row>
    <row r="99" spans="1:14" x14ac:dyDescent="0.35">
      <c r="A99" t="s">
        <v>903</v>
      </c>
      <c r="B99">
        <v>29</v>
      </c>
      <c r="C99" t="s">
        <v>1593</v>
      </c>
      <c r="D99" t="s">
        <v>11</v>
      </c>
      <c r="E99" t="s">
        <v>16</v>
      </c>
      <c r="F99" t="s">
        <v>32</v>
      </c>
      <c r="G99" s="1">
        <v>45932</v>
      </c>
      <c r="H99" t="s">
        <v>39</v>
      </c>
      <c r="I99">
        <v>24035.26042122404</v>
      </c>
      <c r="J99">
        <v>279</v>
      </c>
      <c r="K99" t="s">
        <v>18</v>
      </c>
      <c r="L99" s="1">
        <v>45936</v>
      </c>
      <c r="M99">
        <v>4</v>
      </c>
      <c r="N99" t="s">
        <v>27</v>
      </c>
    </row>
    <row r="100" spans="1:14" x14ac:dyDescent="0.35">
      <c r="A100" t="s">
        <v>904</v>
      </c>
      <c r="B100">
        <v>56</v>
      </c>
      <c r="C100" t="s">
        <v>1592</v>
      </c>
      <c r="D100" t="s">
        <v>20</v>
      </c>
      <c r="E100" t="s">
        <v>23</v>
      </c>
      <c r="F100" t="s">
        <v>28</v>
      </c>
      <c r="G100" s="1">
        <v>45783</v>
      </c>
      <c r="H100" t="s">
        <v>36</v>
      </c>
      <c r="I100">
        <v>43338.856482574731</v>
      </c>
      <c r="J100">
        <v>370</v>
      </c>
      <c r="K100" t="s">
        <v>25</v>
      </c>
      <c r="L100" s="1">
        <v>45793</v>
      </c>
      <c r="M100">
        <v>10</v>
      </c>
      <c r="N100" t="s">
        <v>27</v>
      </c>
    </row>
    <row r="101" spans="1:14" x14ac:dyDescent="0.35">
      <c r="A101" t="s">
        <v>905</v>
      </c>
      <c r="B101">
        <v>18</v>
      </c>
      <c r="C101" t="s">
        <v>1595</v>
      </c>
      <c r="D101" t="s">
        <v>20</v>
      </c>
      <c r="E101" t="s">
        <v>21</v>
      </c>
      <c r="F101" t="s">
        <v>32</v>
      </c>
      <c r="G101" s="1">
        <v>45667</v>
      </c>
      <c r="H101" t="s">
        <v>37</v>
      </c>
      <c r="I101">
        <v>23994.01574671215</v>
      </c>
      <c r="J101">
        <v>399</v>
      </c>
      <c r="K101" t="s">
        <v>25</v>
      </c>
      <c r="L101" s="1">
        <v>45678</v>
      </c>
      <c r="M101">
        <v>11</v>
      </c>
      <c r="N101" t="s">
        <v>15</v>
      </c>
    </row>
    <row r="102" spans="1:14" x14ac:dyDescent="0.35">
      <c r="A102" t="s">
        <v>906</v>
      </c>
      <c r="B102">
        <v>38</v>
      </c>
      <c r="C102" t="s">
        <v>1594</v>
      </c>
      <c r="D102" t="s">
        <v>11</v>
      </c>
      <c r="E102" t="s">
        <v>34</v>
      </c>
      <c r="F102" t="s">
        <v>17</v>
      </c>
      <c r="G102" s="1">
        <v>45985</v>
      </c>
      <c r="H102" t="s">
        <v>36</v>
      </c>
      <c r="I102">
        <v>17312.715680722849</v>
      </c>
      <c r="J102">
        <v>442</v>
      </c>
      <c r="K102" t="s">
        <v>25</v>
      </c>
      <c r="L102" s="1">
        <v>45993</v>
      </c>
      <c r="M102">
        <v>8</v>
      </c>
      <c r="N102" t="s">
        <v>22</v>
      </c>
    </row>
    <row r="103" spans="1:14" x14ac:dyDescent="0.35">
      <c r="A103" t="s">
        <v>907</v>
      </c>
      <c r="B103">
        <v>42</v>
      </c>
      <c r="C103" t="s">
        <v>1594</v>
      </c>
      <c r="D103" t="s">
        <v>11</v>
      </c>
      <c r="E103" t="s">
        <v>33</v>
      </c>
      <c r="F103" t="s">
        <v>32</v>
      </c>
      <c r="G103" s="1">
        <v>45872</v>
      </c>
      <c r="H103" t="s">
        <v>37</v>
      </c>
      <c r="I103">
        <v>45128.61868448554</v>
      </c>
      <c r="J103">
        <v>203</v>
      </c>
      <c r="K103" t="s">
        <v>25</v>
      </c>
      <c r="L103" s="1">
        <v>45884</v>
      </c>
      <c r="M103">
        <v>12</v>
      </c>
      <c r="N103" t="s">
        <v>15</v>
      </c>
    </row>
    <row r="104" spans="1:14" x14ac:dyDescent="0.35">
      <c r="A104" t="s">
        <v>908</v>
      </c>
      <c r="B104">
        <v>21</v>
      </c>
      <c r="C104" t="s">
        <v>1593</v>
      </c>
      <c r="D104" t="s">
        <v>20</v>
      </c>
      <c r="E104" t="s">
        <v>34</v>
      </c>
      <c r="F104" t="s">
        <v>17</v>
      </c>
      <c r="G104" s="1">
        <v>45775</v>
      </c>
      <c r="H104" t="s">
        <v>37</v>
      </c>
      <c r="I104">
        <v>49577.493746851898</v>
      </c>
      <c r="J104">
        <v>438</v>
      </c>
      <c r="K104" t="s">
        <v>25</v>
      </c>
      <c r="L104" s="1">
        <v>45780</v>
      </c>
      <c r="M104">
        <v>5</v>
      </c>
      <c r="N104" t="s">
        <v>22</v>
      </c>
    </row>
    <row r="105" spans="1:14" x14ac:dyDescent="0.35">
      <c r="A105" t="s">
        <v>909</v>
      </c>
      <c r="B105">
        <v>81</v>
      </c>
      <c r="C105" t="s">
        <v>1591</v>
      </c>
      <c r="D105" t="s">
        <v>11</v>
      </c>
      <c r="E105" t="s">
        <v>12</v>
      </c>
      <c r="F105" t="s">
        <v>28</v>
      </c>
      <c r="G105" s="1">
        <v>45938</v>
      </c>
      <c r="H105" t="s">
        <v>37</v>
      </c>
      <c r="I105">
        <v>2504.204965769301</v>
      </c>
      <c r="J105">
        <v>225</v>
      </c>
      <c r="K105" t="s">
        <v>18</v>
      </c>
      <c r="L105" s="1">
        <v>45940</v>
      </c>
      <c r="M105">
        <v>2</v>
      </c>
      <c r="N105" t="s">
        <v>15</v>
      </c>
    </row>
    <row r="106" spans="1:14" x14ac:dyDescent="0.35">
      <c r="A106" t="s">
        <v>910</v>
      </c>
      <c r="B106">
        <v>73</v>
      </c>
      <c r="C106" t="s">
        <v>1591</v>
      </c>
      <c r="D106" t="s">
        <v>11</v>
      </c>
      <c r="E106" t="s">
        <v>34</v>
      </c>
      <c r="F106" t="s">
        <v>13</v>
      </c>
      <c r="G106" s="1">
        <v>45949</v>
      </c>
      <c r="H106" t="s">
        <v>39</v>
      </c>
      <c r="I106">
        <v>41191.887321978567</v>
      </c>
      <c r="J106">
        <v>348</v>
      </c>
      <c r="K106" t="s">
        <v>18</v>
      </c>
      <c r="L106" s="1">
        <v>45959</v>
      </c>
      <c r="M106">
        <v>10</v>
      </c>
      <c r="N106" t="s">
        <v>22</v>
      </c>
    </row>
    <row r="107" spans="1:14" x14ac:dyDescent="0.35">
      <c r="A107" t="s">
        <v>911</v>
      </c>
      <c r="B107">
        <v>33</v>
      </c>
      <c r="C107" t="s">
        <v>1593</v>
      </c>
      <c r="D107" t="s">
        <v>20</v>
      </c>
      <c r="E107" t="s">
        <v>16</v>
      </c>
      <c r="F107" t="s">
        <v>17</v>
      </c>
      <c r="G107" s="1">
        <v>45999</v>
      </c>
      <c r="H107" t="s">
        <v>37</v>
      </c>
      <c r="I107">
        <v>30219.21558658464</v>
      </c>
      <c r="J107">
        <v>125</v>
      </c>
      <c r="K107" t="s">
        <v>18</v>
      </c>
      <c r="L107" s="1">
        <v>46010</v>
      </c>
      <c r="M107">
        <v>11</v>
      </c>
      <c r="N107" t="s">
        <v>19</v>
      </c>
    </row>
    <row r="108" spans="1:14" x14ac:dyDescent="0.35">
      <c r="A108" t="s">
        <v>912</v>
      </c>
      <c r="B108">
        <v>48</v>
      </c>
      <c r="C108" t="s">
        <v>1594</v>
      </c>
      <c r="D108" t="s">
        <v>11</v>
      </c>
      <c r="E108" t="s">
        <v>34</v>
      </c>
      <c r="F108" t="s">
        <v>17</v>
      </c>
      <c r="G108" s="1">
        <v>45890</v>
      </c>
      <c r="H108" t="s">
        <v>37</v>
      </c>
      <c r="I108">
        <v>17223.815442985619</v>
      </c>
      <c r="J108">
        <v>467</v>
      </c>
      <c r="K108" t="s">
        <v>18</v>
      </c>
      <c r="L108" s="1">
        <v>45894</v>
      </c>
      <c r="M108">
        <v>4</v>
      </c>
      <c r="N108" t="s">
        <v>15</v>
      </c>
    </row>
    <row r="109" spans="1:14" x14ac:dyDescent="0.35">
      <c r="A109" t="s">
        <v>913</v>
      </c>
      <c r="B109">
        <v>48</v>
      </c>
      <c r="C109" t="s">
        <v>1594</v>
      </c>
      <c r="D109" t="s">
        <v>20</v>
      </c>
      <c r="E109" t="s">
        <v>23</v>
      </c>
      <c r="F109" t="s">
        <v>13</v>
      </c>
      <c r="G109" s="1">
        <v>45807</v>
      </c>
      <c r="H109" t="s">
        <v>37</v>
      </c>
      <c r="I109">
        <v>32178.919828630289</v>
      </c>
      <c r="J109">
        <v>325</v>
      </c>
      <c r="K109" t="s">
        <v>25</v>
      </c>
      <c r="L109" s="1">
        <v>45816</v>
      </c>
      <c r="M109">
        <v>9</v>
      </c>
      <c r="N109" t="s">
        <v>19</v>
      </c>
    </row>
    <row r="110" spans="1:14" x14ac:dyDescent="0.35">
      <c r="A110" t="s">
        <v>914</v>
      </c>
      <c r="B110">
        <v>66</v>
      </c>
      <c r="C110" t="s">
        <v>1591</v>
      </c>
      <c r="D110" t="s">
        <v>11</v>
      </c>
      <c r="E110" t="s">
        <v>34</v>
      </c>
      <c r="F110" t="s">
        <v>28</v>
      </c>
      <c r="G110" s="1">
        <v>45756</v>
      </c>
      <c r="H110" t="s">
        <v>36</v>
      </c>
      <c r="I110">
        <v>33342.063686175992</v>
      </c>
      <c r="J110">
        <v>448</v>
      </c>
      <c r="K110" t="s">
        <v>25</v>
      </c>
      <c r="L110" s="1">
        <v>45758</v>
      </c>
      <c r="M110">
        <v>2</v>
      </c>
      <c r="N110" t="s">
        <v>15</v>
      </c>
    </row>
    <row r="111" spans="1:14" x14ac:dyDescent="0.35">
      <c r="A111" t="s">
        <v>915</v>
      </c>
      <c r="B111">
        <v>52</v>
      </c>
      <c r="C111" t="s">
        <v>1592</v>
      </c>
      <c r="D111" t="s">
        <v>11</v>
      </c>
      <c r="E111" t="s">
        <v>33</v>
      </c>
      <c r="F111" t="s">
        <v>28</v>
      </c>
      <c r="G111" s="1">
        <v>45823</v>
      </c>
      <c r="H111" t="s">
        <v>36</v>
      </c>
      <c r="I111">
        <v>12242.96951293959</v>
      </c>
      <c r="J111">
        <v>288</v>
      </c>
      <c r="K111" t="s">
        <v>25</v>
      </c>
      <c r="L111" s="1">
        <v>45832</v>
      </c>
      <c r="M111">
        <v>9</v>
      </c>
      <c r="N111" t="s">
        <v>15</v>
      </c>
    </row>
    <row r="112" spans="1:14" x14ac:dyDescent="0.35">
      <c r="A112" t="s">
        <v>916</v>
      </c>
      <c r="B112">
        <v>64</v>
      </c>
      <c r="C112" t="s">
        <v>1592</v>
      </c>
      <c r="D112" t="s">
        <v>20</v>
      </c>
      <c r="E112" t="s">
        <v>23</v>
      </c>
      <c r="F112" t="s">
        <v>13</v>
      </c>
      <c r="G112" s="1">
        <v>45807</v>
      </c>
      <c r="H112" t="s">
        <v>37</v>
      </c>
      <c r="I112">
        <v>49088.077953631189</v>
      </c>
      <c r="J112">
        <v>161</v>
      </c>
      <c r="K112" t="s">
        <v>18</v>
      </c>
      <c r="L112" s="1">
        <v>45816</v>
      </c>
      <c r="M112">
        <v>9</v>
      </c>
      <c r="N112" t="s">
        <v>27</v>
      </c>
    </row>
    <row r="113" spans="1:14" x14ac:dyDescent="0.35">
      <c r="A113" t="s">
        <v>917</v>
      </c>
      <c r="B113">
        <v>72</v>
      </c>
      <c r="C113" t="s">
        <v>1591</v>
      </c>
      <c r="D113" t="s">
        <v>20</v>
      </c>
      <c r="E113" t="s">
        <v>33</v>
      </c>
      <c r="F113" t="s">
        <v>30</v>
      </c>
      <c r="G113" s="1">
        <v>45708</v>
      </c>
      <c r="H113" t="s">
        <v>37</v>
      </c>
      <c r="I113">
        <v>1174.2596511194511</v>
      </c>
      <c r="J113">
        <v>228</v>
      </c>
      <c r="K113" t="s">
        <v>18</v>
      </c>
      <c r="L113" s="1">
        <v>45718</v>
      </c>
      <c r="M113">
        <v>10</v>
      </c>
      <c r="N113" t="s">
        <v>22</v>
      </c>
    </row>
    <row r="114" spans="1:14" x14ac:dyDescent="0.35">
      <c r="A114" t="s">
        <v>918</v>
      </c>
      <c r="B114">
        <v>59</v>
      </c>
      <c r="C114" t="s">
        <v>1592</v>
      </c>
      <c r="D114" t="s">
        <v>20</v>
      </c>
      <c r="E114" t="s">
        <v>16</v>
      </c>
      <c r="F114" t="s">
        <v>30</v>
      </c>
      <c r="G114" s="1">
        <v>45676</v>
      </c>
      <c r="H114" t="s">
        <v>39</v>
      </c>
      <c r="I114">
        <v>44039.045414918473</v>
      </c>
      <c r="J114">
        <v>104</v>
      </c>
      <c r="K114" t="s">
        <v>18</v>
      </c>
      <c r="L114" s="1">
        <v>45682</v>
      </c>
      <c r="M114">
        <v>6</v>
      </c>
      <c r="N114" t="s">
        <v>27</v>
      </c>
    </row>
    <row r="115" spans="1:14" x14ac:dyDescent="0.35">
      <c r="A115" t="s">
        <v>919</v>
      </c>
      <c r="B115">
        <v>19</v>
      </c>
      <c r="C115" t="s">
        <v>1593</v>
      </c>
      <c r="D115" t="s">
        <v>20</v>
      </c>
      <c r="E115" t="s">
        <v>16</v>
      </c>
      <c r="F115" t="s">
        <v>13</v>
      </c>
      <c r="G115" s="1">
        <v>45677</v>
      </c>
      <c r="H115" t="s">
        <v>36</v>
      </c>
      <c r="I115">
        <v>34841.526279194717</v>
      </c>
      <c r="J115">
        <v>227</v>
      </c>
      <c r="K115" t="s">
        <v>25</v>
      </c>
      <c r="L115" s="1">
        <v>45679</v>
      </c>
      <c r="M115">
        <v>2</v>
      </c>
      <c r="N115" t="s">
        <v>22</v>
      </c>
    </row>
    <row r="116" spans="1:14" x14ac:dyDescent="0.35">
      <c r="A116" t="s">
        <v>920</v>
      </c>
      <c r="B116">
        <v>57</v>
      </c>
      <c r="C116" t="s">
        <v>1592</v>
      </c>
      <c r="D116" t="s">
        <v>11</v>
      </c>
      <c r="E116" t="s">
        <v>16</v>
      </c>
      <c r="F116" t="s">
        <v>17</v>
      </c>
      <c r="G116" s="1">
        <v>45764</v>
      </c>
      <c r="H116" t="s">
        <v>39</v>
      </c>
      <c r="I116">
        <v>24972.101953197671</v>
      </c>
      <c r="J116">
        <v>492</v>
      </c>
      <c r="K116" t="s">
        <v>25</v>
      </c>
      <c r="L116" s="1">
        <v>45774</v>
      </c>
      <c r="M116">
        <v>10</v>
      </c>
      <c r="N116" t="s">
        <v>22</v>
      </c>
    </row>
    <row r="117" spans="1:14" x14ac:dyDescent="0.35">
      <c r="A117" t="s">
        <v>921</v>
      </c>
      <c r="B117">
        <v>37</v>
      </c>
      <c r="C117" t="s">
        <v>1594</v>
      </c>
      <c r="D117" t="s">
        <v>20</v>
      </c>
      <c r="E117" t="s">
        <v>12</v>
      </c>
      <c r="F117" t="s">
        <v>17</v>
      </c>
      <c r="G117" s="1">
        <v>45880</v>
      </c>
      <c r="H117" t="s">
        <v>39</v>
      </c>
      <c r="I117">
        <v>15528.373245424589</v>
      </c>
      <c r="J117">
        <v>309</v>
      </c>
      <c r="K117" t="s">
        <v>18</v>
      </c>
      <c r="L117" s="1">
        <v>45891</v>
      </c>
      <c r="M117">
        <v>11</v>
      </c>
      <c r="N117" t="s">
        <v>27</v>
      </c>
    </row>
    <row r="118" spans="1:14" x14ac:dyDescent="0.35">
      <c r="A118" t="s">
        <v>922</v>
      </c>
      <c r="B118">
        <v>39</v>
      </c>
      <c r="C118" t="s">
        <v>1594</v>
      </c>
      <c r="D118" t="s">
        <v>20</v>
      </c>
      <c r="E118" t="s">
        <v>16</v>
      </c>
      <c r="F118" t="s">
        <v>28</v>
      </c>
      <c r="G118" s="1">
        <v>45690</v>
      </c>
      <c r="H118" t="s">
        <v>37</v>
      </c>
      <c r="I118">
        <v>45726.142715749193</v>
      </c>
      <c r="J118">
        <v>487</v>
      </c>
      <c r="K118" t="s">
        <v>25</v>
      </c>
      <c r="L118" s="1">
        <v>45702</v>
      </c>
      <c r="M118">
        <v>12</v>
      </c>
      <c r="N118" t="s">
        <v>27</v>
      </c>
    </row>
    <row r="119" spans="1:14" x14ac:dyDescent="0.35">
      <c r="A119" t="s">
        <v>923</v>
      </c>
      <c r="B119">
        <v>83</v>
      </c>
      <c r="C119" t="s">
        <v>1591</v>
      </c>
      <c r="D119" t="s">
        <v>11</v>
      </c>
      <c r="E119" t="s">
        <v>26</v>
      </c>
      <c r="F119" t="s">
        <v>17</v>
      </c>
      <c r="G119" s="1">
        <v>45684</v>
      </c>
      <c r="H119" t="s">
        <v>37</v>
      </c>
      <c r="I119">
        <v>11734.61351509644</v>
      </c>
      <c r="J119">
        <v>206</v>
      </c>
      <c r="K119" t="s">
        <v>18</v>
      </c>
      <c r="L119" s="1">
        <v>45698</v>
      </c>
      <c r="M119">
        <v>14</v>
      </c>
      <c r="N119" t="s">
        <v>19</v>
      </c>
    </row>
    <row r="120" spans="1:14" x14ac:dyDescent="0.35">
      <c r="A120" t="s">
        <v>924</v>
      </c>
      <c r="B120">
        <v>70</v>
      </c>
      <c r="C120" t="s">
        <v>1591</v>
      </c>
      <c r="D120" t="s">
        <v>20</v>
      </c>
      <c r="E120" t="s">
        <v>33</v>
      </c>
      <c r="F120" t="s">
        <v>28</v>
      </c>
      <c r="G120" s="1">
        <v>45934</v>
      </c>
      <c r="H120" t="s">
        <v>37</v>
      </c>
      <c r="I120">
        <v>36521.864234060064</v>
      </c>
      <c r="J120">
        <v>345</v>
      </c>
      <c r="K120" t="s">
        <v>18</v>
      </c>
      <c r="L120" s="1">
        <v>45938</v>
      </c>
      <c r="M120">
        <v>4</v>
      </c>
      <c r="N120" t="s">
        <v>31</v>
      </c>
    </row>
    <row r="121" spans="1:14" x14ac:dyDescent="0.35">
      <c r="A121" t="s">
        <v>925</v>
      </c>
      <c r="B121">
        <v>76</v>
      </c>
      <c r="C121" t="s">
        <v>1591</v>
      </c>
      <c r="D121" t="s">
        <v>11</v>
      </c>
      <c r="E121" t="s">
        <v>23</v>
      </c>
      <c r="F121" t="s">
        <v>30</v>
      </c>
      <c r="G121" s="1">
        <v>45941</v>
      </c>
      <c r="H121" t="s">
        <v>37</v>
      </c>
      <c r="I121">
        <v>19252.864675574579</v>
      </c>
      <c r="J121">
        <v>297</v>
      </c>
      <c r="K121" t="s">
        <v>25</v>
      </c>
      <c r="L121" s="1">
        <v>45947</v>
      </c>
      <c r="M121">
        <v>6</v>
      </c>
      <c r="N121" t="s">
        <v>27</v>
      </c>
    </row>
    <row r="122" spans="1:14" x14ac:dyDescent="0.35">
      <c r="A122" t="s">
        <v>926</v>
      </c>
      <c r="B122">
        <v>19</v>
      </c>
      <c r="C122" t="s">
        <v>1593</v>
      </c>
      <c r="D122" t="s">
        <v>11</v>
      </c>
      <c r="E122" t="s">
        <v>33</v>
      </c>
      <c r="F122" t="s">
        <v>24</v>
      </c>
      <c r="G122" s="1">
        <v>45915</v>
      </c>
      <c r="H122" t="s">
        <v>39</v>
      </c>
      <c r="I122">
        <v>8537.2245416379938</v>
      </c>
      <c r="J122">
        <v>376</v>
      </c>
      <c r="K122" t="s">
        <v>25</v>
      </c>
      <c r="L122" s="1">
        <v>45917</v>
      </c>
      <c r="M122">
        <v>2</v>
      </c>
      <c r="N122" t="s">
        <v>22</v>
      </c>
    </row>
    <row r="123" spans="1:14" x14ac:dyDescent="0.35">
      <c r="A123" t="s">
        <v>927</v>
      </c>
      <c r="B123">
        <v>19</v>
      </c>
      <c r="C123" t="s">
        <v>1593</v>
      </c>
      <c r="D123" t="s">
        <v>11</v>
      </c>
      <c r="E123" t="s">
        <v>26</v>
      </c>
      <c r="F123" t="s">
        <v>30</v>
      </c>
      <c r="G123" s="1">
        <v>45752</v>
      </c>
      <c r="H123" t="s">
        <v>39</v>
      </c>
      <c r="I123">
        <v>40147.11959375396</v>
      </c>
      <c r="J123">
        <v>365</v>
      </c>
      <c r="K123" t="s">
        <v>25</v>
      </c>
      <c r="L123" s="1">
        <v>45753</v>
      </c>
      <c r="M123">
        <v>1</v>
      </c>
      <c r="N123" t="s">
        <v>15</v>
      </c>
    </row>
    <row r="124" spans="1:14" x14ac:dyDescent="0.35">
      <c r="A124" t="s">
        <v>928</v>
      </c>
      <c r="B124">
        <v>47</v>
      </c>
      <c r="C124" t="s">
        <v>1594</v>
      </c>
      <c r="D124" t="s">
        <v>11</v>
      </c>
      <c r="E124" t="s">
        <v>34</v>
      </c>
      <c r="F124" t="s">
        <v>32</v>
      </c>
      <c r="G124" s="1">
        <v>45988</v>
      </c>
      <c r="H124" t="s">
        <v>37</v>
      </c>
      <c r="I124">
        <v>38078.95631060782</v>
      </c>
      <c r="J124">
        <v>101</v>
      </c>
      <c r="K124" t="s">
        <v>25</v>
      </c>
      <c r="L124" s="1">
        <v>45996</v>
      </c>
      <c r="M124">
        <v>8</v>
      </c>
      <c r="N124" t="s">
        <v>27</v>
      </c>
    </row>
    <row r="125" spans="1:14" x14ac:dyDescent="0.35">
      <c r="A125" t="s">
        <v>929</v>
      </c>
      <c r="B125">
        <v>32</v>
      </c>
      <c r="C125" t="s">
        <v>1593</v>
      </c>
      <c r="D125" t="s">
        <v>11</v>
      </c>
      <c r="E125" t="s">
        <v>21</v>
      </c>
      <c r="F125" t="s">
        <v>32</v>
      </c>
      <c r="G125" s="1">
        <v>45823</v>
      </c>
      <c r="H125" t="s">
        <v>39</v>
      </c>
      <c r="I125">
        <v>29400.900403814328</v>
      </c>
      <c r="J125">
        <v>162</v>
      </c>
      <c r="K125" t="s">
        <v>18</v>
      </c>
      <c r="L125" s="1">
        <v>45824</v>
      </c>
      <c r="M125">
        <v>1</v>
      </c>
      <c r="N125" t="s">
        <v>27</v>
      </c>
    </row>
    <row r="126" spans="1:14" x14ac:dyDescent="0.35">
      <c r="A126" t="s">
        <v>930</v>
      </c>
      <c r="B126">
        <v>71</v>
      </c>
      <c r="C126" t="s">
        <v>1591</v>
      </c>
      <c r="D126" t="s">
        <v>20</v>
      </c>
      <c r="E126" t="s">
        <v>26</v>
      </c>
      <c r="F126" t="s">
        <v>32</v>
      </c>
      <c r="G126" s="1">
        <v>45948</v>
      </c>
      <c r="H126" t="s">
        <v>39</v>
      </c>
      <c r="I126">
        <v>46455.543023351252</v>
      </c>
      <c r="J126">
        <v>341</v>
      </c>
      <c r="K126" t="s">
        <v>25</v>
      </c>
      <c r="L126" s="1">
        <v>45960</v>
      </c>
      <c r="M126">
        <v>12</v>
      </c>
      <c r="N126" t="s">
        <v>31</v>
      </c>
    </row>
    <row r="127" spans="1:14" x14ac:dyDescent="0.35">
      <c r="A127" t="s">
        <v>931</v>
      </c>
      <c r="B127">
        <v>47</v>
      </c>
      <c r="C127" t="s">
        <v>1594</v>
      </c>
      <c r="D127" t="s">
        <v>20</v>
      </c>
      <c r="E127" t="s">
        <v>23</v>
      </c>
      <c r="F127" t="s">
        <v>30</v>
      </c>
      <c r="G127" s="1">
        <v>45855</v>
      </c>
      <c r="H127" t="s">
        <v>37</v>
      </c>
      <c r="I127">
        <v>5689.9941503376622</v>
      </c>
      <c r="J127">
        <v>256</v>
      </c>
      <c r="K127" t="s">
        <v>25</v>
      </c>
      <c r="L127" s="1">
        <v>45869</v>
      </c>
      <c r="M127">
        <v>14</v>
      </c>
      <c r="N127" t="s">
        <v>22</v>
      </c>
    </row>
    <row r="128" spans="1:14" x14ac:dyDescent="0.35">
      <c r="A128" t="s">
        <v>932</v>
      </c>
      <c r="B128">
        <v>28</v>
      </c>
      <c r="C128" t="s">
        <v>1593</v>
      </c>
      <c r="D128" t="s">
        <v>20</v>
      </c>
      <c r="E128" t="s">
        <v>16</v>
      </c>
      <c r="F128" t="s">
        <v>24</v>
      </c>
      <c r="G128" s="1">
        <v>45873</v>
      </c>
      <c r="H128" t="s">
        <v>39</v>
      </c>
      <c r="I128">
        <v>7297.4709818187775</v>
      </c>
      <c r="J128">
        <v>442</v>
      </c>
      <c r="K128" t="s">
        <v>18</v>
      </c>
      <c r="L128" s="1">
        <v>45880</v>
      </c>
      <c r="M128">
        <v>7</v>
      </c>
      <c r="N128" t="s">
        <v>19</v>
      </c>
    </row>
    <row r="129" spans="1:14" x14ac:dyDescent="0.35">
      <c r="A129" t="s">
        <v>933</v>
      </c>
      <c r="B129">
        <v>48</v>
      </c>
      <c r="C129" t="s">
        <v>1594</v>
      </c>
      <c r="D129" t="s">
        <v>20</v>
      </c>
      <c r="E129" t="s">
        <v>23</v>
      </c>
      <c r="F129" t="s">
        <v>17</v>
      </c>
      <c r="G129" s="1">
        <v>45919</v>
      </c>
      <c r="H129" t="s">
        <v>37</v>
      </c>
      <c r="I129">
        <v>16419.093707440948</v>
      </c>
      <c r="J129">
        <v>114</v>
      </c>
      <c r="K129" t="s">
        <v>25</v>
      </c>
      <c r="L129" s="1">
        <v>45933</v>
      </c>
      <c r="M129">
        <v>14</v>
      </c>
      <c r="N129" t="s">
        <v>27</v>
      </c>
    </row>
    <row r="130" spans="1:14" x14ac:dyDescent="0.35">
      <c r="A130" t="s">
        <v>934</v>
      </c>
      <c r="B130">
        <v>58</v>
      </c>
      <c r="C130" t="s">
        <v>1592</v>
      </c>
      <c r="D130" t="s">
        <v>20</v>
      </c>
      <c r="E130" t="s">
        <v>26</v>
      </c>
      <c r="F130" t="s">
        <v>28</v>
      </c>
      <c r="G130" s="1">
        <v>45810</v>
      </c>
      <c r="H130" t="s">
        <v>39</v>
      </c>
      <c r="I130">
        <v>26001.63339521633</v>
      </c>
      <c r="J130">
        <v>162</v>
      </c>
      <c r="K130" t="s">
        <v>25</v>
      </c>
      <c r="L130" s="1">
        <v>45818</v>
      </c>
      <c r="M130">
        <v>8</v>
      </c>
      <c r="N130" t="s">
        <v>19</v>
      </c>
    </row>
    <row r="131" spans="1:14" x14ac:dyDescent="0.35">
      <c r="A131" t="s">
        <v>935</v>
      </c>
      <c r="B131">
        <v>65</v>
      </c>
      <c r="C131" t="s">
        <v>1592</v>
      </c>
      <c r="D131" t="s">
        <v>11</v>
      </c>
      <c r="E131" t="s">
        <v>26</v>
      </c>
      <c r="F131" t="s">
        <v>24</v>
      </c>
      <c r="G131" s="1">
        <v>45930</v>
      </c>
      <c r="H131" t="s">
        <v>39</v>
      </c>
      <c r="I131">
        <v>24994.77334558095</v>
      </c>
      <c r="J131">
        <v>111</v>
      </c>
      <c r="K131" t="s">
        <v>25</v>
      </c>
      <c r="L131" s="1">
        <v>45939</v>
      </c>
      <c r="M131">
        <v>9</v>
      </c>
      <c r="N131" t="s">
        <v>19</v>
      </c>
    </row>
    <row r="132" spans="1:14" x14ac:dyDescent="0.35">
      <c r="A132" t="s">
        <v>936</v>
      </c>
      <c r="B132">
        <v>65</v>
      </c>
      <c r="C132" t="s">
        <v>1592</v>
      </c>
      <c r="D132" t="s">
        <v>20</v>
      </c>
      <c r="E132" t="s">
        <v>33</v>
      </c>
      <c r="F132" t="s">
        <v>28</v>
      </c>
      <c r="G132" s="1">
        <v>46018</v>
      </c>
      <c r="H132" t="s">
        <v>39</v>
      </c>
      <c r="I132">
        <v>41521.996402825112</v>
      </c>
      <c r="J132">
        <v>256</v>
      </c>
      <c r="K132" t="s">
        <v>25</v>
      </c>
      <c r="L132" s="1">
        <v>46021</v>
      </c>
      <c r="M132">
        <v>3</v>
      </c>
      <c r="N132" t="s">
        <v>15</v>
      </c>
    </row>
    <row r="133" spans="1:14" x14ac:dyDescent="0.35">
      <c r="A133" t="s">
        <v>937</v>
      </c>
      <c r="B133">
        <v>23</v>
      </c>
      <c r="C133" t="s">
        <v>1593</v>
      </c>
      <c r="D133" t="s">
        <v>20</v>
      </c>
      <c r="E133" t="s">
        <v>23</v>
      </c>
      <c r="F133" t="s">
        <v>13</v>
      </c>
      <c r="G133" s="1">
        <v>45929</v>
      </c>
      <c r="H133" t="s">
        <v>37</v>
      </c>
      <c r="I133">
        <v>3859.8851801063179</v>
      </c>
      <c r="J133">
        <v>474</v>
      </c>
      <c r="K133" t="s">
        <v>18</v>
      </c>
      <c r="L133" s="1">
        <v>45940</v>
      </c>
      <c r="M133">
        <v>11</v>
      </c>
      <c r="N133" t="s">
        <v>22</v>
      </c>
    </row>
    <row r="134" spans="1:14" x14ac:dyDescent="0.35">
      <c r="A134" t="s">
        <v>938</v>
      </c>
      <c r="B134">
        <v>61</v>
      </c>
      <c r="C134" t="s">
        <v>1592</v>
      </c>
      <c r="D134" t="s">
        <v>11</v>
      </c>
      <c r="E134" t="s">
        <v>34</v>
      </c>
      <c r="F134" t="s">
        <v>13</v>
      </c>
      <c r="G134" s="1">
        <v>45727</v>
      </c>
      <c r="H134" t="s">
        <v>37</v>
      </c>
      <c r="I134">
        <v>24273.48737879414</v>
      </c>
      <c r="J134">
        <v>312</v>
      </c>
      <c r="K134" t="s">
        <v>25</v>
      </c>
      <c r="L134" s="1">
        <v>45733</v>
      </c>
      <c r="M134">
        <v>6</v>
      </c>
      <c r="N134" t="s">
        <v>31</v>
      </c>
    </row>
    <row r="135" spans="1:14" x14ac:dyDescent="0.35">
      <c r="A135" t="s">
        <v>939</v>
      </c>
      <c r="B135">
        <v>45</v>
      </c>
      <c r="C135" t="s">
        <v>1594</v>
      </c>
      <c r="D135" t="s">
        <v>20</v>
      </c>
      <c r="E135" t="s">
        <v>12</v>
      </c>
      <c r="F135" t="s">
        <v>13</v>
      </c>
      <c r="G135" s="1">
        <v>45707</v>
      </c>
      <c r="H135" t="s">
        <v>37</v>
      </c>
      <c r="I135">
        <v>28406.33718004428</v>
      </c>
      <c r="J135">
        <v>310</v>
      </c>
      <c r="K135" t="s">
        <v>25</v>
      </c>
      <c r="L135" s="1">
        <v>45718</v>
      </c>
      <c r="M135">
        <v>11</v>
      </c>
      <c r="N135" t="s">
        <v>31</v>
      </c>
    </row>
    <row r="136" spans="1:14" x14ac:dyDescent="0.35">
      <c r="A136" t="s">
        <v>940</v>
      </c>
      <c r="B136">
        <v>52</v>
      </c>
      <c r="C136" t="s">
        <v>1592</v>
      </c>
      <c r="D136" t="s">
        <v>11</v>
      </c>
      <c r="E136" t="s">
        <v>33</v>
      </c>
      <c r="F136" t="s">
        <v>24</v>
      </c>
      <c r="G136" s="1">
        <v>45807</v>
      </c>
      <c r="H136" t="s">
        <v>39</v>
      </c>
      <c r="I136">
        <v>33038.502738682677</v>
      </c>
      <c r="J136">
        <v>454</v>
      </c>
      <c r="K136" t="s">
        <v>25</v>
      </c>
      <c r="L136" s="1">
        <v>45815</v>
      </c>
      <c r="M136">
        <v>8</v>
      </c>
      <c r="N136" t="s">
        <v>15</v>
      </c>
    </row>
    <row r="137" spans="1:14" x14ac:dyDescent="0.35">
      <c r="A137" t="s">
        <v>941</v>
      </c>
      <c r="B137">
        <v>68</v>
      </c>
      <c r="C137" t="s">
        <v>1591</v>
      </c>
      <c r="D137" t="s">
        <v>11</v>
      </c>
      <c r="E137" t="s">
        <v>26</v>
      </c>
      <c r="F137" t="s">
        <v>30</v>
      </c>
      <c r="G137" s="1">
        <v>45996</v>
      </c>
      <c r="H137" t="s">
        <v>39</v>
      </c>
      <c r="I137">
        <v>42227.726101736138</v>
      </c>
      <c r="J137">
        <v>434</v>
      </c>
      <c r="K137" t="s">
        <v>18</v>
      </c>
      <c r="L137" s="1">
        <v>46000</v>
      </c>
      <c r="M137">
        <v>4</v>
      </c>
      <c r="N137" t="s">
        <v>22</v>
      </c>
    </row>
    <row r="138" spans="1:14" x14ac:dyDescent="0.35">
      <c r="A138" t="s">
        <v>942</v>
      </c>
      <c r="B138">
        <v>59</v>
      </c>
      <c r="C138" t="s">
        <v>1592</v>
      </c>
      <c r="D138" t="s">
        <v>11</v>
      </c>
      <c r="E138" t="s">
        <v>12</v>
      </c>
      <c r="F138" t="s">
        <v>13</v>
      </c>
      <c r="G138" s="1">
        <v>45893</v>
      </c>
      <c r="H138" t="s">
        <v>37</v>
      </c>
      <c r="I138">
        <v>24057.29659438031</v>
      </c>
      <c r="J138">
        <v>181</v>
      </c>
      <c r="K138" t="s">
        <v>18</v>
      </c>
      <c r="L138" s="1">
        <v>45896</v>
      </c>
      <c r="M138">
        <v>3</v>
      </c>
      <c r="N138" t="s">
        <v>22</v>
      </c>
    </row>
    <row r="139" spans="1:14" x14ac:dyDescent="0.35">
      <c r="A139" t="s">
        <v>943</v>
      </c>
      <c r="B139">
        <v>51</v>
      </c>
      <c r="C139" t="s">
        <v>1592</v>
      </c>
      <c r="D139" t="s">
        <v>11</v>
      </c>
      <c r="E139" t="s">
        <v>21</v>
      </c>
      <c r="F139" t="s">
        <v>24</v>
      </c>
      <c r="G139" s="1">
        <v>45855</v>
      </c>
      <c r="H139" t="s">
        <v>37</v>
      </c>
      <c r="I139">
        <v>46743.776680204028</v>
      </c>
      <c r="J139">
        <v>324</v>
      </c>
      <c r="K139" t="s">
        <v>18</v>
      </c>
      <c r="L139" s="1">
        <v>45858</v>
      </c>
      <c r="M139">
        <v>3</v>
      </c>
      <c r="N139" t="s">
        <v>15</v>
      </c>
    </row>
    <row r="140" spans="1:14" x14ac:dyDescent="0.35">
      <c r="A140" t="s">
        <v>944</v>
      </c>
      <c r="B140">
        <v>20</v>
      </c>
      <c r="C140" t="s">
        <v>1593</v>
      </c>
      <c r="D140" t="s">
        <v>11</v>
      </c>
      <c r="E140" t="s">
        <v>21</v>
      </c>
      <c r="F140" t="s">
        <v>13</v>
      </c>
      <c r="G140" s="1">
        <v>45704</v>
      </c>
      <c r="H140" t="s">
        <v>37</v>
      </c>
      <c r="I140">
        <v>6259.4234207235468</v>
      </c>
      <c r="J140">
        <v>214</v>
      </c>
      <c r="K140" t="s">
        <v>25</v>
      </c>
      <c r="L140" s="1">
        <v>45715</v>
      </c>
      <c r="M140">
        <v>11</v>
      </c>
      <c r="N140" t="s">
        <v>27</v>
      </c>
    </row>
    <row r="141" spans="1:14" x14ac:dyDescent="0.35">
      <c r="A141" t="s">
        <v>945</v>
      </c>
      <c r="B141">
        <v>49</v>
      </c>
      <c r="C141" t="s">
        <v>1594</v>
      </c>
      <c r="D141" t="s">
        <v>11</v>
      </c>
      <c r="E141" t="s">
        <v>29</v>
      </c>
      <c r="F141" t="s">
        <v>28</v>
      </c>
      <c r="G141" s="1">
        <v>45851</v>
      </c>
      <c r="H141" t="s">
        <v>39</v>
      </c>
      <c r="I141">
        <v>15652.00792330142</v>
      </c>
      <c r="J141">
        <v>114</v>
      </c>
      <c r="K141" t="s">
        <v>25</v>
      </c>
      <c r="L141" s="1">
        <v>45852</v>
      </c>
      <c r="M141">
        <v>1</v>
      </c>
      <c r="N141" t="s">
        <v>15</v>
      </c>
    </row>
    <row r="142" spans="1:14" x14ac:dyDescent="0.35">
      <c r="A142" t="s">
        <v>946</v>
      </c>
      <c r="B142">
        <v>32</v>
      </c>
      <c r="C142" t="s">
        <v>1593</v>
      </c>
      <c r="D142" t="s">
        <v>11</v>
      </c>
      <c r="E142" t="s">
        <v>23</v>
      </c>
      <c r="F142" t="s">
        <v>32</v>
      </c>
      <c r="G142" s="1">
        <v>45711</v>
      </c>
      <c r="H142" t="s">
        <v>36</v>
      </c>
      <c r="I142">
        <v>31289.441687456871</v>
      </c>
      <c r="J142">
        <v>102</v>
      </c>
      <c r="K142" t="s">
        <v>25</v>
      </c>
      <c r="L142" s="1">
        <v>45723</v>
      </c>
      <c r="M142">
        <v>12</v>
      </c>
      <c r="N142" t="s">
        <v>22</v>
      </c>
    </row>
    <row r="143" spans="1:14" x14ac:dyDescent="0.35">
      <c r="A143" t="s">
        <v>947</v>
      </c>
      <c r="B143">
        <v>50</v>
      </c>
      <c r="C143" t="s">
        <v>1594</v>
      </c>
      <c r="D143" t="s">
        <v>20</v>
      </c>
      <c r="E143" t="s">
        <v>16</v>
      </c>
      <c r="F143" t="s">
        <v>24</v>
      </c>
      <c r="G143" s="1">
        <v>45820</v>
      </c>
      <c r="H143" t="s">
        <v>39</v>
      </c>
      <c r="I143">
        <v>40720.99649456409</v>
      </c>
      <c r="J143">
        <v>193</v>
      </c>
      <c r="K143" t="s">
        <v>18</v>
      </c>
      <c r="L143" s="1">
        <v>45829</v>
      </c>
      <c r="M143">
        <v>9</v>
      </c>
      <c r="N143" t="s">
        <v>22</v>
      </c>
    </row>
    <row r="144" spans="1:14" x14ac:dyDescent="0.35">
      <c r="A144" t="s">
        <v>948</v>
      </c>
      <c r="B144">
        <v>50</v>
      </c>
      <c r="C144" t="s">
        <v>1594</v>
      </c>
      <c r="D144" t="s">
        <v>11</v>
      </c>
      <c r="E144" t="s">
        <v>12</v>
      </c>
      <c r="F144" t="s">
        <v>28</v>
      </c>
      <c r="G144" s="1">
        <v>45823</v>
      </c>
      <c r="H144" t="s">
        <v>37</v>
      </c>
      <c r="I144">
        <v>34417.980749458089</v>
      </c>
      <c r="J144">
        <v>298</v>
      </c>
      <c r="K144" t="s">
        <v>18</v>
      </c>
      <c r="L144" s="1">
        <v>45833</v>
      </c>
      <c r="M144">
        <v>10</v>
      </c>
      <c r="N144" t="s">
        <v>15</v>
      </c>
    </row>
    <row r="145" spans="1:14" x14ac:dyDescent="0.35">
      <c r="A145" t="s">
        <v>949</v>
      </c>
      <c r="B145">
        <v>43</v>
      </c>
      <c r="C145" t="s">
        <v>1594</v>
      </c>
      <c r="D145" t="s">
        <v>20</v>
      </c>
      <c r="E145" t="s">
        <v>21</v>
      </c>
      <c r="F145" t="s">
        <v>32</v>
      </c>
      <c r="G145" s="1">
        <v>45982</v>
      </c>
      <c r="H145" t="s">
        <v>36</v>
      </c>
      <c r="I145">
        <v>15420.45726720126</v>
      </c>
      <c r="J145">
        <v>416</v>
      </c>
      <c r="K145" t="s">
        <v>25</v>
      </c>
      <c r="L145" s="1">
        <v>45994</v>
      </c>
      <c r="M145">
        <v>12</v>
      </c>
      <c r="N145" t="s">
        <v>27</v>
      </c>
    </row>
    <row r="146" spans="1:14" x14ac:dyDescent="0.35">
      <c r="A146" t="s">
        <v>950</v>
      </c>
      <c r="B146">
        <v>60</v>
      </c>
      <c r="C146" t="s">
        <v>1592</v>
      </c>
      <c r="D146" t="s">
        <v>11</v>
      </c>
      <c r="E146" t="s">
        <v>26</v>
      </c>
      <c r="F146" t="s">
        <v>30</v>
      </c>
      <c r="G146" s="1">
        <v>45800</v>
      </c>
      <c r="H146" t="s">
        <v>39</v>
      </c>
      <c r="I146">
        <v>37899.746910195863</v>
      </c>
      <c r="J146">
        <v>183</v>
      </c>
      <c r="K146" t="s">
        <v>25</v>
      </c>
      <c r="L146" s="1">
        <v>45802</v>
      </c>
      <c r="M146">
        <v>2</v>
      </c>
      <c r="N146" t="s">
        <v>19</v>
      </c>
    </row>
    <row r="147" spans="1:14" x14ac:dyDescent="0.35">
      <c r="A147" t="s">
        <v>951</v>
      </c>
      <c r="B147">
        <v>41</v>
      </c>
      <c r="C147" t="s">
        <v>1594</v>
      </c>
      <c r="D147" t="s">
        <v>11</v>
      </c>
      <c r="E147" t="s">
        <v>16</v>
      </c>
      <c r="F147" t="s">
        <v>30</v>
      </c>
      <c r="G147" s="1">
        <v>45936</v>
      </c>
      <c r="H147" t="s">
        <v>37</v>
      </c>
      <c r="I147">
        <v>45220.305255759238</v>
      </c>
      <c r="J147">
        <v>467</v>
      </c>
      <c r="K147" t="s">
        <v>25</v>
      </c>
      <c r="L147" s="1">
        <v>45947</v>
      </c>
      <c r="M147">
        <v>11</v>
      </c>
      <c r="N147" t="s">
        <v>31</v>
      </c>
    </row>
    <row r="148" spans="1:14" x14ac:dyDescent="0.35">
      <c r="A148" t="s">
        <v>952</v>
      </c>
      <c r="B148">
        <v>63</v>
      </c>
      <c r="C148" t="s">
        <v>1592</v>
      </c>
      <c r="D148" t="s">
        <v>11</v>
      </c>
      <c r="E148" t="s">
        <v>33</v>
      </c>
      <c r="F148" t="s">
        <v>32</v>
      </c>
      <c r="G148" s="1">
        <v>45939</v>
      </c>
      <c r="H148" t="s">
        <v>37</v>
      </c>
      <c r="I148">
        <v>46290.27864844686</v>
      </c>
      <c r="J148">
        <v>278</v>
      </c>
      <c r="K148" t="s">
        <v>18</v>
      </c>
      <c r="L148" s="1">
        <v>45948</v>
      </c>
      <c r="M148">
        <v>9</v>
      </c>
      <c r="N148" t="s">
        <v>15</v>
      </c>
    </row>
    <row r="149" spans="1:14" x14ac:dyDescent="0.35">
      <c r="A149" t="s">
        <v>953</v>
      </c>
      <c r="B149">
        <v>58</v>
      </c>
      <c r="C149" t="s">
        <v>1592</v>
      </c>
      <c r="D149" t="s">
        <v>11</v>
      </c>
      <c r="E149" t="s">
        <v>26</v>
      </c>
      <c r="F149" t="s">
        <v>13</v>
      </c>
      <c r="G149" s="1">
        <v>45735</v>
      </c>
      <c r="H149" t="s">
        <v>36</v>
      </c>
      <c r="I149">
        <v>35447.793168772267</v>
      </c>
      <c r="J149">
        <v>358</v>
      </c>
      <c r="K149" t="s">
        <v>25</v>
      </c>
      <c r="L149" s="1">
        <v>45739</v>
      </c>
      <c r="M149">
        <v>4</v>
      </c>
      <c r="N149" t="s">
        <v>15</v>
      </c>
    </row>
    <row r="150" spans="1:14" x14ac:dyDescent="0.35">
      <c r="A150" t="s">
        <v>954</v>
      </c>
      <c r="B150">
        <v>21</v>
      </c>
      <c r="C150" t="s">
        <v>1593</v>
      </c>
      <c r="D150" t="s">
        <v>11</v>
      </c>
      <c r="E150" t="s">
        <v>29</v>
      </c>
      <c r="F150" t="s">
        <v>24</v>
      </c>
      <c r="G150" s="1">
        <v>46019</v>
      </c>
      <c r="H150" t="s">
        <v>39</v>
      </c>
      <c r="I150">
        <v>41696.314514859689</v>
      </c>
      <c r="J150">
        <v>206</v>
      </c>
      <c r="K150" t="s">
        <v>25</v>
      </c>
      <c r="L150" s="1">
        <v>46021</v>
      </c>
      <c r="M150">
        <v>2</v>
      </c>
      <c r="N150" t="s">
        <v>15</v>
      </c>
    </row>
    <row r="151" spans="1:14" x14ac:dyDescent="0.35">
      <c r="A151" t="s">
        <v>955</v>
      </c>
      <c r="B151">
        <v>70</v>
      </c>
      <c r="C151" t="s">
        <v>1591</v>
      </c>
      <c r="D151" t="s">
        <v>20</v>
      </c>
      <c r="E151" t="s">
        <v>26</v>
      </c>
      <c r="F151" t="s">
        <v>32</v>
      </c>
      <c r="G151" s="1">
        <v>45805</v>
      </c>
      <c r="H151" t="s">
        <v>36</v>
      </c>
      <c r="I151">
        <v>18994.46760270121</v>
      </c>
      <c r="J151">
        <v>179</v>
      </c>
      <c r="K151" t="s">
        <v>25</v>
      </c>
      <c r="L151" s="1">
        <v>45807</v>
      </c>
      <c r="M151">
        <v>2</v>
      </c>
      <c r="N151" t="s">
        <v>31</v>
      </c>
    </row>
    <row r="152" spans="1:14" x14ac:dyDescent="0.35">
      <c r="A152" t="s">
        <v>956</v>
      </c>
      <c r="B152">
        <v>48</v>
      </c>
      <c r="C152" t="s">
        <v>1594</v>
      </c>
      <c r="D152" t="s">
        <v>20</v>
      </c>
      <c r="E152" t="s">
        <v>33</v>
      </c>
      <c r="F152" t="s">
        <v>32</v>
      </c>
      <c r="G152" s="1">
        <v>45959</v>
      </c>
      <c r="H152" t="s">
        <v>36</v>
      </c>
      <c r="I152">
        <v>48315.57321039708</v>
      </c>
      <c r="J152">
        <v>107</v>
      </c>
      <c r="K152" t="s">
        <v>25</v>
      </c>
      <c r="L152" s="1">
        <v>45964</v>
      </c>
      <c r="M152">
        <v>5</v>
      </c>
      <c r="N152" t="s">
        <v>19</v>
      </c>
    </row>
    <row r="153" spans="1:14" x14ac:dyDescent="0.35">
      <c r="A153" t="s">
        <v>957</v>
      </c>
      <c r="B153">
        <v>36</v>
      </c>
      <c r="C153" t="s">
        <v>1594</v>
      </c>
      <c r="D153" t="s">
        <v>11</v>
      </c>
      <c r="E153" t="s">
        <v>34</v>
      </c>
      <c r="F153" t="s">
        <v>30</v>
      </c>
      <c r="G153" s="1">
        <v>45972</v>
      </c>
      <c r="H153" t="s">
        <v>39</v>
      </c>
      <c r="I153">
        <v>10525.179369001609</v>
      </c>
      <c r="J153">
        <v>371</v>
      </c>
      <c r="K153" t="s">
        <v>18</v>
      </c>
      <c r="L153" s="1">
        <v>45974</v>
      </c>
      <c r="M153">
        <v>2</v>
      </c>
      <c r="N153" t="s">
        <v>31</v>
      </c>
    </row>
    <row r="154" spans="1:14" x14ac:dyDescent="0.35">
      <c r="A154" t="s">
        <v>958</v>
      </c>
      <c r="B154">
        <v>61</v>
      </c>
      <c r="C154" t="s">
        <v>1592</v>
      </c>
      <c r="D154" t="s">
        <v>20</v>
      </c>
      <c r="E154" t="s">
        <v>23</v>
      </c>
      <c r="F154" t="s">
        <v>30</v>
      </c>
      <c r="G154" s="1">
        <v>46016</v>
      </c>
      <c r="H154" t="s">
        <v>37</v>
      </c>
      <c r="I154">
        <v>19260.400335808419</v>
      </c>
      <c r="J154">
        <v>172</v>
      </c>
      <c r="K154" t="s">
        <v>18</v>
      </c>
      <c r="L154" s="1">
        <v>46017</v>
      </c>
      <c r="M154">
        <v>1</v>
      </c>
      <c r="N154" t="s">
        <v>22</v>
      </c>
    </row>
    <row r="155" spans="1:14" x14ac:dyDescent="0.35">
      <c r="A155" t="s">
        <v>959</v>
      </c>
      <c r="B155">
        <v>37</v>
      </c>
      <c r="C155" t="s">
        <v>1594</v>
      </c>
      <c r="D155" t="s">
        <v>11</v>
      </c>
      <c r="E155" t="s">
        <v>33</v>
      </c>
      <c r="F155" t="s">
        <v>30</v>
      </c>
      <c r="G155" s="1">
        <v>45871</v>
      </c>
      <c r="H155" t="s">
        <v>37</v>
      </c>
      <c r="I155">
        <v>36455.737490200263</v>
      </c>
      <c r="J155">
        <v>411</v>
      </c>
      <c r="K155" t="s">
        <v>18</v>
      </c>
      <c r="L155" s="1">
        <v>45879</v>
      </c>
      <c r="M155">
        <v>8</v>
      </c>
      <c r="N155" t="s">
        <v>22</v>
      </c>
    </row>
    <row r="156" spans="1:14" x14ac:dyDescent="0.35">
      <c r="A156" t="s">
        <v>960</v>
      </c>
      <c r="B156">
        <v>54</v>
      </c>
      <c r="C156" t="s">
        <v>1592</v>
      </c>
      <c r="D156" t="s">
        <v>20</v>
      </c>
      <c r="E156" t="s">
        <v>26</v>
      </c>
      <c r="F156" t="s">
        <v>30</v>
      </c>
      <c r="G156" s="1">
        <v>46022</v>
      </c>
      <c r="H156" t="s">
        <v>39</v>
      </c>
      <c r="I156">
        <v>31570.63884216961</v>
      </c>
      <c r="J156">
        <v>208</v>
      </c>
      <c r="K156" t="s">
        <v>18</v>
      </c>
      <c r="L156" s="1">
        <v>46023</v>
      </c>
      <c r="M156">
        <v>1</v>
      </c>
      <c r="N156" t="s">
        <v>31</v>
      </c>
    </row>
    <row r="157" spans="1:14" x14ac:dyDescent="0.35">
      <c r="A157" t="s">
        <v>961</v>
      </c>
      <c r="B157">
        <v>58</v>
      </c>
      <c r="C157" t="s">
        <v>1592</v>
      </c>
      <c r="D157" t="s">
        <v>11</v>
      </c>
      <c r="E157" t="s">
        <v>33</v>
      </c>
      <c r="F157" t="s">
        <v>32</v>
      </c>
      <c r="G157" s="1">
        <v>45723</v>
      </c>
      <c r="H157" t="s">
        <v>39</v>
      </c>
      <c r="I157">
        <v>4329.0720970202756</v>
      </c>
      <c r="J157">
        <v>382</v>
      </c>
      <c r="K157" t="s">
        <v>25</v>
      </c>
      <c r="L157" s="1">
        <v>45724</v>
      </c>
      <c r="M157">
        <v>1</v>
      </c>
      <c r="N157" t="s">
        <v>22</v>
      </c>
    </row>
    <row r="158" spans="1:14" x14ac:dyDescent="0.35">
      <c r="A158" t="s">
        <v>962</v>
      </c>
      <c r="B158">
        <v>77</v>
      </c>
      <c r="C158" t="s">
        <v>1591</v>
      </c>
      <c r="D158" t="s">
        <v>20</v>
      </c>
      <c r="E158" t="s">
        <v>23</v>
      </c>
      <c r="F158" t="s">
        <v>13</v>
      </c>
      <c r="G158" s="1">
        <v>45966</v>
      </c>
      <c r="H158" t="s">
        <v>37</v>
      </c>
      <c r="I158">
        <v>49367.765083075552</v>
      </c>
      <c r="J158">
        <v>392</v>
      </c>
      <c r="K158" t="s">
        <v>25</v>
      </c>
      <c r="L158" s="1">
        <v>45977</v>
      </c>
      <c r="M158">
        <v>11</v>
      </c>
      <c r="N158" t="s">
        <v>15</v>
      </c>
    </row>
    <row r="159" spans="1:14" x14ac:dyDescent="0.35">
      <c r="A159" t="s">
        <v>963</v>
      </c>
      <c r="B159">
        <v>80</v>
      </c>
      <c r="C159" t="s">
        <v>1591</v>
      </c>
      <c r="D159" t="s">
        <v>20</v>
      </c>
      <c r="E159" t="s">
        <v>34</v>
      </c>
      <c r="F159" t="s">
        <v>13</v>
      </c>
      <c r="G159" s="1">
        <v>45798</v>
      </c>
      <c r="H159" t="s">
        <v>36</v>
      </c>
      <c r="I159">
        <v>4993.0296470344574</v>
      </c>
      <c r="J159">
        <v>384</v>
      </c>
      <c r="K159" t="s">
        <v>25</v>
      </c>
      <c r="L159" s="1">
        <v>45805</v>
      </c>
      <c r="M159">
        <v>7</v>
      </c>
      <c r="N159" t="s">
        <v>15</v>
      </c>
    </row>
    <row r="160" spans="1:14" x14ac:dyDescent="0.35">
      <c r="A160" t="s">
        <v>964</v>
      </c>
      <c r="B160">
        <v>78</v>
      </c>
      <c r="C160" t="s">
        <v>1591</v>
      </c>
      <c r="D160" t="s">
        <v>11</v>
      </c>
      <c r="E160" t="s">
        <v>16</v>
      </c>
      <c r="F160" t="s">
        <v>13</v>
      </c>
      <c r="G160" s="1">
        <v>45964</v>
      </c>
      <c r="H160" t="s">
        <v>39</v>
      </c>
      <c r="I160">
        <v>20433.618194508021</v>
      </c>
      <c r="J160">
        <v>279</v>
      </c>
      <c r="K160" t="s">
        <v>18</v>
      </c>
      <c r="L160" s="1">
        <v>45966</v>
      </c>
      <c r="M160">
        <v>2</v>
      </c>
      <c r="N160" t="s">
        <v>15</v>
      </c>
    </row>
    <row r="161" spans="1:14" x14ac:dyDescent="0.35">
      <c r="A161" t="s">
        <v>965</v>
      </c>
      <c r="B161">
        <v>27</v>
      </c>
      <c r="C161" t="s">
        <v>1593</v>
      </c>
      <c r="D161" t="s">
        <v>20</v>
      </c>
      <c r="E161" t="s">
        <v>12</v>
      </c>
      <c r="F161" t="s">
        <v>30</v>
      </c>
      <c r="G161" s="1">
        <v>45907</v>
      </c>
      <c r="H161" t="s">
        <v>37</v>
      </c>
      <c r="I161">
        <v>19465.7478546848</v>
      </c>
      <c r="J161">
        <v>173</v>
      </c>
      <c r="K161" t="s">
        <v>25</v>
      </c>
      <c r="L161" s="1">
        <v>45919</v>
      </c>
      <c r="M161">
        <v>12</v>
      </c>
      <c r="N161" t="s">
        <v>27</v>
      </c>
    </row>
    <row r="162" spans="1:14" x14ac:dyDescent="0.35">
      <c r="A162" t="s">
        <v>966</v>
      </c>
      <c r="B162">
        <v>30</v>
      </c>
      <c r="C162" t="s">
        <v>1593</v>
      </c>
      <c r="D162" t="s">
        <v>11</v>
      </c>
      <c r="E162" t="s">
        <v>16</v>
      </c>
      <c r="F162" t="s">
        <v>13</v>
      </c>
      <c r="G162" s="1">
        <v>45777</v>
      </c>
      <c r="H162" t="s">
        <v>39</v>
      </c>
      <c r="I162">
        <v>48066.241643821748</v>
      </c>
      <c r="J162">
        <v>130</v>
      </c>
      <c r="K162" t="s">
        <v>25</v>
      </c>
      <c r="L162" s="1">
        <v>45790</v>
      </c>
      <c r="M162">
        <v>13</v>
      </c>
      <c r="N162" t="s">
        <v>27</v>
      </c>
    </row>
    <row r="163" spans="1:14" x14ac:dyDescent="0.35">
      <c r="A163" t="s">
        <v>967</v>
      </c>
      <c r="B163">
        <v>38</v>
      </c>
      <c r="C163" t="s">
        <v>1594</v>
      </c>
      <c r="D163" t="s">
        <v>20</v>
      </c>
      <c r="E163" t="s">
        <v>12</v>
      </c>
      <c r="F163" t="s">
        <v>17</v>
      </c>
      <c r="G163" s="1">
        <v>45834</v>
      </c>
      <c r="H163" t="s">
        <v>37</v>
      </c>
      <c r="I163">
        <v>41763.641007320242</v>
      </c>
      <c r="J163">
        <v>209</v>
      </c>
      <c r="K163" t="s">
        <v>25</v>
      </c>
      <c r="L163" s="1">
        <v>45841</v>
      </c>
      <c r="M163">
        <v>7</v>
      </c>
      <c r="N163" t="s">
        <v>19</v>
      </c>
    </row>
    <row r="164" spans="1:14" x14ac:dyDescent="0.35">
      <c r="A164" t="s">
        <v>968</v>
      </c>
      <c r="B164">
        <v>56</v>
      </c>
      <c r="C164" t="s">
        <v>1592</v>
      </c>
      <c r="D164" t="s">
        <v>20</v>
      </c>
      <c r="E164" t="s">
        <v>21</v>
      </c>
      <c r="F164" t="s">
        <v>30</v>
      </c>
      <c r="G164" s="1">
        <v>45945</v>
      </c>
      <c r="H164" t="s">
        <v>36</v>
      </c>
      <c r="I164">
        <v>41552.120000541348</v>
      </c>
      <c r="J164">
        <v>398</v>
      </c>
      <c r="K164" t="s">
        <v>25</v>
      </c>
      <c r="L164" s="1">
        <v>45949</v>
      </c>
      <c r="M164">
        <v>4</v>
      </c>
      <c r="N164" t="s">
        <v>22</v>
      </c>
    </row>
    <row r="165" spans="1:14" x14ac:dyDescent="0.35">
      <c r="A165" t="s">
        <v>969</v>
      </c>
      <c r="B165">
        <v>83</v>
      </c>
      <c r="C165" t="s">
        <v>1591</v>
      </c>
      <c r="D165" t="s">
        <v>20</v>
      </c>
      <c r="E165" t="s">
        <v>12</v>
      </c>
      <c r="F165" t="s">
        <v>13</v>
      </c>
      <c r="G165" s="1">
        <v>45742</v>
      </c>
      <c r="H165" t="s">
        <v>37</v>
      </c>
      <c r="I165">
        <v>40580.751165894333</v>
      </c>
      <c r="J165">
        <v>213</v>
      </c>
      <c r="K165" t="s">
        <v>25</v>
      </c>
      <c r="L165" s="1">
        <v>45749</v>
      </c>
      <c r="M165">
        <v>7</v>
      </c>
      <c r="N165" t="s">
        <v>27</v>
      </c>
    </row>
    <row r="166" spans="1:14" x14ac:dyDescent="0.35">
      <c r="A166" t="s">
        <v>970</v>
      </c>
      <c r="B166">
        <v>71</v>
      </c>
      <c r="C166" t="s">
        <v>1591</v>
      </c>
      <c r="D166" t="s">
        <v>20</v>
      </c>
      <c r="E166" t="s">
        <v>34</v>
      </c>
      <c r="F166" t="s">
        <v>24</v>
      </c>
      <c r="G166" s="1">
        <v>45855</v>
      </c>
      <c r="H166" t="s">
        <v>39</v>
      </c>
      <c r="I166">
        <v>43866.882683449403</v>
      </c>
      <c r="J166">
        <v>314</v>
      </c>
      <c r="K166" t="s">
        <v>25</v>
      </c>
      <c r="L166" s="1">
        <v>45868</v>
      </c>
      <c r="M166">
        <v>13</v>
      </c>
      <c r="N166" t="s">
        <v>27</v>
      </c>
    </row>
    <row r="167" spans="1:14" x14ac:dyDescent="0.35">
      <c r="A167" t="s">
        <v>971</v>
      </c>
      <c r="B167">
        <v>73</v>
      </c>
      <c r="C167" t="s">
        <v>1591</v>
      </c>
      <c r="D167" t="s">
        <v>20</v>
      </c>
      <c r="E167" t="s">
        <v>34</v>
      </c>
      <c r="F167" t="s">
        <v>28</v>
      </c>
      <c r="G167" s="1">
        <v>45967</v>
      </c>
      <c r="H167" t="s">
        <v>36</v>
      </c>
      <c r="I167">
        <v>35451.087032809599</v>
      </c>
      <c r="J167">
        <v>128</v>
      </c>
      <c r="K167" t="s">
        <v>25</v>
      </c>
      <c r="L167" s="1">
        <v>45979</v>
      </c>
      <c r="M167">
        <v>12</v>
      </c>
      <c r="N167" t="s">
        <v>15</v>
      </c>
    </row>
    <row r="168" spans="1:14" x14ac:dyDescent="0.35">
      <c r="A168" t="s">
        <v>972</v>
      </c>
      <c r="B168">
        <v>80</v>
      </c>
      <c r="C168" t="s">
        <v>1591</v>
      </c>
      <c r="D168" t="s">
        <v>11</v>
      </c>
      <c r="E168" t="s">
        <v>23</v>
      </c>
      <c r="F168" t="s">
        <v>30</v>
      </c>
      <c r="G168" s="1">
        <v>45683</v>
      </c>
      <c r="H168" t="s">
        <v>37</v>
      </c>
      <c r="I168">
        <v>23309.746558565668</v>
      </c>
      <c r="J168">
        <v>107</v>
      </c>
      <c r="K168" t="s">
        <v>18</v>
      </c>
      <c r="L168" s="1">
        <v>45689</v>
      </c>
      <c r="M168">
        <v>6</v>
      </c>
      <c r="N168" t="s">
        <v>19</v>
      </c>
    </row>
    <row r="169" spans="1:14" x14ac:dyDescent="0.35">
      <c r="A169" t="s">
        <v>973</v>
      </c>
      <c r="B169">
        <v>42</v>
      </c>
      <c r="C169" t="s">
        <v>1594</v>
      </c>
      <c r="D169" t="s">
        <v>11</v>
      </c>
      <c r="E169" t="s">
        <v>12</v>
      </c>
      <c r="F169" t="s">
        <v>24</v>
      </c>
      <c r="G169" s="1">
        <v>45696</v>
      </c>
      <c r="H169" t="s">
        <v>37</v>
      </c>
      <c r="I169">
        <v>34014.462811270692</v>
      </c>
      <c r="J169">
        <v>273</v>
      </c>
      <c r="K169" t="s">
        <v>25</v>
      </c>
      <c r="L169" s="1">
        <v>45704</v>
      </c>
      <c r="M169">
        <v>8</v>
      </c>
      <c r="N169" t="s">
        <v>22</v>
      </c>
    </row>
    <row r="170" spans="1:14" x14ac:dyDescent="0.35">
      <c r="A170" t="s">
        <v>974</v>
      </c>
      <c r="B170">
        <v>37</v>
      </c>
      <c r="C170" t="s">
        <v>1594</v>
      </c>
      <c r="D170" t="s">
        <v>11</v>
      </c>
      <c r="E170" t="s">
        <v>34</v>
      </c>
      <c r="F170" t="s">
        <v>13</v>
      </c>
      <c r="G170" s="1">
        <v>45857</v>
      </c>
      <c r="H170" t="s">
        <v>39</v>
      </c>
      <c r="I170">
        <v>9181.8052137783634</v>
      </c>
      <c r="J170">
        <v>252</v>
      </c>
      <c r="K170" t="s">
        <v>25</v>
      </c>
      <c r="L170" s="1">
        <v>45867</v>
      </c>
      <c r="M170">
        <v>10</v>
      </c>
      <c r="N170" t="s">
        <v>27</v>
      </c>
    </row>
    <row r="171" spans="1:14" x14ac:dyDescent="0.35">
      <c r="A171" t="s">
        <v>975</v>
      </c>
      <c r="B171">
        <v>67</v>
      </c>
      <c r="C171" t="s">
        <v>1591</v>
      </c>
      <c r="D171" t="s">
        <v>11</v>
      </c>
      <c r="E171" t="s">
        <v>23</v>
      </c>
      <c r="F171" t="s">
        <v>32</v>
      </c>
      <c r="G171" s="1">
        <v>45688</v>
      </c>
      <c r="H171" t="s">
        <v>39</v>
      </c>
      <c r="I171">
        <v>25703.094811721279</v>
      </c>
      <c r="J171">
        <v>281</v>
      </c>
      <c r="K171" t="s">
        <v>18</v>
      </c>
      <c r="L171" s="1">
        <v>45699</v>
      </c>
      <c r="M171">
        <v>11</v>
      </c>
      <c r="N171" t="s">
        <v>27</v>
      </c>
    </row>
    <row r="172" spans="1:14" x14ac:dyDescent="0.35">
      <c r="A172" t="s">
        <v>976</v>
      </c>
      <c r="B172">
        <v>28</v>
      </c>
      <c r="C172" t="s">
        <v>1593</v>
      </c>
      <c r="D172" t="s">
        <v>20</v>
      </c>
      <c r="E172" t="s">
        <v>34</v>
      </c>
      <c r="F172" t="s">
        <v>24</v>
      </c>
      <c r="G172" s="1">
        <v>45687</v>
      </c>
      <c r="H172" t="s">
        <v>37</v>
      </c>
      <c r="I172">
        <v>38849.366081997061</v>
      </c>
      <c r="J172">
        <v>220</v>
      </c>
      <c r="K172" t="s">
        <v>25</v>
      </c>
      <c r="L172" s="1">
        <v>45689</v>
      </c>
      <c r="M172">
        <v>2</v>
      </c>
      <c r="N172" t="s">
        <v>31</v>
      </c>
    </row>
    <row r="173" spans="1:14" x14ac:dyDescent="0.35">
      <c r="A173" t="s">
        <v>977</v>
      </c>
      <c r="B173">
        <v>60</v>
      </c>
      <c r="C173" t="s">
        <v>1592</v>
      </c>
      <c r="D173" t="s">
        <v>11</v>
      </c>
      <c r="E173" t="s">
        <v>29</v>
      </c>
      <c r="F173" t="s">
        <v>13</v>
      </c>
      <c r="G173" s="1">
        <v>45725</v>
      </c>
      <c r="H173" t="s">
        <v>39</v>
      </c>
      <c r="I173">
        <v>28085.03790706952</v>
      </c>
      <c r="J173">
        <v>218</v>
      </c>
      <c r="K173" t="s">
        <v>18</v>
      </c>
      <c r="L173" s="1">
        <v>45730</v>
      </c>
      <c r="M173">
        <v>5</v>
      </c>
      <c r="N173" t="s">
        <v>31</v>
      </c>
    </row>
    <row r="174" spans="1:14" x14ac:dyDescent="0.35">
      <c r="A174" t="s">
        <v>978</v>
      </c>
      <c r="B174">
        <v>76</v>
      </c>
      <c r="C174" t="s">
        <v>1591</v>
      </c>
      <c r="D174" t="s">
        <v>20</v>
      </c>
      <c r="E174" t="s">
        <v>16</v>
      </c>
      <c r="F174" t="s">
        <v>17</v>
      </c>
      <c r="G174" s="1">
        <v>45774</v>
      </c>
      <c r="H174" t="s">
        <v>37</v>
      </c>
      <c r="I174">
        <v>5808.0200857434884</v>
      </c>
      <c r="J174">
        <v>327</v>
      </c>
      <c r="K174" t="s">
        <v>18</v>
      </c>
      <c r="L174" s="1">
        <v>45781</v>
      </c>
      <c r="M174">
        <v>7</v>
      </c>
      <c r="N174" t="s">
        <v>19</v>
      </c>
    </row>
    <row r="175" spans="1:14" x14ac:dyDescent="0.35">
      <c r="A175" t="s">
        <v>979</v>
      </c>
      <c r="B175">
        <v>32</v>
      </c>
      <c r="C175" t="s">
        <v>1593</v>
      </c>
      <c r="D175" t="s">
        <v>20</v>
      </c>
      <c r="E175" t="s">
        <v>33</v>
      </c>
      <c r="F175" t="s">
        <v>24</v>
      </c>
      <c r="G175" s="1">
        <v>45959</v>
      </c>
      <c r="H175" t="s">
        <v>36</v>
      </c>
      <c r="I175">
        <v>43824.209008108519</v>
      </c>
      <c r="J175">
        <v>298</v>
      </c>
      <c r="K175" t="s">
        <v>25</v>
      </c>
      <c r="L175" s="1">
        <v>45961</v>
      </c>
      <c r="M175">
        <v>2</v>
      </c>
      <c r="N175" t="s">
        <v>19</v>
      </c>
    </row>
    <row r="176" spans="1:14" x14ac:dyDescent="0.35">
      <c r="A176" t="s">
        <v>980</v>
      </c>
      <c r="B176">
        <v>42</v>
      </c>
      <c r="C176" t="s">
        <v>1594</v>
      </c>
      <c r="D176" t="s">
        <v>20</v>
      </c>
      <c r="E176" t="s">
        <v>29</v>
      </c>
      <c r="F176" t="s">
        <v>13</v>
      </c>
      <c r="G176" s="1">
        <v>45724</v>
      </c>
      <c r="H176" t="s">
        <v>36</v>
      </c>
      <c r="I176">
        <v>34662.847580718742</v>
      </c>
      <c r="J176">
        <v>255</v>
      </c>
      <c r="K176" t="s">
        <v>25</v>
      </c>
      <c r="L176" s="1">
        <v>45732</v>
      </c>
      <c r="M176">
        <v>8</v>
      </c>
      <c r="N176" t="s">
        <v>15</v>
      </c>
    </row>
    <row r="177" spans="1:14" x14ac:dyDescent="0.35">
      <c r="A177" t="s">
        <v>981</v>
      </c>
      <c r="B177">
        <v>46</v>
      </c>
      <c r="C177" t="s">
        <v>1594</v>
      </c>
      <c r="D177" t="s">
        <v>20</v>
      </c>
      <c r="E177" t="s">
        <v>23</v>
      </c>
      <c r="F177" t="s">
        <v>30</v>
      </c>
      <c r="G177" s="1">
        <v>45964</v>
      </c>
      <c r="H177" t="s">
        <v>39</v>
      </c>
      <c r="I177">
        <v>12614.016082537441</v>
      </c>
      <c r="J177">
        <v>426</v>
      </c>
      <c r="K177" t="s">
        <v>18</v>
      </c>
      <c r="L177" s="1">
        <v>45974</v>
      </c>
      <c r="M177">
        <v>10</v>
      </c>
      <c r="N177" t="s">
        <v>22</v>
      </c>
    </row>
    <row r="178" spans="1:14" x14ac:dyDescent="0.35">
      <c r="A178" t="s">
        <v>982</v>
      </c>
      <c r="B178">
        <v>43</v>
      </c>
      <c r="C178" t="s">
        <v>1594</v>
      </c>
      <c r="D178" t="s">
        <v>20</v>
      </c>
      <c r="E178" t="s">
        <v>26</v>
      </c>
      <c r="F178" t="s">
        <v>17</v>
      </c>
      <c r="G178" s="1">
        <v>45795</v>
      </c>
      <c r="H178" t="s">
        <v>37</v>
      </c>
      <c r="I178">
        <v>7911.1512275112191</v>
      </c>
      <c r="J178">
        <v>202</v>
      </c>
      <c r="K178" t="s">
        <v>25</v>
      </c>
      <c r="L178" s="1">
        <v>45800</v>
      </c>
      <c r="M178">
        <v>5</v>
      </c>
      <c r="N178" t="s">
        <v>31</v>
      </c>
    </row>
    <row r="179" spans="1:14" x14ac:dyDescent="0.35">
      <c r="A179" t="s">
        <v>983</v>
      </c>
      <c r="B179">
        <v>44</v>
      </c>
      <c r="C179" t="s">
        <v>1594</v>
      </c>
      <c r="D179" t="s">
        <v>11</v>
      </c>
      <c r="E179" t="s">
        <v>21</v>
      </c>
      <c r="F179" t="s">
        <v>30</v>
      </c>
      <c r="G179" s="1">
        <v>45754</v>
      </c>
      <c r="H179" t="s">
        <v>37</v>
      </c>
      <c r="I179">
        <v>32092.548177050379</v>
      </c>
      <c r="J179">
        <v>416</v>
      </c>
      <c r="K179" t="s">
        <v>18</v>
      </c>
      <c r="L179" s="1">
        <v>45757</v>
      </c>
      <c r="M179">
        <v>3</v>
      </c>
      <c r="N179" t="s">
        <v>22</v>
      </c>
    </row>
    <row r="180" spans="1:14" x14ac:dyDescent="0.35">
      <c r="A180" t="s">
        <v>984</v>
      </c>
      <c r="B180">
        <v>53</v>
      </c>
      <c r="C180" t="s">
        <v>1592</v>
      </c>
      <c r="D180" t="s">
        <v>11</v>
      </c>
      <c r="E180" t="s">
        <v>34</v>
      </c>
      <c r="F180" t="s">
        <v>28</v>
      </c>
      <c r="G180" s="1">
        <v>45667</v>
      </c>
      <c r="H180" t="s">
        <v>39</v>
      </c>
      <c r="I180">
        <v>35852.726121806823</v>
      </c>
      <c r="J180">
        <v>442</v>
      </c>
      <c r="K180" t="s">
        <v>18</v>
      </c>
      <c r="L180" s="1">
        <v>45673</v>
      </c>
      <c r="M180">
        <v>6</v>
      </c>
      <c r="N180" t="s">
        <v>31</v>
      </c>
    </row>
    <row r="181" spans="1:14" x14ac:dyDescent="0.35">
      <c r="A181" t="s">
        <v>985</v>
      </c>
      <c r="B181">
        <v>43</v>
      </c>
      <c r="C181" t="s">
        <v>1594</v>
      </c>
      <c r="D181" t="s">
        <v>20</v>
      </c>
      <c r="E181" t="s">
        <v>16</v>
      </c>
      <c r="F181" t="s">
        <v>30</v>
      </c>
      <c r="G181" s="1">
        <v>45709</v>
      </c>
      <c r="H181" t="s">
        <v>39</v>
      </c>
      <c r="I181">
        <v>11583.981532530361</v>
      </c>
      <c r="J181">
        <v>158</v>
      </c>
      <c r="K181" t="s">
        <v>18</v>
      </c>
      <c r="L181" s="1">
        <v>45716</v>
      </c>
      <c r="M181">
        <v>7</v>
      </c>
      <c r="N181" t="s">
        <v>27</v>
      </c>
    </row>
    <row r="182" spans="1:14" x14ac:dyDescent="0.35">
      <c r="A182" t="s">
        <v>986</v>
      </c>
      <c r="B182">
        <v>58</v>
      </c>
      <c r="C182" t="s">
        <v>1592</v>
      </c>
      <c r="D182" t="s">
        <v>11</v>
      </c>
      <c r="E182" t="s">
        <v>12</v>
      </c>
      <c r="F182" t="s">
        <v>13</v>
      </c>
      <c r="G182" s="1">
        <v>45883</v>
      </c>
      <c r="H182" t="s">
        <v>39</v>
      </c>
      <c r="I182">
        <v>49375.424740498398</v>
      </c>
      <c r="J182">
        <v>464</v>
      </c>
      <c r="K182" t="s">
        <v>25</v>
      </c>
      <c r="L182" s="1">
        <v>45888</v>
      </c>
      <c r="M182">
        <v>5</v>
      </c>
      <c r="N182" t="s">
        <v>27</v>
      </c>
    </row>
    <row r="183" spans="1:14" x14ac:dyDescent="0.35">
      <c r="A183" t="s">
        <v>987</v>
      </c>
      <c r="B183">
        <v>82</v>
      </c>
      <c r="C183" t="s">
        <v>1591</v>
      </c>
      <c r="D183" t="s">
        <v>11</v>
      </c>
      <c r="E183" t="s">
        <v>23</v>
      </c>
      <c r="F183" t="s">
        <v>13</v>
      </c>
      <c r="G183" s="1">
        <v>45926</v>
      </c>
      <c r="H183" t="s">
        <v>37</v>
      </c>
      <c r="I183">
        <v>37512.302782120831</v>
      </c>
      <c r="J183">
        <v>125</v>
      </c>
      <c r="K183" t="s">
        <v>25</v>
      </c>
      <c r="L183" s="1">
        <v>45935</v>
      </c>
      <c r="M183">
        <v>9</v>
      </c>
      <c r="N183" t="s">
        <v>15</v>
      </c>
    </row>
    <row r="184" spans="1:14" x14ac:dyDescent="0.35">
      <c r="A184" t="s">
        <v>988</v>
      </c>
      <c r="B184">
        <v>65</v>
      </c>
      <c r="C184" t="s">
        <v>1592</v>
      </c>
      <c r="D184" t="s">
        <v>20</v>
      </c>
      <c r="E184" t="s">
        <v>23</v>
      </c>
      <c r="F184" t="s">
        <v>28</v>
      </c>
      <c r="G184" s="1">
        <v>45949</v>
      </c>
      <c r="H184" t="s">
        <v>37</v>
      </c>
      <c r="I184">
        <v>18535.912251779551</v>
      </c>
      <c r="J184">
        <v>452</v>
      </c>
      <c r="K184" t="s">
        <v>25</v>
      </c>
      <c r="L184" s="1">
        <v>45959</v>
      </c>
      <c r="M184">
        <v>10</v>
      </c>
      <c r="N184" t="s">
        <v>31</v>
      </c>
    </row>
    <row r="185" spans="1:14" x14ac:dyDescent="0.35">
      <c r="A185" t="s">
        <v>989</v>
      </c>
      <c r="B185">
        <v>45</v>
      </c>
      <c r="C185" t="s">
        <v>1594</v>
      </c>
      <c r="D185" t="s">
        <v>11</v>
      </c>
      <c r="E185" t="s">
        <v>33</v>
      </c>
      <c r="F185" t="s">
        <v>13</v>
      </c>
      <c r="G185" s="1">
        <v>45921</v>
      </c>
      <c r="H185" t="s">
        <v>37</v>
      </c>
      <c r="I185">
        <v>31822.46418563676</v>
      </c>
      <c r="J185">
        <v>296</v>
      </c>
      <c r="K185" t="s">
        <v>25</v>
      </c>
      <c r="L185" s="1">
        <v>45932</v>
      </c>
      <c r="M185">
        <v>11</v>
      </c>
      <c r="N185" t="s">
        <v>15</v>
      </c>
    </row>
    <row r="186" spans="1:14" x14ac:dyDescent="0.35">
      <c r="A186" t="s">
        <v>990</v>
      </c>
      <c r="B186">
        <v>26</v>
      </c>
      <c r="C186" t="s">
        <v>1593</v>
      </c>
      <c r="D186" t="s">
        <v>11</v>
      </c>
      <c r="E186" t="s">
        <v>16</v>
      </c>
      <c r="F186" t="s">
        <v>28</v>
      </c>
      <c r="G186" s="1">
        <v>45830</v>
      </c>
      <c r="H186" t="s">
        <v>39</v>
      </c>
      <c r="I186">
        <v>36980.612257696521</v>
      </c>
      <c r="J186">
        <v>476</v>
      </c>
      <c r="K186" t="s">
        <v>18</v>
      </c>
      <c r="L186" s="1">
        <v>45840</v>
      </c>
      <c r="M186">
        <v>10</v>
      </c>
      <c r="N186" t="s">
        <v>15</v>
      </c>
    </row>
    <row r="187" spans="1:14" x14ac:dyDescent="0.35">
      <c r="A187" t="s">
        <v>991</v>
      </c>
      <c r="B187">
        <v>48</v>
      </c>
      <c r="C187" t="s">
        <v>1594</v>
      </c>
      <c r="D187" t="s">
        <v>11</v>
      </c>
      <c r="E187" t="s">
        <v>33</v>
      </c>
      <c r="F187" t="s">
        <v>13</v>
      </c>
      <c r="G187" s="1">
        <v>45667</v>
      </c>
      <c r="H187" t="s">
        <v>37</v>
      </c>
      <c r="I187">
        <v>21451.218366239911</v>
      </c>
      <c r="J187">
        <v>125</v>
      </c>
      <c r="K187" t="s">
        <v>18</v>
      </c>
      <c r="L187" s="1">
        <v>45673</v>
      </c>
      <c r="M187">
        <v>6</v>
      </c>
      <c r="N187" t="s">
        <v>19</v>
      </c>
    </row>
    <row r="188" spans="1:14" x14ac:dyDescent="0.35">
      <c r="A188" t="s">
        <v>992</v>
      </c>
      <c r="B188">
        <v>27</v>
      </c>
      <c r="C188" t="s">
        <v>1593</v>
      </c>
      <c r="D188" t="s">
        <v>20</v>
      </c>
      <c r="E188" t="s">
        <v>21</v>
      </c>
      <c r="F188" t="s">
        <v>30</v>
      </c>
      <c r="G188" s="1">
        <v>45908</v>
      </c>
      <c r="H188" t="s">
        <v>37</v>
      </c>
      <c r="I188">
        <v>39643.56448076581</v>
      </c>
      <c r="J188">
        <v>230</v>
      </c>
      <c r="K188" t="s">
        <v>25</v>
      </c>
      <c r="L188" s="1">
        <v>45914</v>
      </c>
      <c r="M188">
        <v>6</v>
      </c>
      <c r="N188" t="s">
        <v>15</v>
      </c>
    </row>
    <row r="189" spans="1:14" x14ac:dyDescent="0.35">
      <c r="A189" t="s">
        <v>993</v>
      </c>
      <c r="B189">
        <v>68</v>
      </c>
      <c r="C189" t="s">
        <v>1591</v>
      </c>
      <c r="D189" t="s">
        <v>20</v>
      </c>
      <c r="E189" t="s">
        <v>21</v>
      </c>
      <c r="F189" t="s">
        <v>30</v>
      </c>
      <c r="G189" s="1">
        <v>45954</v>
      </c>
      <c r="H189" t="s">
        <v>37</v>
      </c>
      <c r="I189">
        <v>37749.909643891813</v>
      </c>
      <c r="J189">
        <v>420</v>
      </c>
      <c r="K189" t="s">
        <v>18</v>
      </c>
      <c r="L189" s="1">
        <v>45966</v>
      </c>
      <c r="M189">
        <v>12</v>
      </c>
      <c r="N189" t="s">
        <v>22</v>
      </c>
    </row>
    <row r="190" spans="1:14" x14ac:dyDescent="0.35">
      <c r="A190" t="s">
        <v>994</v>
      </c>
      <c r="B190">
        <v>72</v>
      </c>
      <c r="C190" t="s">
        <v>1591</v>
      </c>
      <c r="D190" t="s">
        <v>20</v>
      </c>
      <c r="E190" t="s">
        <v>16</v>
      </c>
      <c r="F190" t="s">
        <v>17</v>
      </c>
      <c r="G190" s="1">
        <v>46011</v>
      </c>
      <c r="H190" t="s">
        <v>37</v>
      </c>
      <c r="I190">
        <v>24722.111772600179</v>
      </c>
      <c r="J190">
        <v>115</v>
      </c>
      <c r="K190" t="s">
        <v>18</v>
      </c>
      <c r="L190" s="1">
        <v>46016</v>
      </c>
      <c r="M190">
        <v>5</v>
      </c>
      <c r="N190" t="s">
        <v>27</v>
      </c>
    </row>
    <row r="191" spans="1:14" x14ac:dyDescent="0.35">
      <c r="A191" t="s">
        <v>995</v>
      </c>
      <c r="B191">
        <v>69</v>
      </c>
      <c r="C191" t="s">
        <v>1591</v>
      </c>
      <c r="D191" t="s">
        <v>20</v>
      </c>
      <c r="E191" t="s">
        <v>16</v>
      </c>
      <c r="F191" t="s">
        <v>30</v>
      </c>
      <c r="G191" s="1">
        <v>45677</v>
      </c>
      <c r="H191" t="s">
        <v>39</v>
      </c>
      <c r="I191">
        <v>13924.83864927232</v>
      </c>
      <c r="J191">
        <v>269</v>
      </c>
      <c r="K191" t="s">
        <v>25</v>
      </c>
      <c r="L191" s="1">
        <v>45688</v>
      </c>
      <c r="M191">
        <v>11</v>
      </c>
      <c r="N191" t="s">
        <v>15</v>
      </c>
    </row>
    <row r="192" spans="1:14" x14ac:dyDescent="0.35">
      <c r="A192" t="s">
        <v>996</v>
      </c>
      <c r="B192">
        <v>59</v>
      </c>
      <c r="C192" t="s">
        <v>1592</v>
      </c>
      <c r="D192" t="s">
        <v>11</v>
      </c>
      <c r="E192" t="s">
        <v>34</v>
      </c>
      <c r="F192" t="s">
        <v>28</v>
      </c>
      <c r="G192" s="1">
        <v>45960</v>
      </c>
      <c r="H192" t="s">
        <v>37</v>
      </c>
      <c r="I192">
        <v>8532.934640820009</v>
      </c>
      <c r="J192">
        <v>382</v>
      </c>
      <c r="K192" t="s">
        <v>18</v>
      </c>
      <c r="L192" s="1">
        <v>45961</v>
      </c>
      <c r="M192">
        <v>1</v>
      </c>
      <c r="N192" t="s">
        <v>15</v>
      </c>
    </row>
    <row r="193" spans="1:14" x14ac:dyDescent="0.35">
      <c r="A193" t="s">
        <v>997</v>
      </c>
      <c r="B193">
        <v>64</v>
      </c>
      <c r="C193" t="s">
        <v>1592</v>
      </c>
      <c r="D193" t="s">
        <v>11</v>
      </c>
      <c r="E193" t="s">
        <v>23</v>
      </c>
      <c r="F193" t="s">
        <v>28</v>
      </c>
      <c r="G193" s="1">
        <v>45909</v>
      </c>
      <c r="H193" t="s">
        <v>36</v>
      </c>
      <c r="I193">
        <v>19594.935743510759</v>
      </c>
      <c r="J193">
        <v>298</v>
      </c>
      <c r="K193" t="s">
        <v>25</v>
      </c>
      <c r="L193" s="1">
        <v>45913</v>
      </c>
      <c r="M193">
        <v>4</v>
      </c>
      <c r="N193" t="s">
        <v>15</v>
      </c>
    </row>
    <row r="194" spans="1:14" x14ac:dyDescent="0.35">
      <c r="A194" t="s">
        <v>998</v>
      </c>
      <c r="B194">
        <v>49</v>
      </c>
      <c r="C194" t="s">
        <v>1594</v>
      </c>
      <c r="D194" t="s">
        <v>20</v>
      </c>
      <c r="E194" t="s">
        <v>26</v>
      </c>
      <c r="F194" t="s">
        <v>30</v>
      </c>
      <c r="G194" s="1">
        <v>45969</v>
      </c>
      <c r="H194" t="s">
        <v>37</v>
      </c>
      <c r="I194">
        <v>18532.665077670161</v>
      </c>
      <c r="J194">
        <v>204</v>
      </c>
      <c r="K194" t="s">
        <v>25</v>
      </c>
      <c r="L194" s="1">
        <v>45970</v>
      </c>
      <c r="M194">
        <v>1</v>
      </c>
      <c r="N194" t="s">
        <v>31</v>
      </c>
    </row>
    <row r="195" spans="1:14" x14ac:dyDescent="0.35">
      <c r="A195" t="s">
        <v>999</v>
      </c>
      <c r="B195">
        <v>47</v>
      </c>
      <c r="C195" t="s">
        <v>1594</v>
      </c>
      <c r="D195" t="s">
        <v>20</v>
      </c>
      <c r="E195" t="s">
        <v>16</v>
      </c>
      <c r="F195" t="s">
        <v>30</v>
      </c>
      <c r="G195" s="1">
        <v>45870</v>
      </c>
      <c r="H195" t="s">
        <v>39</v>
      </c>
      <c r="I195">
        <v>20032.686567134358</v>
      </c>
      <c r="J195">
        <v>231</v>
      </c>
      <c r="K195" t="s">
        <v>25</v>
      </c>
      <c r="L195" s="1">
        <v>45874</v>
      </c>
      <c r="M195">
        <v>4</v>
      </c>
      <c r="N195" t="s">
        <v>15</v>
      </c>
    </row>
    <row r="196" spans="1:14" x14ac:dyDescent="0.35">
      <c r="A196" t="s">
        <v>1000</v>
      </c>
      <c r="B196">
        <v>68</v>
      </c>
      <c r="C196" t="s">
        <v>1591</v>
      </c>
      <c r="D196" t="s">
        <v>11</v>
      </c>
      <c r="E196" t="s">
        <v>26</v>
      </c>
      <c r="F196" t="s">
        <v>30</v>
      </c>
      <c r="G196" s="1">
        <v>45884</v>
      </c>
      <c r="H196" t="s">
        <v>39</v>
      </c>
      <c r="I196">
        <v>23088.082118235681</v>
      </c>
      <c r="J196">
        <v>283</v>
      </c>
      <c r="K196" t="s">
        <v>25</v>
      </c>
      <c r="L196" s="1">
        <v>45891</v>
      </c>
      <c r="M196">
        <v>7</v>
      </c>
      <c r="N196" t="s">
        <v>27</v>
      </c>
    </row>
    <row r="197" spans="1:14" x14ac:dyDescent="0.35">
      <c r="A197" t="s">
        <v>1001</v>
      </c>
      <c r="B197">
        <v>41</v>
      </c>
      <c r="C197" t="s">
        <v>1594</v>
      </c>
      <c r="D197" t="s">
        <v>11</v>
      </c>
      <c r="E197" t="s">
        <v>12</v>
      </c>
      <c r="F197" t="s">
        <v>28</v>
      </c>
      <c r="G197" s="1">
        <v>45848</v>
      </c>
      <c r="H197" t="s">
        <v>39</v>
      </c>
      <c r="I197">
        <v>6509.4034385260384</v>
      </c>
      <c r="J197">
        <v>138</v>
      </c>
      <c r="K197" t="s">
        <v>25</v>
      </c>
      <c r="L197" s="1">
        <v>45861</v>
      </c>
      <c r="M197">
        <v>13</v>
      </c>
      <c r="N197" t="s">
        <v>22</v>
      </c>
    </row>
    <row r="198" spans="1:14" x14ac:dyDescent="0.35">
      <c r="A198" t="s">
        <v>1002</v>
      </c>
      <c r="B198">
        <v>41</v>
      </c>
      <c r="C198" t="s">
        <v>1594</v>
      </c>
      <c r="D198" t="s">
        <v>11</v>
      </c>
      <c r="E198" t="s">
        <v>23</v>
      </c>
      <c r="F198" t="s">
        <v>17</v>
      </c>
      <c r="G198" s="1">
        <v>45989</v>
      </c>
      <c r="H198" t="s">
        <v>37</v>
      </c>
      <c r="I198">
        <v>41327.825678468856</v>
      </c>
      <c r="J198">
        <v>470</v>
      </c>
      <c r="K198" t="s">
        <v>25</v>
      </c>
      <c r="L198" s="1">
        <v>45997</v>
      </c>
      <c r="M198">
        <v>8</v>
      </c>
      <c r="N198" t="s">
        <v>19</v>
      </c>
    </row>
    <row r="199" spans="1:14" x14ac:dyDescent="0.35">
      <c r="A199" t="s">
        <v>1003</v>
      </c>
      <c r="B199">
        <v>41</v>
      </c>
      <c r="C199" t="s">
        <v>1594</v>
      </c>
      <c r="D199" t="s">
        <v>11</v>
      </c>
      <c r="E199" t="s">
        <v>16</v>
      </c>
      <c r="F199" t="s">
        <v>28</v>
      </c>
      <c r="G199" s="1">
        <v>46001</v>
      </c>
      <c r="H199" t="s">
        <v>36</v>
      </c>
      <c r="I199">
        <v>41015.538951833318</v>
      </c>
      <c r="J199">
        <v>405</v>
      </c>
      <c r="K199" t="s">
        <v>18</v>
      </c>
      <c r="L199" s="1">
        <v>46007</v>
      </c>
      <c r="M199">
        <v>6</v>
      </c>
      <c r="N199" t="s">
        <v>22</v>
      </c>
    </row>
    <row r="200" spans="1:14" x14ac:dyDescent="0.35">
      <c r="A200" t="s">
        <v>1004</v>
      </c>
      <c r="B200">
        <v>41</v>
      </c>
      <c r="C200" t="s">
        <v>1594</v>
      </c>
      <c r="D200" t="s">
        <v>20</v>
      </c>
      <c r="E200" t="s">
        <v>21</v>
      </c>
      <c r="F200" t="s">
        <v>24</v>
      </c>
      <c r="G200" s="1">
        <v>45961</v>
      </c>
      <c r="H200" t="s">
        <v>36</v>
      </c>
      <c r="I200">
        <v>6925.9772458037969</v>
      </c>
      <c r="J200">
        <v>270</v>
      </c>
      <c r="K200" t="s">
        <v>18</v>
      </c>
      <c r="L200" s="1">
        <v>45964</v>
      </c>
      <c r="M200">
        <v>3</v>
      </c>
      <c r="N200" t="s">
        <v>31</v>
      </c>
    </row>
    <row r="201" spans="1:14" x14ac:dyDescent="0.35">
      <c r="A201" t="s">
        <v>1005</v>
      </c>
      <c r="B201">
        <v>77</v>
      </c>
      <c r="C201" t="s">
        <v>1591</v>
      </c>
      <c r="D201" t="s">
        <v>20</v>
      </c>
      <c r="E201" t="s">
        <v>21</v>
      </c>
      <c r="F201" t="s">
        <v>17</v>
      </c>
      <c r="G201" s="1">
        <v>45779</v>
      </c>
      <c r="H201" t="s">
        <v>37</v>
      </c>
      <c r="I201">
        <v>4025.674819385139</v>
      </c>
      <c r="J201">
        <v>265</v>
      </c>
      <c r="K201" t="s">
        <v>18</v>
      </c>
      <c r="L201" s="1">
        <v>45780</v>
      </c>
      <c r="M201">
        <v>1</v>
      </c>
      <c r="N201" t="s">
        <v>27</v>
      </c>
    </row>
    <row r="202" spans="1:14" x14ac:dyDescent="0.35">
      <c r="A202" t="s">
        <v>1006</v>
      </c>
      <c r="B202">
        <v>22</v>
      </c>
      <c r="C202" t="s">
        <v>1593</v>
      </c>
      <c r="D202" t="s">
        <v>11</v>
      </c>
      <c r="E202" t="s">
        <v>16</v>
      </c>
      <c r="F202" t="s">
        <v>28</v>
      </c>
      <c r="G202" s="1">
        <v>45788</v>
      </c>
      <c r="H202" t="s">
        <v>39</v>
      </c>
      <c r="I202">
        <v>1955.36851816289</v>
      </c>
      <c r="J202">
        <v>331</v>
      </c>
      <c r="K202" t="s">
        <v>18</v>
      </c>
      <c r="L202" s="1">
        <v>45789</v>
      </c>
      <c r="M202">
        <v>1</v>
      </c>
      <c r="N202" t="s">
        <v>31</v>
      </c>
    </row>
    <row r="203" spans="1:14" x14ac:dyDescent="0.35">
      <c r="A203" t="s">
        <v>1007</v>
      </c>
      <c r="B203">
        <v>79</v>
      </c>
      <c r="C203" t="s">
        <v>1591</v>
      </c>
      <c r="D203" t="s">
        <v>11</v>
      </c>
      <c r="E203" t="s">
        <v>12</v>
      </c>
      <c r="F203" t="s">
        <v>32</v>
      </c>
      <c r="G203" s="1">
        <v>45813</v>
      </c>
      <c r="H203" t="s">
        <v>39</v>
      </c>
      <c r="I203">
        <v>6573.1326965834824</v>
      </c>
      <c r="J203">
        <v>281</v>
      </c>
      <c r="K203" t="s">
        <v>25</v>
      </c>
      <c r="L203" s="1">
        <v>45815</v>
      </c>
      <c r="M203">
        <v>2</v>
      </c>
      <c r="N203" t="s">
        <v>19</v>
      </c>
    </row>
    <row r="204" spans="1:14" x14ac:dyDescent="0.35">
      <c r="A204" t="s">
        <v>1008</v>
      </c>
      <c r="B204">
        <v>36</v>
      </c>
      <c r="C204" t="s">
        <v>1594</v>
      </c>
      <c r="D204" t="s">
        <v>11</v>
      </c>
      <c r="E204" t="s">
        <v>12</v>
      </c>
      <c r="F204" t="s">
        <v>32</v>
      </c>
      <c r="G204" s="1">
        <v>45692</v>
      </c>
      <c r="H204" t="s">
        <v>39</v>
      </c>
      <c r="I204">
        <v>21907.646610373311</v>
      </c>
      <c r="J204">
        <v>246</v>
      </c>
      <c r="K204" t="s">
        <v>18</v>
      </c>
      <c r="L204" s="1">
        <v>45698</v>
      </c>
      <c r="M204">
        <v>6</v>
      </c>
      <c r="N204" t="s">
        <v>31</v>
      </c>
    </row>
    <row r="205" spans="1:14" x14ac:dyDescent="0.35">
      <c r="A205" t="s">
        <v>1009</v>
      </c>
      <c r="B205">
        <v>57</v>
      </c>
      <c r="C205" t="s">
        <v>1592</v>
      </c>
      <c r="D205" t="s">
        <v>20</v>
      </c>
      <c r="E205" t="s">
        <v>26</v>
      </c>
      <c r="F205" t="s">
        <v>17</v>
      </c>
      <c r="G205" s="1">
        <v>45849</v>
      </c>
      <c r="H205" t="s">
        <v>39</v>
      </c>
      <c r="I205">
        <v>3827.8608580686769</v>
      </c>
      <c r="J205">
        <v>114</v>
      </c>
      <c r="K205" t="s">
        <v>18</v>
      </c>
      <c r="L205" s="1">
        <v>45857</v>
      </c>
      <c r="M205">
        <v>8</v>
      </c>
      <c r="N205" t="s">
        <v>27</v>
      </c>
    </row>
    <row r="206" spans="1:14" x14ac:dyDescent="0.35">
      <c r="A206" t="s">
        <v>1010</v>
      </c>
      <c r="B206">
        <v>55</v>
      </c>
      <c r="C206" t="s">
        <v>1592</v>
      </c>
      <c r="D206" t="s">
        <v>20</v>
      </c>
      <c r="E206" t="s">
        <v>16</v>
      </c>
      <c r="F206" t="s">
        <v>24</v>
      </c>
      <c r="G206" s="1">
        <v>45936</v>
      </c>
      <c r="H206" t="s">
        <v>39</v>
      </c>
      <c r="I206">
        <v>18422.074880086089</v>
      </c>
      <c r="J206">
        <v>401</v>
      </c>
      <c r="K206" t="s">
        <v>18</v>
      </c>
      <c r="L206" s="1">
        <v>45944</v>
      </c>
      <c r="M206">
        <v>8</v>
      </c>
      <c r="N206" t="s">
        <v>31</v>
      </c>
    </row>
    <row r="207" spans="1:14" x14ac:dyDescent="0.35">
      <c r="A207" t="s">
        <v>1011</v>
      </c>
      <c r="B207">
        <v>57</v>
      </c>
      <c r="C207" t="s">
        <v>1592</v>
      </c>
      <c r="D207" t="s">
        <v>20</v>
      </c>
      <c r="E207" t="s">
        <v>21</v>
      </c>
      <c r="F207" t="s">
        <v>13</v>
      </c>
      <c r="G207" s="1">
        <v>45893</v>
      </c>
      <c r="H207" t="s">
        <v>36</v>
      </c>
      <c r="I207">
        <v>15480.790812848159</v>
      </c>
      <c r="J207">
        <v>192</v>
      </c>
      <c r="K207" t="s">
        <v>18</v>
      </c>
      <c r="L207" s="1">
        <v>45899</v>
      </c>
      <c r="M207">
        <v>6</v>
      </c>
      <c r="N207" t="s">
        <v>19</v>
      </c>
    </row>
    <row r="208" spans="1:14" x14ac:dyDescent="0.35">
      <c r="A208" t="s">
        <v>1012</v>
      </c>
      <c r="B208">
        <v>48</v>
      </c>
      <c r="C208" t="s">
        <v>1594</v>
      </c>
      <c r="D208" t="s">
        <v>20</v>
      </c>
      <c r="E208" t="s">
        <v>23</v>
      </c>
      <c r="F208" t="s">
        <v>13</v>
      </c>
      <c r="G208" s="1">
        <v>45685</v>
      </c>
      <c r="H208" t="s">
        <v>36</v>
      </c>
      <c r="I208">
        <v>15594.83231652533</v>
      </c>
      <c r="J208">
        <v>480</v>
      </c>
      <c r="K208" t="s">
        <v>18</v>
      </c>
      <c r="L208" s="1">
        <v>45692</v>
      </c>
      <c r="M208">
        <v>7</v>
      </c>
      <c r="N208" t="s">
        <v>19</v>
      </c>
    </row>
    <row r="209" spans="1:14" x14ac:dyDescent="0.35">
      <c r="A209" t="s">
        <v>1013</v>
      </c>
      <c r="B209">
        <v>30</v>
      </c>
      <c r="C209" t="s">
        <v>1593</v>
      </c>
      <c r="D209" t="s">
        <v>20</v>
      </c>
      <c r="E209" t="s">
        <v>12</v>
      </c>
      <c r="F209" t="s">
        <v>17</v>
      </c>
      <c r="G209" s="1">
        <v>45711</v>
      </c>
      <c r="H209" t="s">
        <v>36</v>
      </c>
      <c r="I209">
        <v>38270.31489433883</v>
      </c>
      <c r="J209">
        <v>178</v>
      </c>
      <c r="K209" t="s">
        <v>25</v>
      </c>
      <c r="L209" s="1">
        <v>45721</v>
      </c>
      <c r="M209">
        <v>10</v>
      </c>
      <c r="N209" t="s">
        <v>19</v>
      </c>
    </row>
    <row r="210" spans="1:14" x14ac:dyDescent="0.35">
      <c r="A210" t="s">
        <v>1014</v>
      </c>
      <c r="B210">
        <v>84</v>
      </c>
      <c r="C210" t="s">
        <v>1591</v>
      </c>
      <c r="D210" t="s">
        <v>11</v>
      </c>
      <c r="E210" t="s">
        <v>33</v>
      </c>
      <c r="F210" t="s">
        <v>32</v>
      </c>
      <c r="G210" s="1">
        <v>45978</v>
      </c>
      <c r="H210" t="s">
        <v>39</v>
      </c>
      <c r="I210">
        <v>5358.3327903784866</v>
      </c>
      <c r="J210">
        <v>186</v>
      </c>
      <c r="K210" t="s">
        <v>18</v>
      </c>
      <c r="L210" s="1">
        <v>45987</v>
      </c>
      <c r="M210">
        <v>9</v>
      </c>
      <c r="N210" t="s">
        <v>27</v>
      </c>
    </row>
    <row r="211" spans="1:14" x14ac:dyDescent="0.35">
      <c r="A211" t="s">
        <v>1015</v>
      </c>
      <c r="B211">
        <v>18</v>
      </c>
      <c r="C211" t="s">
        <v>1595</v>
      </c>
      <c r="D211" t="s">
        <v>20</v>
      </c>
      <c r="E211" t="s">
        <v>26</v>
      </c>
      <c r="F211" t="s">
        <v>13</v>
      </c>
      <c r="G211" s="1">
        <v>45766</v>
      </c>
      <c r="H211" t="s">
        <v>37</v>
      </c>
      <c r="I211">
        <v>44798.051203568772</v>
      </c>
      <c r="J211">
        <v>105</v>
      </c>
      <c r="K211" t="s">
        <v>25</v>
      </c>
      <c r="L211" s="1">
        <v>45778</v>
      </c>
      <c r="M211">
        <v>12</v>
      </c>
      <c r="N211" t="s">
        <v>19</v>
      </c>
    </row>
    <row r="212" spans="1:14" x14ac:dyDescent="0.35">
      <c r="A212" t="s">
        <v>1016</v>
      </c>
      <c r="B212">
        <v>28</v>
      </c>
      <c r="C212" t="s">
        <v>1593</v>
      </c>
      <c r="D212" t="s">
        <v>11</v>
      </c>
      <c r="E212" t="s">
        <v>21</v>
      </c>
      <c r="F212" t="s">
        <v>17</v>
      </c>
      <c r="G212" s="1">
        <v>45862</v>
      </c>
      <c r="H212" t="s">
        <v>36</v>
      </c>
      <c r="I212">
        <v>14332.982262964309</v>
      </c>
      <c r="J212">
        <v>233</v>
      </c>
      <c r="K212" t="s">
        <v>18</v>
      </c>
      <c r="L212" s="1">
        <v>45863</v>
      </c>
      <c r="M212">
        <v>1</v>
      </c>
      <c r="N212" t="s">
        <v>19</v>
      </c>
    </row>
    <row r="213" spans="1:14" x14ac:dyDescent="0.35">
      <c r="A213" t="s">
        <v>1017</v>
      </c>
      <c r="B213">
        <v>46</v>
      </c>
      <c r="C213" t="s">
        <v>1594</v>
      </c>
      <c r="D213" t="s">
        <v>11</v>
      </c>
      <c r="E213" t="s">
        <v>29</v>
      </c>
      <c r="F213" t="s">
        <v>24</v>
      </c>
      <c r="G213" s="1">
        <v>45815</v>
      </c>
      <c r="H213" t="s">
        <v>37</v>
      </c>
      <c r="I213">
        <v>13236.430005004269</v>
      </c>
      <c r="J213">
        <v>388</v>
      </c>
      <c r="K213" t="s">
        <v>18</v>
      </c>
      <c r="L213" s="1">
        <v>45820</v>
      </c>
      <c r="M213">
        <v>5</v>
      </c>
      <c r="N213" t="s">
        <v>31</v>
      </c>
    </row>
    <row r="214" spans="1:14" x14ac:dyDescent="0.35">
      <c r="A214" t="s">
        <v>1018</v>
      </c>
      <c r="B214">
        <v>51</v>
      </c>
      <c r="C214" t="s">
        <v>1592</v>
      </c>
      <c r="D214" t="s">
        <v>20</v>
      </c>
      <c r="E214" t="s">
        <v>34</v>
      </c>
      <c r="F214" t="s">
        <v>17</v>
      </c>
      <c r="G214" s="1">
        <v>45884</v>
      </c>
      <c r="H214" t="s">
        <v>39</v>
      </c>
      <c r="I214">
        <v>39607.768279087133</v>
      </c>
      <c r="J214">
        <v>272</v>
      </c>
      <c r="K214" t="s">
        <v>25</v>
      </c>
      <c r="L214" s="1">
        <v>45892</v>
      </c>
      <c r="M214">
        <v>8</v>
      </c>
      <c r="N214" t="s">
        <v>22</v>
      </c>
    </row>
    <row r="215" spans="1:14" x14ac:dyDescent="0.35">
      <c r="A215" t="s">
        <v>1019</v>
      </c>
      <c r="B215">
        <v>35</v>
      </c>
      <c r="C215" t="s">
        <v>1593</v>
      </c>
      <c r="D215" t="s">
        <v>20</v>
      </c>
      <c r="E215" t="s">
        <v>33</v>
      </c>
      <c r="F215" t="s">
        <v>32</v>
      </c>
      <c r="G215" s="1">
        <v>45781</v>
      </c>
      <c r="H215" t="s">
        <v>39</v>
      </c>
      <c r="I215">
        <v>27684.046934404771</v>
      </c>
      <c r="J215">
        <v>283</v>
      </c>
      <c r="K215" t="s">
        <v>18</v>
      </c>
      <c r="L215" s="1">
        <v>45782</v>
      </c>
      <c r="M215">
        <v>1</v>
      </c>
      <c r="N215" t="s">
        <v>19</v>
      </c>
    </row>
    <row r="216" spans="1:14" x14ac:dyDescent="0.35">
      <c r="A216" t="s">
        <v>1020</v>
      </c>
      <c r="B216">
        <v>44</v>
      </c>
      <c r="C216" t="s">
        <v>1594</v>
      </c>
      <c r="D216" t="s">
        <v>20</v>
      </c>
      <c r="E216" t="s">
        <v>21</v>
      </c>
      <c r="F216" t="s">
        <v>24</v>
      </c>
      <c r="G216" s="1">
        <v>45972</v>
      </c>
      <c r="H216" t="s">
        <v>37</v>
      </c>
      <c r="I216">
        <v>6009.4695625819804</v>
      </c>
      <c r="J216">
        <v>104</v>
      </c>
      <c r="K216" t="s">
        <v>18</v>
      </c>
      <c r="L216" s="1">
        <v>45975</v>
      </c>
      <c r="M216">
        <v>3</v>
      </c>
      <c r="N216" t="s">
        <v>19</v>
      </c>
    </row>
    <row r="217" spans="1:14" x14ac:dyDescent="0.35">
      <c r="A217" t="s">
        <v>1021</v>
      </c>
      <c r="B217">
        <v>82</v>
      </c>
      <c r="C217" t="s">
        <v>1591</v>
      </c>
      <c r="D217" t="s">
        <v>11</v>
      </c>
      <c r="E217" t="s">
        <v>26</v>
      </c>
      <c r="F217" t="s">
        <v>28</v>
      </c>
      <c r="G217" s="1">
        <v>45838</v>
      </c>
      <c r="H217" t="s">
        <v>36</v>
      </c>
      <c r="I217">
        <v>2004.6195737182529</v>
      </c>
      <c r="J217">
        <v>192</v>
      </c>
      <c r="K217" t="s">
        <v>18</v>
      </c>
      <c r="L217" s="1">
        <v>45839</v>
      </c>
      <c r="M217">
        <v>1</v>
      </c>
      <c r="N217" t="s">
        <v>27</v>
      </c>
    </row>
    <row r="218" spans="1:14" x14ac:dyDescent="0.35">
      <c r="A218" t="s">
        <v>1022</v>
      </c>
      <c r="B218">
        <v>66</v>
      </c>
      <c r="C218" t="s">
        <v>1591</v>
      </c>
      <c r="D218" t="s">
        <v>20</v>
      </c>
      <c r="E218" t="s">
        <v>12</v>
      </c>
      <c r="F218" t="s">
        <v>24</v>
      </c>
      <c r="G218" s="1">
        <v>45868</v>
      </c>
      <c r="H218" t="s">
        <v>36</v>
      </c>
      <c r="I218">
        <v>23279.508886608401</v>
      </c>
      <c r="J218">
        <v>481</v>
      </c>
      <c r="K218" t="s">
        <v>25</v>
      </c>
      <c r="L218" s="1">
        <v>45876</v>
      </c>
      <c r="M218">
        <v>8</v>
      </c>
      <c r="N218" t="s">
        <v>15</v>
      </c>
    </row>
    <row r="219" spans="1:14" x14ac:dyDescent="0.35">
      <c r="A219" t="s">
        <v>1023</v>
      </c>
      <c r="B219">
        <v>64</v>
      </c>
      <c r="C219" t="s">
        <v>1592</v>
      </c>
      <c r="D219" t="s">
        <v>20</v>
      </c>
      <c r="E219" t="s">
        <v>23</v>
      </c>
      <c r="F219" t="s">
        <v>32</v>
      </c>
      <c r="G219" s="1">
        <v>45663</v>
      </c>
      <c r="H219" t="s">
        <v>36</v>
      </c>
      <c r="I219">
        <v>9003.4844037504099</v>
      </c>
      <c r="J219">
        <v>448</v>
      </c>
      <c r="K219" t="s">
        <v>18</v>
      </c>
      <c r="L219" s="1">
        <v>45675</v>
      </c>
      <c r="M219">
        <v>12</v>
      </c>
      <c r="N219" t="s">
        <v>19</v>
      </c>
    </row>
    <row r="220" spans="1:14" x14ac:dyDescent="0.35">
      <c r="A220" t="s">
        <v>1024</v>
      </c>
      <c r="B220">
        <v>21</v>
      </c>
      <c r="C220" t="s">
        <v>1593</v>
      </c>
      <c r="D220" t="s">
        <v>11</v>
      </c>
      <c r="E220" t="s">
        <v>23</v>
      </c>
      <c r="F220" t="s">
        <v>30</v>
      </c>
      <c r="G220" s="1">
        <v>45843</v>
      </c>
      <c r="H220" t="s">
        <v>36</v>
      </c>
      <c r="I220">
        <v>14661.67879715498</v>
      </c>
      <c r="J220">
        <v>388</v>
      </c>
      <c r="K220" t="s">
        <v>18</v>
      </c>
      <c r="L220" s="1">
        <v>45854</v>
      </c>
      <c r="M220">
        <v>11</v>
      </c>
      <c r="N220" t="s">
        <v>19</v>
      </c>
    </row>
    <row r="221" spans="1:14" x14ac:dyDescent="0.35">
      <c r="A221" t="s">
        <v>1025</v>
      </c>
      <c r="B221">
        <v>34</v>
      </c>
      <c r="C221" t="s">
        <v>1593</v>
      </c>
      <c r="D221" t="s">
        <v>11</v>
      </c>
      <c r="E221" t="s">
        <v>34</v>
      </c>
      <c r="F221" t="s">
        <v>32</v>
      </c>
      <c r="G221" s="1">
        <v>45697</v>
      </c>
      <c r="H221" t="s">
        <v>39</v>
      </c>
      <c r="I221">
        <v>40092.68952429582</v>
      </c>
      <c r="J221">
        <v>419</v>
      </c>
      <c r="K221" t="s">
        <v>18</v>
      </c>
      <c r="L221" s="1">
        <v>45699</v>
      </c>
      <c r="M221">
        <v>2</v>
      </c>
      <c r="N221" t="s">
        <v>19</v>
      </c>
    </row>
    <row r="222" spans="1:14" x14ac:dyDescent="0.35">
      <c r="A222" t="s">
        <v>1026</v>
      </c>
      <c r="B222">
        <v>33</v>
      </c>
      <c r="C222" t="s">
        <v>1593</v>
      </c>
      <c r="D222" t="s">
        <v>20</v>
      </c>
      <c r="E222" t="s">
        <v>33</v>
      </c>
      <c r="F222" t="s">
        <v>32</v>
      </c>
      <c r="G222" s="1">
        <v>45827</v>
      </c>
      <c r="H222" t="s">
        <v>39</v>
      </c>
      <c r="I222">
        <v>1681.0061836567349</v>
      </c>
      <c r="J222">
        <v>300</v>
      </c>
      <c r="K222" t="s">
        <v>25</v>
      </c>
      <c r="L222" s="1">
        <v>45830</v>
      </c>
      <c r="M222">
        <v>3</v>
      </c>
      <c r="N222" t="s">
        <v>15</v>
      </c>
    </row>
    <row r="223" spans="1:14" x14ac:dyDescent="0.35">
      <c r="A223" t="s">
        <v>1027</v>
      </c>
      <c r="B223">
        <v>72</v>
      </c>
      <c r="C223" t="s">
        <v>1591</v>
      </c>
      <c r="D223" t="s">
        <v>20</v>
      </c>
      <c r="E223" t="s">
        <v>26</v>
      </c>
      <c r="F223" t="s">
        <v>13</v>
      </c>
      <c r="G223" s="1">
        <v>45904</v>
      </c>
      <c r="H223" t="s">
        <v>36</v>
      </c>
      <c r="I223">
        <v>41397.672973311899</v>
      </c>
      <c r="J223">
        <v>246</v>
      </c>
      <c r="K223" t="s">
        <v>18</v>
      </c>
      <c r="L223" s="1">
        <v>45913</v>
      </c>
      <c r="M223">
        <v>9</v>
      </c>
      <c r="N223" t="s">
        <v>31</v>
      </c>
    </row>
    <row r="224" spans="1:14" x14ac:dyDescent="0.35">
      <c r="A224" t="s">
        <v>1028</v>
      </c>
      <c r="B224">
        <v>38</v>
      </c>
      <c r="C224" t="s">
        <v>1594</v>
      </c>
      <c r="D224" t="s">
        <v>20</v>
      </c>
      <c r="E224" t="s">
        <v>26</v>
      </c>
      <c r="F224" t="s">
        <v>28</v>
      </c>
      <c r="G224" s="1">
        <v>45801</v>
      </c>
      <c r="H224" t="s">
        <v>36</v>
      </c>
      <c r="I224">
        <v>4187.8140173778738</v>
      </c>
      <c r="J224">
        <v>196</v>
      </c>
      <c r="K224" t="s">
        <v>18</v>
      </c>
      <c r="L224" s="1">
        <v>45810</v>
      </c>
      <c r="M224">
        <v>9</v>
      </c>
      <c r="N224" t="s">
        <v>15</v>
      </c>
    </row>
    <row r="225" spans="1:14" x14ac:dyDescent="0.35">
      <c r="A225" t="s">
        <v>1029</v>
      </c>
      <c r="B225">
        <v>24</v>
      </c>
      <c r="C225" t="s">
        <v>1593</v>
      </c>
      <c r="D225" t="s">
        <v>20</v>
      </c>
      <c r="E225" t="s">
        <v>23</v>
      </c>
      <c r="F225" t="s">
        <v>13</v>
      </c>
      <c r="G225" s="1">
        <v>45725</v>
      </c>
      <c r="H225" t="s">
        <v>39</v>
      </c>
      <c r="I225">
        <v>38672.281955562648</v>
      </c>
      <c r="J225">
        <v>184</v>
      </c>
      <c r="K225" t="s">
        <v>18</v>
      </c>
      <c r="L225" s="1">
        <v>45735</v>
      </c>
      <c r="M225">
        <v>10</v>
      </c>
      <c r="N225" t="s">
        <v>31</v>
      </c>
    </row>
    <row r="226" spans="1:14" x14ac:dyDescent="0.35">
      <c r="A226" t="s">
        <v>1030</v>
      </c>
      <c r="B226">
        <v>78</v>
      </c>
      <c r="C226" t="s">
        <v>1591</v>
      </c>
      <c r="D226" t="s">
        <v>20</v>
      </c>
      <c r="E226" t="s">
        <v>34</v>
      </c>
      <c r="F226" t="s">
        <v>24</v>
      </c>
      <c r="G226" s="1">
        <v>45884</v>
      </c>
      <c r="H226" t="s">
        <v>39</v>
      </c>
      <c r="I226">
        <v>34877.75811241677</v>
      </c>
      <c r="J226">
        <v>247</v>
      </c>
      <c r="K226" t="s">
        <v>25</v>
      </c>
      <c r="L226" s="1">
        <v>45888</v>
      </c>
      <c r="M226">
        <v>4</v>
      </c>
      <c r="N226" t="s">
        <v>22</v>
      </c>
    </row>
    <row r="227" spans="1:14" x14ac:dyDescent="0.35">
      <c r="A227" t="s">
        <v>1031</v>
      </c>
      <c r="B227">
        <v>48</v>
      </c>
      <c r="C227" t="s">
        <v>1594</v>
      </c>
      <c r="D227" t="s">
        <v>11</v>
      </c>
      <c r="E227" t="s">
        <v>26</v>
      </c>
      <c r="F227" t="s">
        <v>24</v>
      </c>
      <c r="G227" s="1">
        <v>45929</v>
      </c>
      <c r="H227" t="s">
        <v>37</v>
      </c>
      <c r="I227">
        <v>1903.173657905654</v>
      </c>
      <c r="J227">
        <v>145</v>
      </c>
      <c r="K227" t="s">
        <v>18</v>
      </c>
      <c r="L227" s="1">
        <v>45940</v>
      </c>
      <c r="M227">
        <v>11</v>
      </c>
      <c r="N227" t="s">
        <v>22</v>
      </c>
    </row>
    <row r="228" spans="1:14" x14ac:dyDescent="0.35">
      <c r="A228" t="s">
        <v>1032</v>
      </c>
      <c r="B228">
        <v>71</v>
      </c>
      <c r="C228" t="s">
        <v>1591</v>
      </c>
      <c r="D228" t="s">
        <v>20</v>
      </c>
      <c r="E228" t="s">
        <v>34</v>
      </c>
      <c r="F228" t="s">
        <v>32</v>
      </c>
      <c r="G228" s="1">
        <v>45988</v>
      </c>
      <c r="H228" t="s">
        <v>37</v>
      </c>
      <c r="I228">
        <v>32445.49574622092</v>
      </c>
      <c r="J228">
        <v>497</v>
      </c>
      <c r="K228" t="s">
        <v>18</v>
      </c>
      <c r="L228" s="1">
        <v>45991</v>
      </c>
      <c r="M228">
        <v>3</v>
      </c>
      <c r="N228" t="s">
        <v>15</v>
      </c>
    </row>
    <row r="229" spans="1:14" x14ac:dyDescent="0.35">
      <c r="A229" t="s">
        <v>1033</v>
      </c>
      <c r="B229">
        <v>76</v>
      </c>
      <c r="C229" t="s">
        <v>1591</v>
      </c>
      <c r="D229" t="s">
        <v>11</v>
      </c>
      <c r="E229" t="s">
        <v>29</v>
      </c>
      <c r="F229" t="s">
        <v>24</v>
      </c>
      <c r="G229" s="1">
        <v>45677</v>
      </c>
      <c r="H229" t="s">
        <v>37</v>
      </c>
      <c r="I229">
        <v>1590.072876271553</v>
      </c>
      <c r="J229">
        <v>268</v>
      </c>
      <c r="K229" t="s">
        <v>25</v>
      </c>
      <c r="L229" s="1">
        <v>45690</v>
      </c>
      <c r="M229">
        <v>13</v>
      </c>
      <c r="N229" t="s">
        <v>27</v>
      </c>
    </row>
    <row r="230" spans="1:14" x14ac:dyDescent="0.35">
      <c r="A230" t="s">
        <v>1034</v>
      </c>
      <c r="B230">
        <v>60</v>
      </c>
      <c r="C230" t="s">
        <v>1592</v>
      </c>
      <c r="D230" t="s">
        <v>20</v>
      </c>
      <c r="E230" t="s">
        <v>12</v>
      </c>
      <c r="F230" t="s">
        <v>32</v>
      </c>
      <c r="G230" s="1">
        <v>45751</v>
      </c>
      <c r="H230" t="s">
        <v>36</v>
      </c>
      <c r="I230">
        <v>47434.193924261272</v>
      </c>
      <c r="J230">
        <v>448</v>
      </c>
      <c r="K230" t="s">
        <v>18</v>
      </c>
      <c r="L230" s="1">
        <v>45762</v>
      </c>
      <c r="M230">
        <v>11</v>
      </c>
      <c r="N230" t="s">
        <v>15</v>
      </c>
    </row>
    <row r="231" spans="1:14" x14ac:dyDescent="0.35">
      <c r="A231" t="s">
        <v>1035</v>
      </c>
      <c r="B231">
        <v>68</v>
      </c>
      <c r="C231" t="s">
        <v>1591</v>
      </c>
      <c r="D231" t="s">
        <v>11</v>
      </c>
      <c r="E231" t="s">
        <v>29</v>
      </c>
      <c r="F231" t="s">
        <v>32</v>
      </c>
      <c r="G231" s="1">
        <v>45974</v>
      </c>
      <c r="H231" t="s">
        <v>39</v>
      </c>
      <c r="I231">
        <v>17387.897948155471</v>
      </c>
      <c r="J231">
        <v>108</v>
      </c>
      <c r="K231" t="s">
        <v>18</v>
      </c>
      <c r="L231" s="1">
        <v>45986</v>
      </c>
      <c r="M231">
        <v>12</v>
      </c>
      <c r="N231" t="s">
        <v>27</v>
      </c>
    </row>
    <row r="232" spans="1:14" x14ac:dyDescent="0.35">
      <c r="A232" t="s">
        <v>1036</v>
      </c>
      <c r="B232">
        <v>61</v>
      </c>
      <c r="C232" t="s">
        <v>1592</v>
      </c>
      <c r="D232" t="s">
        <v>11</v>
      </c>
      <c r="E232" t="s">
        <v>12</v>
      </c>
      <c r="F232" t="s">
        <v>24</v>
      </c>
      <c r="G232" s="1">
        <v>45697</v>
      </c>
      <c r="H232" t="s">
        <v>39</v>
      </c>
      <c r="I232">
        <v>13410.78564748242</v>
      </c>
      <c r="J232">
        <v>484</v>
      </c>
      <c r="K232" t="s">
        <v>18</v>
      </c>
      <c r="L232" s="1">
        <v>45705</v>
      </c>
      <c r="M232">
        <v>8</v>
      </c>
      <c r="N232" t="s">
        <v>15</v>
      </c>
    </row>
    <row r="233" spans="1:14" x14ac:dyDescent="0.35">
      <c r="A233" t="s">
        <v>1037</v>
      </c>
      <c r="B233">
        <v>20</v>
      </c>
      <c r="C233" t="s">
        <v>1593</v>
      </c>
      <c r="D233" t="s">
        <v>20</v>
      </c>
      <c r="E233" t="s">
        <v>12</v>
      </c>
      <c r="F233" t="s">
        <v>24</v>
      </c>
      <c r="G233" s="1">
        <v>45767</v>
      </c>
      <c r="H233" t="s">
        <v>37</v>
      </c>
      <c r="I233">
        <v>42745.133582142364</v>
      </c>
      <c r="J233">
        <v>432</v>
      </c>
      <c r="K233" t="s">
        <v>25</v>
      </c>
      <c r="L233" s="1">
        <v>45779</v>
      </c>
      <c r="M233">
        <v>12</v>
      </c>
      <c r="N233" t="s">
        <v>19</v>
      </c>
    </row>
    <row r="234" spans="1:14" x14ac:dyDescent="0.35">
      <c r="A234" t="s">
        <v>1038</v>
      </c>
      <c r="B234">
        <v>51</v>
      </c>
      <c r="C234" t="s">
        <v>1592</v>
      </c>
      <c r="D234" t="s">
        <v>20</v>
      </c>
      <c r="E234" t="s">
        <v>26</v>
      </c>
      <c r="F234" t="s">
        <v>30</v>
      </c>
      <c r="G234" s="1">
        <v>45820</v>
      </c>
      <c r="H234" t="s">
        <v>39</v>
      </c>
      <c r="I234">
        <v>46292.147371948042</v>
      </c>
      <c r="J234">
        <v>385</v>
      </c>
      <c r="K234" t="s">
        <v>18</v>
      </c>
      <c r="L234" s="1">
        <v>45822</v>
      </c>
      <c r="M234">
        <v>2</v>
      </c>
      <c r="N234" t="s">
        <v>22</v>
      </c>
    </row>
    <row r="235" spans="1:14" x14ac:dyDescent="0.35">
      <c r="A235" t="s">
        <v>1039</v>
      </c>
      <c r="B235">
        <v>18</v>
      </c>
      <c r="C235" t="s">
        <v>1595</v>
      </c>
      <c r="D235" t="s">
        <v>20</v>
      </c>
      <c r="E235" t="s">
        <v>16</v>
      </c>
      <c r="F235" t="s">
        <v>30</v>
      </c>
      <c r="G235" s="1">
        <v>45745</v>
      </c>
      <c r="H235" t="s">
        <v>39</v>
      </c>
      <c r="I235">
        <v>45378.483888380753</v>
      </c>
      <c r="J235">
        <v>223</v>
      </c>
      <c r="K235" t="s">
        <v>18</v>
      </c>
      <c r="L235" s="1">
        <v>45747</v>
      </c>
      <c r="M235">
        <v>2</v>
      </c>
      <c r="N235" t="s">
        <v>27</v>
      </c>
    </row>
    <row r="236" spans="1:14" x14ac:dyDescent="0.35">
      <c r="A236" t="s">
        <v>1040</v>
      </c>
      <c r="B236">
        <v>70</v>
      </c>
      <c r="C236" t="s">
        <v>1591</v>
      </c>
      <c r="D236" t="s">
        <v>20</v>
      </c>
      <c r="E236" t="s">
        <v>12</v>
      </c>
      <c r="F236" t="s">
        <v>30</v>
      </c>
      <c r="G236" s="1">
        <v>45670</v>
      </c>
      <c r="H236" t="s">
        <v>37</v>
      </c>
      <c r="I236">
        <v>35319.123324266409</v>
      </c>
      <c r="J236">
        <v>419</v>
      </c>
      <c r="K236" t="s">
        <v>25</v>
      </c>
      <c r="L236" s="1">
        <v>45674</v>
      </c>
      <c r="M236">
        <v>4</v>
      </c>
      <c r="N236" t="s">
        <v>19</v>
      </c>
    </row>
    <row r="237" spans="1:14" x14ac:dyDescent="0.35">
      <c r="A237" t="s">
        <v>1041</v>
      </c>
      <c r="B237">
        <v>82</v>
      </c>
      <c r="C237" t="s">
        <v>1591</v>
      </c>
      <c r="D237" t="s">
        <v>20</v>
      </c>
      <c r="E237" t="s">
        <v>12</v>
      </c>
      <c r="F237" t="s">
        <v>32</v>
      </c>
      <c r="G237" s="1">
        <v>45985</v>
      </c>
      <c r="H237" t="s">
        <v>39</v>
      </c>
      <c r="I237">
        <v>45914.13809189805</v>
      </c>
      <c r="J237">
        <v>119</v>
      </c>
      <c r="K237" t="s">
        <v>18</v>
      </c>
      <c r="L237" s="1">
        <v>45990</v>
      </c>
      <c r="M237">
        <v>5</v>
      </c>
      <c r="N237" t="s">
        <v>15</v>
      </c>
    </row>
    <row r="238" spans="1:14" x14ac:dyDescent="0.35">
      <c r="A238" t="s">
        <v>1042</v>
      </c>
      <c r="B238">
        <v>60</v>
      </c>
      <c r="C238" t="s">
        <v>1592</v>
      </c>
      <c r="D238" t="s">
        <v>20</v>
      </c>
      <c r="E238" t="s">
        <v>29</v>
      </c>
      <c r="F238" t="s">
        <v>24</v>
      </c>
      <c r="G238" s="1">
        <v>45817</v>
      </c>
      <c r="H238" t="s">
        <v>37</v>
      </c>
      <c r="I238">
        <v>4813.3558162763802</v>
      </c>
      <c r="J238">
        <v>260</v>
      </c>
      <c r="K238" t="s">
        <v>18</v>
      </c>
      <c r="L238" s="1">
        <v>45830</v>
      </c>
      <c r="M238">
        <v>13</v>
      </c>
      <c r="N238" t="s">
        <v>31</v>
      </c>
    </row>
    <row r="239" spans="1:14" x14ac:dyDescent="0.35">
      <c r="A239" t="s">
        <v>969</v>
      </c>
      <c r="B239">
        <v>54</v>
      </c>
      <c r="C239" t="s">
        <v>1592</v>
      </c>
      <c r="D239" t="s">
        <v>20</v>
      </c>
      <c r="E239" t="s">
        <v>12</v>
      </c>
      <c r="F239" t="s">
        <v>32</v>
      </c>
      <c r="G239" s="1">
        <v>45811</v>
      </c>
      <c r="H239" t="s">
        <v>37</v>
      </c>
      <c r="I239">
        <v>36856.204558072743</v>
      </c>
      <c r="J239">
        <v>264</v>
      </c>
      <c r="K239" t="s">
        <v>25</v>
      </c>
      <c r="L239" s="1">
        <v>45822</v>
      </c>
      <c r="M239">
        <v>11</v>
      </c>
      <c r="N239" t="s">
        <v>22</v>
      </c>
    </row>
    <row r="240" spans="1:14" x14ac:dyDescent="0.35">
      <c r="A240" t="s">
        <v>1043</v>
      </c>
      <c r="B240">
        <v>47</v>
      </c>
      <c r="C240" t="s">
        <v>1594</v>
      </c>
      <c r="D240" t="s">
        <v>20</v>
      </c>
      <c r="E240" t="s">
        <v>21</v>
      </c>
      <c r="F240" t="s">
        <v>13</v>
      </c>
      <c r="G240" s="1">
        <v>45733</v>
      </c>
      <c r="H240" t="s">
        <v>39</v>
      </c>
      <c r="I240">
        <v>-68.319620761113356</v>
      </c>
      <c r="J240">
        <v>288</v>
      </c>
      <c r="K240" t="s">
        <v>18</v>
      </c>
      <c r="L240" s="1">
        <v>45745</v>
      </c>
      <c r="M240">
        <v>12</v>
      </c>
      <c r="N240" t="s">
        <v>19</v>
      </c>
    </row>
    <row r="241" spans="1:14" x14ac:dyDescent="0.35">
      <c r="A241" t="s">
        <v>1044</v>
      </c>
      <c r="B241">
        <v>57</v>
      </c>
      <c r="C241" t="s">
        <v>1592</v>
      </c>
      <c r="D241" t="s">
        <v>11</v>
      </c>
      <c r="E241" t="s">
        <v>21</v>
      </c>
      <c r="F241" t="s">
        <v>30</v>
      </c>
      <c r="G241" s="1">
        <v>45950</v>
      </c>
      <c r="H241" t="s">
        <v>36</v>
      </c>
      <c r="I241">
        <v>1502.150642159766</v>
      </c>
      <c r="J241">
        <v>351</v>
      </c>
      <c r="K241" t="s">
        <v>25</v>
      </c>
      <c r="L241" s="1">
        <v>45958</v>
      </c>
      <c r="M241">
        <v>8</v>
      </c>
      <c r="N241" t="s">
        <v>31</v>
      </c>
    </row>
    <row r="242" spans="1:14" x14ac:dyDescent="0.35">
      <c r="A242" t="s">
        <v>1045</v>
      </c>
      <c r="B242">
        <v>52</v>
      </c>
      <c r="C242" t="s">
        <v>1592</v>
      </c>
      <c r="D242" t="s">
        <v>11</v>
      </c>
      <c r="E242" t="s">
        <v>34</v>
      </c>
      <c r="F242" t="s">
        <v>17</v>
      </c>
      <c r="G242" s="1">
        <v>45774</v>
      </c>
      <c r="H242" t="s">
        <v>37</v>
      </c>
      <c r="I242">
        <v>44150.492444979573</v>
      </c>
      <c r="J242">
        <v>370</v>
      </c>
      <c r="K242" t="s">
        <v>18</v>
      </c>
      <c r="L242" s="1">
        <v>45779</v>
      </c>
      <c r="M242">
        <v>5</v>
      </c>
      <c r="N242" t="s">
        <v>19</v>
      </c>
    </row>
    <row r="243" spans="1:14" x14ac:dyDescent="0.35">
      <c r="A243" t="s">
        <v>1046</v>
      </c>
      <c r="B243">
        <v>52</v>
      </c>
      <c r="C243" t="s">
        <v>1592</v>
      </c>
      <c r="D243" t="s">
        <v>20</v>
      </c>
      <c r="E243" t="s">
        <v>26</v>
      </c>
      <c r="F243" t="s">
        <v>28</v>
      </c>
      <c r="G243" s="1">
        <v>45689</v>
      </c>
      <c r="H243" t="s">
        <v>37</v>
      </c>
      <c r="I243">
        <v>44415.218284627997</v>
      </c>
      <c r="J243">
        <v>136</v>
      </c>
      <c r="K243" t="s">
        <v>18</v>
      </c>
      <c r="L243" s="1">
        <v>45700</v>
      </c>
      <c r="M243">
        <v>11</v>
      </c>
      <c r="N243" t="s">
        <v>31</v>
      </c>
    </row>
    <row r="244" spans="1:14" x14ac:dyDescent="0.35">
      <c r="A244" t="s">
        <v>1047</v>
      </c>
      <c r="B244">
        <v>32</v>
      </c>
      <c r="C244" t="s">
        <v>1593</v>
      </c>
      <c r="D244" t="s">
        <v>20</v>
      </c>
      <c r="E244" t="s">
        <v>23</v>
      </c>
      <c r="F244" t="s">
        <v>28</v>
      </c>
      <c r="G244" s="1">
        <v>45986</v>
      </c>
      <c r="H244" t="s">
        <v>36</v>
      </c>
      <c r="I244">
        <v>35844.142583219284</v>
      </c>
      <c r="J244">
        <v>340</v>
      </c>
      <c r="K244" t="s">
        <v>25</v>
      </c>
      <c r="L244" s="1">
        <v>45997</v>
      </c>
      <c r="M244">
        <v>11</v>
      </c>
      <c r="N244" t="s">
        <v>22</v>
      </c>
    </row>
    <row r="245" spans="1:14" x14ac:dyDescent="0.35">
      <c r="A245" t="s">
        <v>1048</v>
      </c>
      <c r="B245">
        <v>60</v>
      </c>
      <c r="C245" t="s">
        <v>1592</v>
      </c>
      <c r="D245" t="s">
        <v>11</v>
      </c>
      <c r="E245" t="s">
        <v>34</v>
      </c>
      <c r="F245" t="s">
        <v>30</v>
      </c>
      <c r="G245" s="1">
        <v>45883</v>
      </c>
      <c r="H245" t="s">
        <v>39</v>
      </c>
      <c r="I245">
        <v>48916.870957018073</v>
      </c>
      <c r="J245">
        <v>303</v>
      </c>
      <c r="K245" t="s">
        <v>18</v>
      </c>
      <c r="L245" s="1">
        <v>45893</v>
      </c>
      <c r="M245">
        <v>10</v>
      </c>
      <c r="N245" t="s">
        <v>31</v>
      </c>
    </row>
    <row r="246" spans="1:14" x14ac:dyDescent="0.35">
      <c r="A246" t="s">
        <v>1049</v>
      </c>
      <c r="B246">
        <v>64</v>
      </c>
      <c r="C246" t="s">
        <v>1592</v>
      </c>
      <c r="D246" t="s">
        <v>11</v>
      </c>
      <c r="E246" t="s">
        <v>21</v>
      </c>
      <c r="F246" t="s">
        <v>30</v>
      </c>
      <c r="G246" s="1">
        <v>45700</v>
      </c>
      <c r="H246" t="s">
        <v>36</v>
      </c>
      <c r="I246">
        <v>16398.561572383809</v>
      </c>
      <c r="J246">
        <v>158</v>
      </c>
      <c r="K246" t="s">
        <v>18</v>
      </c>
      <c r="L246" s="1">
        <v>45712</v>
      </c>
      <c r="M246">
        <v>12</v>
      </c>
      <c r="N246" t="s">
        <v>19</v>
      </c>
    </row>
    <row r="247" spans="1:14" x14ac:dyDescent="0.35">
      <c r="A247" t="s">
        <v>1050</v>
      </c>
      <c r="B247">
        <v>46</v>
      </c>
      <c r="C247" t="s">
        <v>1594</v>
      </c>
      <c r="D247" t="s">
        <v>11</v>
      </c>
      <c r="E247" t="s">
        <v>33</v>
      </c>
      <c r="F247" t="s">
        <v>30</v>
      </c>
      <c r="G247" s="1">
        <v>45980</v>
      </c>
      <c r="H247" t="s">
        <v>36</v>
      </c>
      <c r="I247">
        <v>37012.61499485837</v>
      </c>
      <c r="J247">
        <v>367</v>
      </c>
      <c r="K247" t="s">
        <v>25</v>
      </c>
      <c r="L247" s="1">
        <v>45984</v>
      </c>
      <c r="M247">
        <v>4</v>
      </c>
      <c r="N247" t="s">
        <v>19</v>
      </c>
    </row>
    <row r="248" spans="1:14" x14ac:dyDescent="0.35">
      <c r="A248" t="s">
        <v>1051</v>
      </c>
      <c r="B248">
        <v>79</v>
      </c>
      <c r="C248" t="s">
        <v>1591</v>
      </c>
      <c r="D248" t="s">
        <v>11</v>
      </c>
      <c r="E248" t="s">
        <v>21</v>
      </c>
      <c r="F248" t="s">
        <v>17</v>
      </c>
      <c r="G248" s="1">
        <v>45803</v>
      </c>
      <c r="H248" t="s">
        <v>37</v>
      </c>
      <c r="I248">
        <v>32498.691267998089</v>
      </c>
      <c r="J248">
        <v>481</v>
      </c>
      <c r="K248" t="s">
        <v>25</v>
      </c>
      <c r="L248" s="1">
        <v>45806</v>
      </c>
      <c r="M248">
        <v>3</v>
      </c>
      <c r="N248" t="s">
        <v>31</v>
      </c>
    </row>
    <row r="249" spans="1:14" x14ac:dyDescent="0.35">
      <c r="A249" t="s">
        <v>1052</v>
      </c>
      <c r="B249">
        <v>66</v>
      </c>
      <c r="C249" t="s">
        <v>1591</v>
      </c>
      <c r="D249" t="s">
        <v>20</v>
      </c>
      <c r="E249" t="s">
        <v>21</v>
      </c>
      <c r="F249" t="s">
        <v>13</v>
      </c>
      <c r="G249" s="1">
        <v>45902</v>
      </c>
      <c r="H249" t="s">
        <v>37</v>
      </c>
      <c r="I249">
        <v>15465.12504561622</v>
      </c>
      <c r="J249">
        <v>392</v>
      </c>
      <c r="K249" t="s">
        <v>25</v>
      </c>
      <c r="L249" s="1">
        <v>45913</v>
      </c>
      <c r="M249">
        <v>11</v>
      </c>
      <c r="N249" t="s">
        <v>22</v>
      </c>
    </row>
    <row r="250" spans="1:14" x14ac:dyDescent="0.35">
      <c r="A250" t="s">
        <v>1053</v>
      </c>
      <c r="B250">
        <v>23</v>
      </c>
      <c r="C250" t="s">
        <v>1593</v>
      </c>
      <c r="D250" t="s">
        <v>11</v>
      </c>
      <c r="E250" t="s">
        <v>16</v>
      </c>
      <c r="F250" t="s">
        <v>13</v>
      </c>
      <c r="G250" s="1">
        <v>45666</v>
      </c>
      <c r="H250" t="s">
        <v>36</v>
      </c>
      <c r="I250">
        <v>35005.753942432697</v>
      </c>
      <c r="J250">
        <v>326</v>
      </c>
      <c r="K250" t="s">
        <v>18</v>
      </c>
      <c r="L250" s="1">
        <v>45669</v>
      </c>
      <c r="M250">
        <v>3</v>
      </c>
      <c r="N250" t="s">
        <v>31</v>
      </c>
    </row>
    <row r="251" spans="1:14" x14ac:dyDescent="0.35">
      <c r="A251" t="s">
        <v>1054</v>
      </c>
      <c r="B251">
        <v>61</v>
      </c>
      <c r="C251" t="s">
        <v>1592</v>
      </c>
      <c r="D251" t="s">
        <v>20</v>
      </c>
      <c r="E251" t="s">
        <v>16</v>
      </c>
      <c r="F251" t="s">
        <v>30</v>
      </c>
      <c r="G251" s="1">
        <v>45958</v>
      </c>
      <c r="H251" t="s">
        <v>37</v>
      </c>
      <c r="I251">
        <v>20372.19047269196</v>
      </c>
      <c r="J251">
        <v>379</v>
      </c>
      <c r="K251" t="s">
        <v>25</v>
      </c>
      <c r="L251" s="1">
        <v>45970</v>
      </c>
      <c r="M251">
        <v>12</v>
      </c>
      <c r="N251" t="s">
        <v>31</v>
      </c>
    </row>
    <row r="252" spans="1:14" x14ac:dyDescent="0.35">
      <c r="A252" t="s">
        <v>1055</v>
      </c>
      <c r="B252">
        <v>63</v>
      </c>
      <c r="C252" t="s">
        <v>1592</v>
      </c>
      <c r="D252" t="s">
        <v>11</v>
      </c>
      <c r="E252" t="s">
        <v>26</v>
      </c>
      <c r="F252" t="s">
        <v>32</v>
      </c>
      <c r="G252" s="1">
        <v>46004</v>
      </c>
      <c r="H252" t="s">
        <v>37</v>
      </c>
      <c r="I252">
        <v>36260.227756632477</v>
      </c>
      <c r="J252">
        <v>463</v>
      </c>
      <c r="K252" t="s">
        <v>18</v>
      </c>
      <c r="L252" s="1">
        <v>46018</v>
      </c>
      <c r="M252">
        <v>14</v>
      </c>
      <c r="N252" t="s">
        <v>19</v>
      </c>
    </row>
    <row r="253" spans="1:14" x14ac:dyDescent="0.35">
      <c r="A253" t="s">
        <v>1056</v>
      </c>
      <c r="B253">
        <v>28</v>
      </c>
      <c r="C253" t="s">
        <v>1593</v>
      </c>
      <c r="D253" t="s">
        <v>11</v>
      </c>
      <c r="E253" t="s">
        <v>33</v>
      </c>
      <c r="F253" t="s">
        <v>13</v>
      </c>
      <c r="G253" s="1">
        <v>45826</v>
      </c>
      <c r="H253" t="s">
        <v>39</v>
      </c>
      <c r="I253">
        <v>6802.0976449092777</v>
      </c>
      <c r="J253">
        <v>209</v>
      </c>
      <c r="K253" t="s">
        <v>25</v>
      </c>
      <c r="L253" s="1">
        <v>45837</v>
      </c>
      <c r="M253">
        <v>11</v>
      </c>
      <c r="N253" t="s">
        <v>31</v>
      </c>
    </row>
    <row r="254" spans="1:14" x14ac:dyDescent="0.35">
      <c r="A254" t="s">
        <v>1057</v>
      </c>
      <c r="B254">
        <v>57</v>
      </c>
      <c r="C254" t="s">
        <v>1592</v>
      </c>
      <c r="D254" t="s">
        <v>20</v>
      </c>
      <c r="E254" t="s">
        <v>29</v>
      </c>
      <c r="F254" t="s">
        <v>30</v>
      </c>
      <c r="G254" s="1">
        <v>45950</v>
      </c>
      <c r="H254" t="s">
        <v>37</v>
      </c>
      <c r="I254">
        <v>11898.809555485161</v>
      </c>
      <c r="J254">
        <v>177</v>
      </c>
      <c r="K254" t="s">
        <v>18</v>
      </c>
      <c r="L254" s="1">
        <v>45954</v>
      </c>
      <c r="M254">
        <v>4</v>
      </c>
      <c r="N254" t="s">
        <v>22</v>
      </c>
    </row>
    <row r="255" spans="1:14" x14ac:dyDescent="0.35">
      <c r="A255" t="s">
        <v>1058</v>
      </c>
      <c r="B255">
        <v>20</v>
      </c>
      <c r="C255" t="s">
        <v>1593</v>
      </c>
      <c r="D255" t="s">
        <v>20</v>
      </c>
      <c r="E255" t="s">
        <v>26</v>
      </c>
      <c r="F255" t="s">
        <v>28</v>
      </c>
      <c r="G255" s="1">
        <v>45979</v>
      </c>
      <c r="H255" t="s">
        <v>39</v>
      </c>
      <c r="I255">
        <v>44073.679816247837</v>
      </c>
      <c r="J255">
        <v>257</v>
      </c>
      <c r="K255" t="s">
        <v>25</v>
      </c>
      <c r="L255" s="1">
        <v>45990</v>
      </c>
      <c r="M255">
        <v>11</v>
      </c>
      <c r="N255" t="s">
        <v>15</v>
      </c>
    </row>
    <row r="256" spans="1:14" x14ac:dyDescent="0.35">
      <c r="A256" t="s">
        <v>1059</v>
      </c>
      <c r="B256">
        <v>48</v>
      </c>
      <c r="C256" t="s">
        <v>1594</v>
      </c>
      <c r="D256" t="s">
        <v>11</v>
      </c>
      <c r="E256" t="s">
        <v>16</v>
      </c>
      <c r="F256" t="s">
        <v>17</v>
      </c>
      <c r="G256" s="1">
        <v>45753</v>
      </c>
      <c r="H256" t="s">
        <v>37</v>
      </c>
      <c r="I256">
        <v>9809.1879612655321</v>
      </c>
      <c r="J256">
        <v>148</v>
      </c>
      <c r="K256" t="s">
        <v>25</v>
      </c>
      <c r="L256" s="1">
        <v>45760</v>
      </c>
      <c r="M256">
        <v>7</v>
      </c>
      <c r="N256" t="s">
        <v>31</v>
      </c>
    </row>
    <row r="257" spans="1:14" x14ac:dyDescent="0.35">
      <c r="A257" t="s">
        <v>1060</v>
      </c>
      <c r="B257">
        <v>47</v>
      </c>
      <c r="C257" t="s">
        <v>1594</v>
      </c>
      <c r="D257" t="s">
        <v>11</v>
      </c>
      <c r="E257" t="s">
        <v>34</v>
      </c>
      <c r="F257" t="s">
        <v>13</v>
      </c>
      <c r="G257" s="1">
        <v>45752</v>
      </c>
      <c r="H257" t="s">
        <v>37</v>
      </c>
      <c r="I257">
        <v>24227.504396388249</v>
      </c>
      <c r="J257">
        <v>486</v>
      </c>
      <c r="K257" t="s">
        <v>25</v>
      </c>
      <c r="L257" s="1">
        <v>45765</v>
      </c>
      <c r="M257">
        <v>13</v>
      </c>
      <c r="N257" t="s">
        <v>31</v>
      </c>
    </row>
    <row r="258" spans="1:14" x14ac:dyDescent="0.35">
      <c r="A258" t="s">
        <v>1061</v>
      </c>
      <c r="B258">
        <v>68</v>
      </c>
      <c r="C258" t="s">
        <v>1591</v>
      </c>
      <c r="D258" t="s">
        <v>20</v>
      </c>
      <c r="E258" t="s">
        <v>21</v>
      </c>
      <c r="F258" t="s">
        <v>13</v>
      </c>
      <c r="G258" s="1">
        <v>45709</v>
      </c>
      <c r="H258" t="s">
        <v>36</v>
      </c>
      <c r="I258">
        <v>26546.076911096439</v>
      </c>
      <c r="J258">
        <v>101</v>
      </c>
      <c r="K258" t="s">
        <v>25</v>
      </c>
      <c r="L258" s="1">
        <v>45719</v>
      </c>
      <c r="M258">
        <v>10</v>
      </c>
      <c r="N258" t="s">
        <v>19</v>
      </c>
    </row>
    <row r="259" spans="1:14" x14ac:dyDescent="0.35">
      <c r="A259" t="s">
        <v>1062</v>
      </c>
      <c r="B259">
        <v>33</v>
      </c>
      <c r="C259" t="s">
        <v>1593</v>
      </c>
      <c r="D259" t="s">
        <v>20</v>
      </c>
      <c r="E259" t="s">
        <v>16</v>
      </c>
      <c r="F259" t="s">
        <v>24</v>
      </c>
      <c r="G259" s="1">
        <v>45676</v>
      </c>
      <c r="H259" t="s">
        <v>37</v>
      </c>
      <c r="I259">
        <v>49277.839359361613</v>
      </c>
      <c r="J259">
        <v>260</v>
      </c>
      <c r="K259" t="s">
        <v>25</v>
      </c>
      <c r="L259" s="1">
        <v>45678</v>
      </c>
      <c r="M259">
        <v>2</v>
      </c>
      <c r="N259" t="s">
        <v>15</v>
      </c>
    </row>
    <row r="260" spans="1:14" x14ac:dyDescent="0.35">
      <c r="A260" t="s">
        <v>1063</v>
      </c>
      <c r="B260">
        <v>25</v>
      </c>
      <c r="C260" t="s">
        <v>1593</v>
      </c>
      <c r="D260" t="s">
        <v>20</v>
      </c>
      <c r="E260" t="s">
        <v>33</v>
      </c>
      <c r="F260" t="s">
        <v>13</v>
      </c>
      <c r="G260" s="1">
        <v>45660</v>
      </c>
      <c r="H260" t="s">
        <v>39</v>
      </c>
      <c r="I260">
        <v>37362.728019042581</v>
      </c>
      <c r="J260">
        <v>440</v>
      </c>
      <c r="K260" t="s">
        <v>25</v>
      </c>
      <c r="L260" s="1">
        <v>45665</v>
      </c>
      <c r="M260">
        <v>5</v>
      </c>
      <c r="N260" t="s">
        <v>27</v>
      </c>
    </row>
    <row r="261" spans="1:14" x14ac:dyDescent="0.35">
      <c r="A261" t="s">
        <v>1064</v>
      </c>
      <c r="B261">
        <v>63</v>
      </c>
      <c r="C261" t="s">
        <v>1592</v>
      </c>
      <c r="D261" t="s">
        <v>11</v>
      </c>
      <c r="E261" t="s">
        <v>21</v>
      </c>
      <c r="F261" t="s">
        <v>17</v>
      </c>
      <c r="G261" s="1">
        <v>45822</v>
      </c>
      <c r="H261" t="s">
        <v>39</v>
      </c>
      <c r="I261">
        <v>19307.568465508219</v>
      </c>
      <c r="J261">
        <v>403</v>
      </c>
      <c r="K261" t="s">
        <v>18</v>
      </c>
      <c r="L261" s="1">
        <v>45836</v>
      </c>
      <c r="M261">
        <v>14</v>
      </c>
      <c r="N261" t="s">
        <v>19</v>
      </c>
    </row>
    <row r="262" spans="1:14" x14ac:dyDescent="0.35">
      <c r="A262" t="s">
        <v>1065</v>
      </c>
      <c r="B262">
        <v>41</v>
      </c>
      <c r="C262" t="s">
        <v>1594</v>
      </c>
      <c r="D262" t="s">
        <v>20</v>
      </c>
      <c r="E262" t="s">
        <v>26</v>
      </c>
      <c r="F262" t="s">
        <v>13</v>
      </c>
      <c r="G262" s="1">
        <v>45988</v>
      </c>
      <c r="H262" t="s">
        <v>39</v>
      </c>
      <c r="I262">
        <v>7518.7657046318081</v>
      </c>
      <c r="J262">
        <v>176</v>
      </c>
      <c r="K262" t="s">
        <v>18</v>
      </c>
      <c r="L262" s="1">
        <v>45989</v>
      </c>
      <c r="M262">
        <v>1</v>
      </c>
      <c r="N262" t="s">
        <v>19</v>
      </c>
    </row>
    <row r="263" spans="1:14" x14ac:dyDescent="0.35">
      <c r="A263" t="s">
        <v>1066</v>
      </c>
      <c r="B263">
        <v>36</v>
      </c>
      <c r="C263" t="s">
        <v>1594</v>
      </c>
      <c r="D263" t="s">
        <v>20</v>
      </c>
      <c r="E263" t="s">
        <v>34</v>
      </c>
      <c r="F263" t="s">
        <v>24</v>
      </c>
      <c r="G263" s="1">
        <v>45786</v>
      </c>
      <c r="H263" t="s">
        <v>36</v>
      </c>
      <c r="I263">
        <v>9400.3344645859161</v>
      </c>
      <c r="J263">
        <v>222</v>
      </c>
      <c r="K263" t="s">
        <v>18</v>
      </c>
      <c r="L263" s="1">
        <v>45790</v>
      </c>
      <c r="M263">
        <v>4</v>
      </c>
      <c r="N263" t="s">
        <v>19</v>
      </c>
    </row>
    <row r="264" spans="1:14" x14ac:dyDescent="0.35">
      <c r="A264" t="s">
        <v>1067</v>
      </c>
      <c r="B264">
        <v>30</v>
      </c>
      <c r="C264" t="s">
        <v>1593</v>
      </c>
      <c r="D264" t="s">
        <v>11</v>
      </c>
      <c r="E264" t="s">
        <v>34</v>
      </c>
      <c r="F264" t="s">
        <v>32</v>
      </c>
      <c r="G264" s="1">
        <v>45865</v>
      </c>
      <c r="H264" t="s">
        <v>39</v>
      </c>
      <c r="I264">
        <v>31270.684820988368</v>
      </c>
      <c r="J264">
        <v>458</v>
      </c>
      <c r="K264" t="s">
        <v>25</v>
      </c>
      <c r="L264" s="1">
        <v>45872</v>
      </c>
      <c r="M264">
        <v>7</v>
      </c>
      <c r="N264" t="s">
        <v>27</v>
      </c>
    </row>
    <row r="265" spans="1:14" x14ac:dyDescent="0.35">
      <c r="A265" t="s">
        <v>1068</v>
      </c>
      <c r="B265">
        <v>34</v>
      </c>
      <c r="C265" t="s">
        <v>1593</v>
      </c>
      <c r="D265" t="s">
        <v>20</v>
      </c>
      <c r="E265" t="s">
        <v>29</v>
      </c>
      <c r="F265" t="s">
        <v>13</v>
      </c>
      <c r="G265" s="1">
        <v>45714</v>
      </c>
      <c r="H265" t="s">
        <v>37</v>
      </c>
      <c r="I265">
        <v>38636.517201554103</v>
      </c>
      <c r="J265">
        <v>324</v>
      </c>
      <c r="K265" t="s">
        <v>25</v>
      </c>
      <c r="L265" s="1">
        <v>45721</v>
      </c>
      <c r="M265">
        <v>7</v>
      </c>
      <c r="N265" t="s">
        <v>27</v>
      </c>
    </row>
    <row r="266" spans="1:14" x14ac:dyDescent="0.35">
      <c r="A266" t="s">
        <v>1069</v>
      </c>
      <c r="B266">
        <v>53</v>
      </c>
      <c r="C266" t="s">
        <v>1592</v>
      </c>
      <c r="D266" t="s">
        <v>11</v>
      </c>
      <c r="E266" t="s">
        <v>12</v>
      </c>
      <c r="F266" t="s">
        <v>28</v>
      </c>
      <c r="G266" s="1">
        <v>45907</v>
      </c>
      <c r="H266" t="s">
        <v>39</v>
      </c>
      <c r="I266">
        <v>18221.30001628229</v>
      </c>
      <c r="J266">
        <v>116</v>
      </c>
      <c r="K266" t="s">
        <v>25</v>
      </c>
      <c r="L266" s="1">
        <v>45920</v>
      </c>
      <c r="M266">
        <v>13</v>
      </c>
      <c r="N266" t="s">
        <v>15</v>
      </c>
    </row>
    <row r="267" spans="1:14" x14ac:dyDescent="0.35">
      <c r="A267" t="s">
        <v>1070</v>
      </c>
      <c r="B267">
        <v>50</v>
      </c>
      <c r="C267" t="s">
        <v>1594</v>
      </c>
      <c r="D267" t="s">
        <v>20</v>
      </c>
      <c r="E267" t="s">
        <v>12</v>
      </c>
      <c r="F267" t="s">
        <v>32</v>
      </c>
      <c r="G267" s="1">
        <v>45728</v>
      </c>
      <c r="H267" t="s">
        <v>39</v>
      </c>
      <c r="I267">
        <v>49112.824113704017</v>
      </c>
      <c r="J267">
        <v>143</v>
      </c>
      <c r="K267" t="s">
        <v>25</v>
      </c>
      <c r="L267" s="1">
        <v>45740</v>
      </c>
      <c r="M267">
        <v>12</v>
      </c>
      <c r="N267" t="s">
        <v>15</v>
      </c>
    </row>
    <row r="268" spans="1:14" x14ac:dyDescent="0.35">
      <c r="A268" t="s">
        <v>1071</v>
      </c>
      <c r="B268">
        <v>37</v>
      </c>
      <c r="C268" t="s">
        <v>1594</v>
      </c>
      <c r="D268" t="s">
        <v>11</v>
      </c>
      <c r="E268" t="s">
        <v>16</v>
      </c>
      <c r="F268" t="s">
        <v>30</v>
      </c>
      <c r="G268" s="1">
        <v>45771</v>
      </c>
      <c r="H268" t="s">
        <v>37</v>
      </c>
      <c r="I268">
        <v>48615.662096945467</v>
      </c>
      <c r="J268">
        <v>154</v>
      </c>
      <c r="K268" t="s">
        <v>18</v>
      </c>
      <c r="L268" s="1">
        <v>45773</v>
      </c>
      <c r="M268">
        <v>2</v>
      </c>
      <c r="N268" t="s">
        <v>15</v>
      </c>
    </row>
    <row r="269" spans="1:14" x14ac:dyDescent="0.35">
      <c r="A269" t="s">
        <v>1072</v>
      </c>
      <c r="B269">
        <v>29</v>
      </c>
      <c r="C269" t="s">
        <v>1593</v>
      </c>
      <c r="D269" t="s">
        <v>20</v>
      </c>
      <c r="E269" t="s">
        <v>26</v>
      </c>
      <c r="F269" t="s">
        <v>17</v>
      </c>
      <c r="G269" s="1">
        <v>46019</v>
      </c>
      <c r="H269" t="s">
        <v>37</v>
      </c>
      <c r="I269">
        <v>6603.0979711016907</v>
      </c>
      <c r="J269">
        <v>495</v>
      </c>
      <c r="K269" t="s">
        <v>18</v>
      </c>
      <c r="L269" s="1">
        <v>46021</v>
      </c>
      <c r="M269">
        <v>2</v>
      </c>
      <c r="N269" t="s">
        <v>15</v>
      </c>
    </row>
    <row r="270" spans="1:14" x14ac:dyDescent="0.35">
      <c r="A270" t="s">
        <v>1073</v>
      </c>
      <c r="B270">
        <v>62</v>
      </c>
      <c r="C270" t="s">
        <v>1592</v>
      </c>
      <c r="D270" t="s">
        <v>11</v>
      </c>
      <c r="E270" t="s">
        <v>23</v>
      </c>
      <c r="F270" t="s">
        <v>24</v>
      </c>
      <c r="G270" s="1">
        <v>45745</v>
      </c>
      <c r="H270" t="s">
        <v>37</v>
      </c>
      <c r="I270">
        <v>37288.546771709742</v>
      </c>
      <c r="J270">
        <v>408</v>
      </c>
      <c r="K270" t="s">
        <v>18</v>
      </c>
      <c r="L270" s="1">
        <v>45757</v>
      </c>
      <c r="M270">
        <v>12</v>
      </c>
      <c r="N270" t="s">
        <v>22</v>
      </c>
    </row>
    <row r="271" spans="1:14" x14ac:dyDescent="0.35">
      <c r="A271" t="s">
        <v>1074</v>
      </c>
      <c r="B271">
        <v>25</v>
      </c>
      <c r="C271" t="s">
        <v>1593</v>
      </c>
      <c r="D271" t="s">
        <v>11</v>
      </c>
      <c r="E271" t="s">
        <v>26</v>
      </c>
      <c r="F271" t="s">
        <v>28</v>
      </c>
      <c r="G271" s="1">
        <v>45726</v>
      </c>
      <c r="H271" t="s">
        <v>36</v>
      </c>
      <c r="I271">
        <v>552.47113145317439</v>
      </c>
      <c r="J271">
        <v>173</v>
      </c>
      <c r="K271" t="s">
        <v>25</v>
      </c>
      <c r="L271" s="1">
        <v>45731</v>
      </c>
      <c r="M271">
        <v>5</v>
      </c>
      <c r="N271" t="s">
        <v>15</v>
      </c>
    </row>
    <row r="272" spans="1:14" x14ac:dyDescent="0.35">
      <c r="A272" t="s">
        <v>1075</v>
      </c>
      <c r="B272">
        <v>61</v>
      </c>
      <c r="C272" t="s">
        <v>1592</v>
      </c>
      <c r="D272" t="s">
        <v>11</v>
      </c>
      <c r="E272" t="s">
        <v>16</v>
      </c>
      <c r="F272" t="s">
        <v>13</v>
      </c>
      <c r="G272" s="1">
        <v>45947</v>
      </c>
      <c r="H272" t="s">
        <v>39</v>
      </c>
      <c r="I272">
        <v>4528.0775657350168</v>
      </c>
      <c r="J272">
        <v>494</v>
      </c>
      <c r="K272" t="s">
        <v>18</v>
      </c>
      <c r="L272" s="1">
        <v>45957</v>
      </c>
      <c r="M272">
        <v>10</v>
      </c>
      <c r="N272" t="s">
        <v>15</v>
      </c>
    </row>
    <row r="273" spans="1:14" x14ac:dyDescent="0.35">
      <c r="A273" t="s">
        <v>1076</v>
      </c>
      <c r="B273">
        <v>79</v>
      </c>
      <c r="C273" t="s">
        <v>1591</v>
      </c>
      <c r="D273" t="s">
        <v>11</v>
      </c>
      <c r="E273" t="s">
        <v>12</v>
      </c>
      <c r="F273" t="s">
        <v>32</v>
      </c>
      <c r="G273" s="1">
        <v>45665</v>
      </c>
      <c r="H273" t="s">
        <v>37</v>
      </c>
      <c r="I273">
        <v>37114.740802724838</v>
      </c>
      <c r="J273">
        <v>147</v>
      </c>
      <c r="K273" t="s">
        <v>18</v>
      </c>
      <c r="L273" s="1">
        <v>45666</v>
      </c>
      <c r="M273">
        <v>1</v>
      </c>
      <c r="N273" t="s">
        <v>19</v>
      </c>
    </row>
    <row r="274" spans="1:14" x14ac:dyDescent="0.35">
      <c r="A274" t="s">
        <v>1077</v>
      </c>
      <c r="B274">
        <v>28</v>
      </c>
      <c r="C274" t="s">
        <v>1593</v>
      </c>
      <c r="D274" t="s">
        <v>20</v>
      </c>
      <c r="E274" t="s">
        <v>16</v>
      </c>
      <c r="F274" t="s">
        <v>32</v>
      </c>
      <c r="G274" s="1">
        <v>45821</v>
      </c>
      <c r="H274" t="s">
        <v>36</v>
      </c>
      <c r="I274">
        <v>29452.243295981931</v>
      </c>
      <c r="J274">
        <v>208</v>
      </c>
      <c r="K274" t="s">
        <v>25</v>
      </c>
      <c r="L274" s="1">
        <v>45829</v>
      </c>
      <c r="M274">
        <v>8</v>
      </c>
      <c r="N274" t="s">
        <v>22</v>
      </c>
    </row>
    <row r="275" spans="1:14" x14ac:dyDescent="0.35">
      <c r="A275" t="s">
        <v>1078</v>
      </c>
      <c r="B275">
        <v>80</v>
      </c>
      <c r="C275" t="s">
        <v>1591</v>
      </c>
      <c r="D275" t="s">
        <v>20</v>
      </c>
      <c r="E275" t="s">
        <v>34</v>
      </c>
      <c r="F275" t="s">
        <v>24</v>
      </c>
      <c r="G275" s="1">
        <v>45791</v>
      </c>
      <c r="H275" t="s">
        <v>37</v>
      </c>
      <c r="I275">
        <v>45853.230988562733</v>
      </c>
      <c r="J275">
        <v>194</v>
      </c>
      <c r="K275" t="s">
        <v>18</v>
      </c>
      <c r="L275" s="1">
        <v>45792</v>
      </c>
      <c r="M275">
        <v>1</v>
      </c>
      <c r="N275" t="s">
        <v>27</v>
      </c>
    </row>
    <row r="276" spans="1:14" x14ac:dyDescent="0.35">
      <c r="A276" t="s">
        <v>1079</v>
      </c>
      <c r="B276">
        <v>22</v>
      </c>
      <c r="C276" t="s">
        <v>1593</v>
      </c>
      <c r="D276" t="s">
        <v>20</v>
      </c>
      <c r="E276" t="s">
        <v>23</v>
      </c>
      <c r="F276" t="s">
        <v>30</v>
      </c>
      <c r="G276" s="1">
        <v>46014</v>
      </c>
      <c r="H276" t="s">
        <v>37</v>
      </c>
      <c r="I276">
        <v>5798.3774833590096</v>
      </c>
      <c r="J276">
        <v>338</v>
      </c>
      <c r="K276" t="s">
        <v>25</v>
      </c>
      <c r="L276" s="1">
        <v>46016</v>
      </c>
      <c r="M276">
        <v>2</v>
      </c>
      <c r="N276" t="s">
        <v>27</v>
      </c>
    </row>
    <row r="277" spans="1:14" x14ac:dyDescent="0.35">
      <c r="A277" t="s">
        <v>1080</v>
      </c>
      <c r="B277">
        <v>75</v>
      </c>
      <c r="C277" t="s">
        <v>1591</v>
      </c>
      <c r="D277" t="s">
        <v>11</v>
      </c>
      <c r="E277" t="s">
        <v>12</v>
      </c>
      <c r="F277" t="s">
        <v>28</v>
      </c>
      <c r="G277" s="1">
        <v>45891</v>
      </c>
      <c r="H277" t="s">
        <v>39</v>
      </c>
      <c r="I277">
        <v>45898.334385357572</v>
      </c>
      <c r="J277">
        <v>464</v>
      </c>
      <c r="K277" t="s">
        <v>25</v>
      </c>
      <c r="L277" s="1">
        <v>45905</v>
      </c>
      <c r="M277">
        <v>14</v>
      </c>
      <c r="N277" t="s">
        <v>19</v>
      </c>
    </row>
    <row r="278" spans="1:14" x14ac:dyDescent="0.35">
      <c r="A278" t="s">
        <v>1081</v>
      </c>
      <c r="B278">
        <v>58</v>
      </c>
      <c r="C278" t="s">
        <v>1592</v>
      </c>
      <c r="D278" t="s">
        <v>20</v>
      </c>
      <c r="E278" t="s">
        <v>34</v>
      </c>
      <c r="F278" t="s">
        <v>17</v>
      </c>
      <c r="G278" s="1">
        <v>45817</v>
      </c>
      <c r="H278" t="s">
        <v>37</v>
      </c>
      <c r="I278">
        <v>44607.341294051468</v>
      </c>
      <c r="J278">
        <v>476</v>
      </c>
      <c r="K278" t="s">
        <v>25</v>
      </c>
      <c r="L278" s="1">
        <v>45818</v>
      </c>
      <c r="M278">
        <v>1</v>
      </c>
      <c r="N278" t="s">
        <v>27</v>
      </c>
    </row>
    <row r="279" spans="1:14" x14ac:dyDescent="0.35">
      <c r="A279" t="s">
        <v>1082</v>
      </c>
      <c r="B279">
        <v>42</v>
      </c>
      <c r="C279" t="s">
        <v>1594</v>
      </c>
      <c r="D279" t="s">
        <v>11</v>
      </c>
      <c r="E279" t="s">
        <v>33</v>
      </c>
      <c r="F279" t="s">
        <v>13</v>
      </c>
      <c r="G279" s="1">
        <v>45905</v>
      </c>
      <c r="H279" t="s">
        <v>36</v>
      </c>
      <c r="I279">
        <v>48639.30239751943</v>
      </c>
      <c r="J279">
        <v>141</v>
      </c>
      <c r="K279" t="s">
        <v>18</v>
      </c>
      <c r="L279" s="1">
        <v>45912</v>
      </c>
      <c r="M279">
        <v>7</v>
      </c>
      <c r="N279" t="s">
        <v>22</v>
      </c>
    </row>
    <row r="280" spans="1:14" x14ac:dyDescent="0.35">
      <c r="A280" t="s">
        <v>1083</v>
      </c>
      <c r="B280">
        <v>46</v>
      </c>
      <c r="C280" t="s">
        <v>1594</v>
      </c>
      <c r="D280" t="s">
        <v>20</v>
      </c>
      <c r="E280" t="s">
        <v>34</v>
      </c>
      <c r="F280" t="s">
        <v>28</v>
      </c>
      <c r="G280" s="1">
        <v>45678</v>
      </c>
      <c r="H280" t="s">
        <v>39</v>
      </c>
      <c r="I280">
        <v>17107.631339002721</v>
      </c>
      <c r="J280">
        <v>138</v>
      </c>
      <c r="K280" t="s">
        <v>18</v>
      </c>
      <c r="L280" s="1">
        <v>45687</v>
      </c>
      <c r="M280">
        <v>9</v>
      </c>
      <c r="N280" t="s">
        <v>22</v>
      </c>
    </row>
    <row r="281" spans="1:14" x14ac:dyDescent="0.35">
      <c r="A281" t="s">
        <v>1084</v>
      </c>
      <c r="B281">
        <v>65</v>
      </c>
      <c r="C281" t="s">
        <v>1592</v>
      </c>
      <c r="D281" t="s">
        <v>20</v>
      </c>
      <c r="E281" t="s">
        <v>33</v>
      </c>
      <c r="F281" t="s">
        <v>13</v>
      </c>
      <c r="G281" s="1">
        <v>45700</v>
      </c>
      <c r="H281" t="s">
        <v>37</v>
      </c>
      <c r="I281">
        <v>23435.933207455069</v>
      </c>
      <c r="J281">
        <v>325</v>
      </c>
      <c r="K281" t="s">
        <v>18</v>
      </c>
      <c r="L281" s="1">
        <v>45705</v>
      </c>
      <c r="M281">
        <v>5</v>
      </c>
      <c r="N281" t="s">
        <v>15</v>
      </c>
    </row>
    <row r="282" spans="1:14" x14ac:dyDescent="0.35">
      <c r="A282" t="s">
        <v>1085</v>
      </c>
      <c r="B282">
        <v>47</v>
      </c>
      <c r="C282" t="s">
        <v>1594</v>
      </c>
      <c r="D282" t="s">
        <v>11</v>
      </c>
      <c r="E282" t="s">
        <v>23</v>
      </c>
      <c r="F282" t="s">
        <v>28</v>
      </c>
      <c r="G282" s="1">
        <v>45974</v>
      </c>
      <c r="H282" t="s">
        <v>39</v>
      </c>
      <c r="I282">
        <v>38896.791016608622</v>
      </c>
      <c r="J282">
        <v>437</v>
      </c>
      <c r="K282" t="s">
        <v>18</v>
      </c>
      <c r="L282" s="1">
        <v>45987</v>
      </c>
      <c r="M282">
        <v>13</v>
      </c>
      <c r="N282" t="s">
        <v>27</v>
      </c>
    </row>
    <row r="283" spans="1:14" x14ac:dyDescent="0.35">
      <c r="A283" t="s">
        <v>319</v>
      </c>
      <c r="B283">
        <v>66</v>
      </c>
      <c r="C283" t="s">
        <v>1591</v>
      </c>
      <c r="D283" t="s">
        <v>11</v>
      </c>
      <c r="E283" t="s">
        <v>21</v>
      </c>
      <c r="F283" t="s">
        <v>17</v>
      </c>
      <c r="G283" s="1">
        <v>45714</v>
      </c>
      <c r="H283" t="s">
        <v>37</v>
      </c>
      <c r="I283">
        <v>43001.222429068293</v>
      </c>
      <c r="J283">
        <v>231</v>
      </c>
      <c r="K283" t="s">
        <v>18</v>
      </c>
      <c r="L283" s="1">
        <v>45716</v>
      </c>
      <c r="M283">
        <v>2</v>
      </c>
      <c r="N283" t="s">
        <v>15</v>
      </c>
    </row>
    <row r="284" spans="1:14" x14ac:dyDescent="0.35">
      <c r="A284" t="s">
        <v>1086</v>
      </c>
      <c r="B284">
        <v>74</v>
      </c>
      <c r="C284" t="s">
        <v>1591</v>
      </c>
      <c r="D284" t="s">
        <v>20</v>
      </c>
      <c r="E284" t="s">
        <v>16</v>
      </c>
      <c r="F284" t="s">
        <v>30</v>
      </c>
      <c r="G284" s="1">
        <v>45901</v>
      </c>
      <c r="H284" t="s">
        <v>39</v>
      </c>
      <c r="I284">
        <v>43646.964459925191</v>
      </c>
      <c r="J284">
        <v>494</v>
      </c>
      <c r="K284" t="s">
        <v>18</v>
      </c>
      <c r="L284" s="1">
        <v>45902</v>
      </c>
      <c r="M284">
        <v>1</v>
      </c>
      <c r="N284" t="s">
        <v>31</v>
      </c>
    </row>
    <row r="285" spans="1:14" x14ac:dyDescent="0.35">
      <c r="A285" t="s">
        <v>1087</v>
      </c>
      <c r="B285">
        <v>85</v>
      </c>
      <c r="C285" t="s">
        <v>1591</v>
      </c>
      <c r="D285" t="s">
        <v>20</v>
      </c>
      <c r="E285" t="s">
        <v>34</v>
      </c>
      <c r="F285" t="s">
        <v>30</v>
      </c>
      <c r="G285" s="1">
        <v>45779</v>
      </c>
      <c r="H285" t="s">
        <v>37</v>
      </c>
      <c r="I285">
        <v>32784.881528278027</v>
      </c>
      <c r="J285">
        <v>192</v>
      </c>
      <c r="K285" t="s">
        <v>18</v>
      </c>
      <c r="L285" s="1">
        <v>45781</v>
      </c>
      <c r="M285">
        <v>2</v>
      </c>
      <c r="N285" t="s">
        <v>31</v>
      </c>
    </row>
    <row r="286" spans="1:14" x14ac:dyDescent="0.35">
      <c r="A286" t="s">
        <v>1088</v>
      </c>
      <c r="B286">
        <v>24</v>
      </c>
      <c r="C286" t="s">
        <v>1593</v>
      </c>
      <c r="D286" t="s">
        <v>11</v>
      </c>
      <c r="E286" t="s">
        <v>29</v>
      </c>
      <c r="F286" t="s">
        <v>28</v>
      </c>
      <c r="G286" s="1">
        <v>45774</v>
      </c>
      <c r="H286" t="s">
        <v>37</v>
      </c>
      <c r="I286">
        <v>47226.355718550709</v>
      </c>
      <c r="J286">
        <v>268</v>
      </c>
      <c r="K286" t="s">
        <v>25</v>
      </c>
      <c r="L286" s="1">
        <v>45776</v>
      </c>
      <c r="M286">
        <v>2</v>
      </c>
      <c r="N286" t="s">
        <v>27</v>
      </c>
    </row>
    <row r="287" spans="1:14" x14ac:dyDescent="0.35">
      <c r="A287" t="s">
        <v>1089</v>
      </c>
      <c r="B287">
        <v>19</v>
      </c>
      <c r="C287" t="s">
        <v>1593</v>
      </c>
      <c r="D287" t="s">
        <v>11</v>
      </c>
      <c r="E287" t="s">
        <v>33</v>
      </c>
      <c r="F287" t="s">
        <v>17</v>
      </c>
      <c r="G287" s="1">
        <v>45744</v>
      </c>
      <c r="H287" t="s">
        <v>36</v>
      </c>
      <c r="I287">
        <v>24251.869526322051</v>
      </c>
      <c r="J287">
        <v>170</v>
      </c>
      <c r="K287" t="s">
        <v>25</v>
      </c>
      <c r="L287" s="1">
        <v>45751</v>
      </c>
      <c r="M287">
        <v>7</v>
      </c>
      <c r="N287" t="s">
        <v>31</v>
      </c>
    </row>
    <row r="288" spans="1:14" x14ac:dyDescent="0.35">
      <c r="A288" t="s">
        <v>1090</v>
      </c>
      <c r="B288">
        <v>33</v>
      </c>
      <c r="C288" t="s">
        <v>1593</v>
      </c>
      <c r="D288" t="s">
        <v>11</v>
      </c>
      <c r="E288" t="s">
        <v>16</v>
      </c>
      <c r="F288" t="s">
        <v>30</v>
      </c>
      <c r="G288" s="1">
        <v>45917</v>
      </c>
      <c r="H288" t="s">
        <v>37</v>
      </c>
      <c r="I288">
        <v>6139.0386793870066</v>
      </c>
      <c r="J288">
        <v>199</v>
      </c>
      <c r="K288" t="s">
        <v>18</v>
      </c>
      <c r="L288" s="1">
        <v>45928</v>
      </c>
      <c r="M288">
        <v>11</v>
      </c>
      <c r="N288" t="s">
        <v>27</v>
      </c>
    </row>
    <row r="289" spans="1:14" x14ac:dyDescent="0.35">
      <c r="A289" t="s">
        <v>1091</v>
      </c>
      <c r="B289">
        <v>19</v>
      </c>
      <c r="C289" t="s">
        <v>1593</v>
      </c>
      <c r="D289" t="s">
        <v>11</v>
      </c>
      <c r="E289" t="s">
        <v>26</v>
      </c>
      <c r="F289" t="s">
        <v>30</v>
      </c>
      <c r="G289" s="1">
        <v>45995</v>
      </c>
      <c r="H289" t="s">
        <v>36</v>
      </c>
      <c r="I289">
        <v>2635.0093102148221</v>
      </c>
      <c r="J289">
        <v>236</v>
      </c>
      <c r="K289" t="s">
        <v>18</v>
      </c>
      <c r="L289" s="1">
        <v>46005</v>
      </c>
      <c r="M289">
        <v>10</v>
      </c>
      <c r="N289" t="s">
        <v>27</v>
      </c>
    </row>
    <row r="290" spans="1:14" x14ac:dyDescent="0.35">
      <c r="A290" t="s">
        <v>1092</v>
      </c>
      <c r="B290">
        <v>20</v>
      </c>
      <c r="C290" t="s">
        <v>1593</v>
      </c>
      <c r="D290" t="s">
        <v>20</v>
      </c>
      <c r="E290" t="s">
        <v>34</v>
      </c>
      <c r="F290" t="s">
        <v>17</v>
      </c>
      <c r="G290" s="1">
        <v>45659</v>
      </c>
      <c r="H290" t="s">
        <v>36</v>
      </c>
      <c r="I290">
        <v>11150.563686100681</v>
      </c>
      <c r="J290">
        <v>134</v>
      </c>
      <c r="K290" t="s">
        <v>18</v>
      </c>
      <c r="L290" s="1">
        <v>45660</v>
      </c>
      <c r="M290">
        <v>1</v>
      </c>
      <c r="N290" t="s">
        <v>31</v>
      </c>
    </row>
    <row r="291" spans="1:14" x14ac:dyDescent="0.35">
      <c r="A291" t="s">
        <v>1093</v>
      </c>
      <c r="B291">
        <v>84</v>
      </c>
      <c r="C291" t="s">
        <v>1591</v>
      </c>
      <c r="D291" t="s">
        <v>11</v>
      </c>
      <c r="E291" t="s">
        <v>21</v>
      </c>
      <c r="F291" t="s">
        <v>32</v>
      </c>
      <c r="G291" s="1">
        <v>45933</v>
      </c>
      <c r="H291" t="s">
        <v>39</v>
      </c>
      <c r="I291">
        <v>39776.67135155655</v>
      </c>
      <c r="J291">
        <v>194</v>
      </c>
      <c r="K291" t="s">
        <v>25</v>
      </c>
      <c r="L291" s="1">
        <v>45935</v>
      </c>
      <c r="M291">
        <v>2</v>
      </c>
      <c r="N291" t="s">
        <v>15</v>
      </c>
    </row>
    <row r="292" spans="1:14" x14ac:dyDescent="0.35">
      <c r="A292" t="s">
        <v>1094</v>
      </c>
      <c r="B292">
        <v>20</v>
      </c>
      <c r="C292" t="s">
        <v>1593</v>
      </c>
      <c r="D292" t="s">
        <v>11</v>
      </c>
      <c r="E292" t="s">
        <v>16</v>
      </c>
      <c r="F292" t="s">
        <v>30</v>
      </c>
      <c r="G292" s="1">
        <v>45665</v>
      </c>
      <c r="H292" t="s">
        <v>36</v>
      </c>
      <c r="I292">
        <v>38649.409857675171</v>
      </c>
      <c r="J292">
        <v>277</v>
      </c>
      <c r="K292" t="s">
        <v>25</v>
      </c>
      <c r="L292" s="1">
        <v>45667</v>
      </c>
      <c r="M292">
        <v>2</v>
      </c>
      <c r="N292" t="s">
        <v>15</v>
      </c>
    </row>
    <row r="293" spans="1:14" x14ac:dyDescent="0.35">
      <c r="A293" t="s">
        <v>1095</v>
      </c>
      <c r="B293">
        <v>82</v>
      </c>
      <c r="C293" t="s">
        <v>1591</v>
      </c>
      <c r="D293" t="s">
        <v>11</v>
      </c>
      <c r="E293" t="s">
        <v>23</v>
      </c>
      <c r="F293" t="s">
        <v>24</v>
      </c>
      <c r="G293" s="1">
        <v>45825</v>
      </c>
      <c r="H293" t="s">
        <v>37</v>
      </c>
      <c r="I293">
        <v>42135.895928237856</v>
      </c>
      <c r="J293">
        <v>370</v>
      </c>
      <c r="K293" t="s">
        <v>25</v>
      </c>
      <c r="L293" s="1">
        <v>45833</v>
      </c>
      <c r="M293">
        <v>8</v>
      </c>
      <c r="N293" t="s">
        <v>19</v>
      </c>
    </row>
    <row r="294" spans="1:14" x14ac:dyDescent="0.35">
      <c r="A294" t="s">
        <v>1096</v>
      </c>
      <c r="B294">
        <v>22</v>
      </c>
      <c r="C294" t="s">
        <v>1593</v>
      </c>
      <c r="D294" t="s">
        <v>20</v>
      </c>
      <c r="E294" t="s">
        <v>23</v>
      </c>
      <c r="F294" t="s">
        <v>28</v>
      </c>
      <c r="G294" s="1">
        <v>45718</v>
      </c>
      <c r="H294" t="s">
        <v>36</v>
      </c>
      <c r="I294">
        <v>25889.10014762872</v>
      </c>
      <c r="J294">
        <v>445</v>
      </c>
      <c r="K294" t="s">
        <v>25</v>
      </c>
      <c r="L294" s="1">
        <v>45728</v>
      </c>
      <c r="M294">
        <v>10</v>
      </c>
      <c r="N294" t="s">
        <v>27</v>
      </c>
    </row>
    <row r="295" spans="1:14" x14ac:dyDescent="0.35">
      <c r="A295" t="s">
        <v>1097</v>
      </c>
      <c r="B295">
        <v>68</v>
      </c>
      <c r="C295" t="s">
        <v>1591</v>
      </c>
      <c r="D295" t="s">
        <v>11</v>
      </c>
      <c r="E295" t="s">
        <v>16</v>
      </c>
      <c r="F295" t="s">
        <v>24</v>
      </c>
      <c r="G295" s="1">
        <v>45819</v>
      </c>
      <c r="H295" t="s">
        <v>37</v>
      </c>
      <c r="I295">
        <v>30988.775982701001</v>
      </c>
      <c r="J295">
        <v>146</v>
      </c>
      <c r="K295" t="s">
        <v>25</v>
      </c>
      <c r="L295" s="1">
        <v>45822</v>
      </c>
      <c r="M295">
        <v>3</v>
      </c>
      <c r="N295" t="s">
        <v>27</v>
      </c>
    </row>
    <row r="296" spans="1:14" x14ac:dyDescent="0.35">
      <c r="A296" t="s">
        <v>1098</v>
      </c>
      <c r="B296">
        <v>21</v>
      </c>
      <c r="C296" t="s">
        <v>1593</v>
      </c>
      <c r="D296" t="s">
        <v>11</v>
      </c>
      <c r="E296" t="s">
        <v>26</v>
      </c>
      <c r="F296" t="s">
        <v>17</v>
      </c>
      <c r="G296" s="1">
        <v>45945</v>
      </c>
      <c r="H296" t="s">
        <v>37</v>
      </c>
      <c r="I296">
        <v>32032.764032635019</v>
      </c>
      <c r="J296">
        <v>408</v>
      </c>
      <c r="K296" t="s">
        <v>18</v>
      </c>
      <c r="L296" s="1">
        <v>45958</v>
      </c>
      <c r="M296">
        <v>13</v>
      </c>
      <c r="N296" t="s">
        <v>27</v>
      </c>
    </row>
    <row r="297" spans="1:14" x14ac:dyDescent="0.35">
      <c r="A297" t="s">
        <v>1099</v>
      </c>
      <c r="B297">
        <v>52</v>
      </c>
      <c r="C297" t="s">
        <v>1592</v>
      </c>
      <c r="D297" t="s">
        <v>20</v>
      </c>
      <c r="E297" t="s">
        <v>34</v>
      </c>
      <c r="F297" t="s">
        <v>17</v>
      </c>
      <c r="G297" s="1">
        <v>45879</v>
      </c>
      <c r="H297" t="s">
        <v>39</v>
      </c>
      <c r="I297">
        <v>22695.732990980359</v>
      </c>
      <c r="J297">
        <v>404</v>
      </c>
      <c r="K297" t="s">
        <v>25</v>
      </c>
      <c r="L297" s="1">
        <v>45889</v>
      </c>
      <c r="M297">
        <v>10</v>
      </c>
      <c r="N297" t="s">
        <v>19</v>
      </c>
    </row>
    <row r="298" spans="1:14" x14ac:dyDescent="0.35">
      <c r="A298" t="s">
        <v>1100</v>
      </c>
      <c r="B298">
        <v>24</v>
      </c>
      <c r="C298" t="s">
        <v>1593</v>
      </c>
      <c r="D298" t="s">
        <v>20</v>
      </c>
      <c r="E298" t="s">
        <v>34</v>
      </c>
      <c r="F298" t="s">
        <v>28</v>
      </c>
      <c r="G298" s="1">
        <v>45694</v>
      </c>
      <c r="H298" t="s">
        <v>36</v>
      </c>
      <c r="I298">
        <v>14683.1068093924</v>
      </c>
      <c r="J298">
        <v>151</v>
      </c>
      <c r="K298" t="s">
        <v>25</v>
      </c>
      <c r="L298" s="1">
        <v>45698</v>
      </c>
      <c r="M298">
        <v>4</v>
      </c>
      <c r="N298" t="s">
        <v>22</v>
      </c>
    </row>
    <row r="299" spans="1:14" x14ac:dyDescent="0.35">
      <c r="A299" t="s">
        <v>1101</v>
      </c>
      <c r="B299">
        <v>55</v>
      </c>
      <c r="C299" t="s">
        <v>1592</v>
      </c>
      <c r="D299" t="s">
        <v>20</v>
      </c>
      <c r="E299" t="s">
        <v>12</v>
      </c>
      <c r="F299" t="s">
        <v>17</v>
      </c>
      <c r="G299" s="1">
        <v>45701</v>
      </c>
      <c r="H299" t="s">
        <v>39</v>
      </c>
      <c r="I299">
        <v>16663.221949700612</v>
      </c>
      <c r="J299">
        <v>399</v>
      </c>
      <c r="K299" t="s">
        <v>18</v>
      </c>
      <c r="L299" s="1">
        <v>45708</v>
      </c>
      <c r="M299">
        <v>7</v>
      </c>
      <c r="N299" t="s">
        <v>19</v>
      </c>
    </row>
    <row r="300" spans="1:14" x14ac:dyDescent="0.35">
      <c r="A300" t="s">
        <v>1102</v>
      </c>
      <c r="B300">
        <v>68</v>
      </c>
      <c r="C300" t="s">
        <v>1591</v>
      </c>
      <c r="D300" t="s">
        <v>11</v>
      </c>
      <c r="E300" t="s">
        <v>26</v>
      </c>
      <c r="F300" t="s">
        <v>32</v>
      </c>
      <c r="G300" s="1">
        <v>45886</v>
      </c>
      <c r="H300" t="s">
        <v>36</v>
      </c>
      <c r="I300">
        <v>29693.33339983421</v>
      </c>
      <c r="J300">
        <v>434</v>
      </c>
      <c r="K300" t="s">
        <v>18</v>
      </c>
      <c r="L300" s="1">
        <v>45888</v>
      </c>
      <c r="M300">
        <v>2</v>
      </c>
      <c r="N300" t="s">
        <v>22</v>
      </c>
    </row>
    <row r="301" spans="1:14" x14ac:dyDescent="0.35">
      <c r="A301" t="s">
        <v>1103</v>
      </c>
      <c r="B301">
        <v>41</v>
      </c>
      <c r="C301" t="s">
        <v>1594</v>
      </c>
      <c r="D301" t="s">
        <v>11</v>
      </c>
      <c r="E301" t="s">
        <v>16</v>
      </c>
      <c r="F301" t="s">
        <v>32</v>
      </c>
      <c r="G301" s="1">
        <v>45808</v>
      </c>
      <c r="H301" t="s">
        <v>37</v>
      </c>
      <c r="I301">
        <v>28436.20900544136</v>
      </c>
      <c r="J301">
        <v>443</v>
      </c>
      <c r="K301" t="s">
        <v>25</v>
      </c>
      <c r="L301" s="1">
        <v>45810</v>
      </c>
      <c r="M301">
        <v>2</v>
      </c>
      <c r="N301" t="s">
        <v>27</v>
      </c>
    </row>
    <row r="302" spans="1:14" x14ac:dyDescent="0.35">
      <c r="A302" t="s">
        <v>1104</v>
      </c>
      <c r="B302">
        <v>37</v>
      </c>
      <c r="C302" t="s">
        <v>1594</v>
      </c>
      <c r="D302" t="s">
        <v>20</v>
      </c>
      <c r="E302" t="s">
        <v>16</v>
      </c>
      <c r="F302" t="s">
        <v>13</v>
      </c>
      <c r="G302" s="1">
        <v>45962</v>
      </c>
      <c r="H302" t="s">
        <v>37</v>
      </c>
      <c r="I302">
        <v>37033.843591424084</v>
      </c>
      <c r="J302">
        <v>237</v>
      </c>
      <c r="K302" t="s">
        <v>18</v>
      </c>
      <c r="L302" s="1">
        <v>45975</v>
      </c>
      <c r="M302">
        <v>13</v>
      </c>
      <c r="N302" t="s">
        <v>15</v>
      </c>
    </row>
    <row r="303" spans="1:14" x14ac:dyDescent="0.35">
      <c r="A303" t="s">
        <v>1105</v>
      </c>
      <c r="B303">
        <v>61</v>
      </c>
      <c r="C303" t="s">
        <v>1592</v>
      </c>
      <c r="D303" t="s">
        <v>11</v>
      </c>
      <c r="E303" t="s">
        <v>29</v>
      </c>
      <c r="F303" t="s">
        <v>30</v>
      </c>
      <c r="G303" s="1">
        <v>45755</v>
      </c>
      <c r="H303" t="s">
        <v>39</v>
      </c>
      <c r="I303">
        <v>17054.481978924741</v>
      </c>
      <c r="J303">
        <v>124</v>
      </c>
      <c r="K303" t="s">
        <v>18</v>
      </c>
      <c r="L303" s="1">
        <v>45757</v>
      </c>
      <c r="M303">
        <v>2</v>
      </c>
      <c r="N303" t="s">
        <v>15</v>
      </c>
    </row>
    <row r="304" spans="1:14" x14ac:dyDescent="0.35">
      <c r="A304" t="s">
        <v>1106</v>
      </c>
      <c r="B304">
        <v>81</v>
      </c>
      <c r="C304" t="s">
        <v>1591</v>
      </c>
      <c r="D304" t="s">
        <v>20</v>
      </c>
      <c r="E304" t="s">
        <v>34</v>
      </c>
      <c r="F304" t="s">
        <v>24</v>
      </c>
      <c r="G304" s="1">
        <v>45809</v>
      </c>
      <c r="H304" t="s">
        <v>36</v>
      </c>
      <c r="I304">
        <v>29683.307513197211</v>
      </c>
      <c r="J304">
        <v>168</v>
      </c>
      <c r="K304" t="s">
        <v>25</v>
      </c>
      <c r="L304" s="1">
        <v>45820</v>
      </c>
      <c r="M304">
        <v>11</v>
      </c>
      <c r="N304" t="s">
        <v>15</v>
      </c>
    </row>
    <row r="305" spans="1:14" x14ac:dyDescent="0.35">
      <c r="A305" t="s">
        <v>1107</v>
      </c>
      <c r="B305">
        <v>58</v>
      </c>
      <c r="C305" t="s">
        <v>1592</v>
      </c>
      <c r="D305" t="s">
        <v>11</v>
      </c>
      <c r="E305" t="s">
        <v>33</v>
      </c>
      <c r="F305" t="s">
        <v>32</v>
      </c>
      <c r="G305" s="1">
        <v>45847</v>
      </c>
      <c r="H305" t="s">
        <v>39</v>
      </c>
      <c r="I305">
        <v>47340.747449676513</v>
      </c>
      <c r="J305">
        <v>455</v>
      </c>
      <c r="K305" t="s">
        <v>18</v>
      </c>
      <c r="L305" s="1">
        <v>45855</v>
      </c>
      <c r="M305">
        <v>8</v>
      </c>
      <c r="N305" t="s">
        <v>31</v>
      </c>
    </row>
    <row r="306" spans="1:14" x14ac:dyDescent="0.35">
      <c r="A306" t="s">
        <v>1108</v>
      </c>
      <c r="B306">
        <v>84</v>
      </c>
      <c r="C306" t="s">
        <v>1591</v>
      </c>
      <c r="D306" t="s">
        <v>20</v>
      </c>
      <c r="E306" t="s">
        <v>33</v>
      </c>
      <c r="F306" t="s">
        <v>17</v>
      </c>
      <c r="G306" s="1">
        <v>45754</v>
      </c>
      <c r="H306" t="s">
        <v>36</v>
      </c>
      <c r="I306">
        <v>27984.930289228181</v>
      </c>
      <c r="J306">
        <v>240</v>
      </c>
      <c r="K306" t="s">
        <v>25</v>
      </c>
      <c r="L306" s="1">
        <v>45756</v>
      </c>
      <c r="M306">
        <v>2</v>
      </c>
      <c r="N306" t="s">
        <v>22</v>
      </c>
    </row>
    <row r="307" spans="1:14" x14ac:dyDescent="0.35">
      <c r="A307" t="s">
        <v>1109</v>
      </c>
      <c r="B307">
        <v>23</v>
      </c>
      <c r="C307" t="s">
        <v>1593</v>
      </c>
      <c r="D307" t="s">
        <v>11</v>
      </c>
      <c r="E307" t="s">
        <v>33</v>
      </c>
      <c r="F307" t="s">
        <v>17</v>
      </c>
      <c r="G307" s="1">
        <v>45996</v>
      </c>
      <c r="H307" t="s">
        <v>37</v>
      </c>
      <c r="I307">
        <v>25686.523119858099</v>
      </c>
      <c r="J307">
        <v>271</v>
      </c>
      <c r="K307" t="s">
        <v>25</v>
      </c>
      <c r="L307" s="1">
        <v>46005</v>
      </c>
      <c r="M307">
        <v>9</v>
      </c>
      <c r="N307" t="s">
        <v>15</v>
      </c>
    </row>
    <row r="308" spans="1:14" x14ac:dyDescent="0.35">
      <c r="A308" t="s">
        <v>1110</v>
      </c>
      <c r="B308">
        <v>68</v>
      </c>
      <c r="C308" t="s">
        <v>1591</v>
      </c>
      <c r="D308" t="s">
        <v>20</v>
      </c>
      <c r="E308" t="s">
        <v>21</v>
      </c>
      <c r="F308" t="s">
        <v>28</v>
      </c>
      <c r="G308" s="1">
        <v>45977</v>
      </c>
      <c r="H308" t="s">
        <v>36</v>
      </c>
      <c r="I308">
        <v>19551.246225975388</v>
      </c>
      <c r="J308">
        <v>152</v>
      </c>
      <c r="K308" t="s">
        <v>25</v>
      </c>
      <c r="L308" s="1">
        <v>45986</v>
      </c>
      <c r="M308">
        <v>9</v>
      </c>
      <c r="N308" t="s">
        <v>27</v>
      </c>
    </row>
    <row r="309" spans="1:14" x14ac:dyDescent="0.35">
      <c r="A309" t="s">
        <v>1111</v>
      </c>
      <c r="B309">
        <v>55</v>
      </c>
      <c r="C309" t="s">
        <v>1592</v>
      </c>
      <c r="D309" t="s">
        <v>11</v>
      </c>
      <c r="E309" t="s">
        <v>12</v>
      </c>
      <c r="F309" t="s">
        <v>32</v>
      </c>
      <c r="G309" s="1">
        <v>46007</v>
      </c>
      <c r="H309" t="s">
        <v>36</v>
      </c>
      <c r="I309">
        <v>24975.924520232049</v>
      </c>
      <c r="J309">
        <v>499</v>
      </c>
      <c r="K309" t="s">
        <v>18</v>
      </c>
      <c r="L309" s="1">
        <v>46013</v>
      </c>
      <c r="M309">
        <v>6</v>
      </c>
      <c r="N309" t="s">
        <v>31</v>
      </c>
    </row>
    <row r="310" spans="1:14" x14ac:dyDescent="0.35">
      <c r="A310" t="s">
        <v>1112</v>
      </c>
      <c r="B310">
        <v>84</v>
      </c>
      <c r="C310" t="s">
        <v>1591</v>
      </c>
      <c r="D310" t="s">
        <v>11</v>
      </c>
      <c r="E310" t="s">
        <v>16</v>
      </c>
      <c r="F310" t="s">
        <v>24</v>
      </c>
      <c r="G310" s="1">
        <v>45772</v>
      </c>
      <c r="H310" t="s">
        <v>39</v>
      </c>
      <c r="I310">
        <v>4030.4499497178522</v>
      </c>
      <c r="J310">
        <v>161</v>
      </c>
      <c r="K310" t="s">
        <v>18</v>
      </c>
      <c r="L310" s="1">
        <v>45786</v>
      </c>
      <c r="M310">
        <v>14</v>
      </c>
      <c r="N310" t="s">
        <v>19</v>
      </c>
    </row>
    <row r="311" spans="1:14" x14ac:dyDescent="0.35">
      <c r="A311" t="s">
        <v>1113</v>
      </c>
      <c r="B311">
        <v>63</v>
      </c>
      <c r="C311" t="s">
        <v>1592</v>
      </c>
      <c r="D311" t="s">
        <v>11</v>
      </c>
      <c r="E311" t="s">
        <v>21</v>
      </c>
      <c r="F311" t="s">
        <v>24</v>
      </c>
      <c r="G311" s="1">
        <v>45766</v>
      </c>
      <c r="H311" t="s">
        <v>37</v>
      </c>
      <c r="I311">
        <v>31452.824927833492</v>
      </c>
      <c r="J311">
        <v>306</v>
      </c>
      <c r="K311" t="s">
        <v>25</v>
      </c>
      <c r="L311" s="1">
        <v>45778</v>
      </c>
      <c r="M311">
        <v>12</v>
      </c>
      <c r="N311" t="s">
        <v>31</v>
      </c>
    </row>
    <row r="312" spans="1:14" x14ac:dyDescent="0.35">
      <c r="A312" t="s">
        <v>1114</v>
      </c>
      <c r="B312">
        <v>44</v>
      </c>
      <c r="C312" t="s">
        <v>1594</v>
      </c>
      <c r="D312" t="s">
        <v>20</v>
      </c>
      <c r="E312" t="s">
        <v>34</v>
      </c>
      <c r="F312" t="s">
        <v>17</v>
      </c>
      <c r="G312" s="1">
        <v>45831</v>
      </c>
      <c r="H312" t="s">
        <v>37</v>
      </c>
      <c r="I312">
        <v>5805.9611122889837</v>
      </c>
      <c r="J312">
        <v>429</v>
      </c>
      <c r="K312" t="s">
        <v>18</v>
      </c>
      <c r="L312" s="1">
        <v>45832</v>
      </c>
      <c r="M312">
        <v>1</v>
      </c>
      <c r="N312" t="s">
        <v>22</v>
      </c>
    </row>
    <row r="313" spans="1:14" x14ac:dyDescent="0.35">
      <c r="A313" t="s">
        <v>1115</v>
      </c>
      <c r="B313">
        <v>76</v>
      </c>
      <c r="C313" t="s">
        <v>1591</v>
      </c>
      <c r="D313" t="s">
        <v>11</v>
      </c>
      <c r="E313" t="s">
        <v>23</v>
      </c>
      <c r="F313" t="s">
        <v>24</v>
      </c>
      <c r="G313" s="1">
        <v>45872</v>
      </c>
      <c r="H313" t="s">
        <v>37</v>
      </c>
      <c r="I313">
        <v>43107.023150004832</v>
      </c>
      <c r="J313">
        <v>471</v>
      </c>
      <c r="K313" t="s">
        <v>18</v>
      </c>
      <c r="L313" s="1">
        <v>45880</v>
      </c>
      <c r="M313">
        <v>8</v>
      </c>
      <c r="N313" t="s">
        <v>15</v>
      </c>
    </row>
    <row r="314" spans="1:14" x14ac:dyDescent="0.35">
      <c r="A314" t="s">
        <v>1116</v>
      </c>
      <c r="B314">
        <v>54</v>
      </c>
      <c r="C314" t="s">
        <v>1592</v>
      </c>
      <c r="D314" t="s">
        <v>11</v>
      </c>
      <c r="E314" t="s">
        <v>34</v>
      </c>
      <c r="F314" t="s">
        <v>13</v>
      </c>
      <c r="G314" s="1">
        <v>45952</v>
      </c>
      <c r="H314" t="s">
        <v>36</v>
      </c>
      <c r="I314">
        <v>11442.886155289751</v>
      </c>
      <c r="J314">
        <v>135</v>
      </c>
      <c r="K314" t="s">
        <v>25</v>
      </c>
      <c r="L314" s="1">
        <v>45963</v>
      </c>
      <c r="M314">
        <v>11</v>
      </c>
      <c r="N314" t="s">
        <v>15</v>
      </c>
    </row>
    <row r="315" spans="1:14" x14ac:dyDescent="0.35">
      <c r="A315" t="s">
        <v>1117</v>
      </c>
      <c r="B315">
        <v>43</v>
      </c>
      <c r="C315" t="s">
        <v>1594</v>
      </c>
      <c r="D315" t="s">
        <v>20</v>
      </c>
      <c r="E315" t="s">
        <v>34</v>
      </c>
      <c r="F315" t="s">
        <v>32</v>
      </c>
      <c r="G315" s="1">
        <v>45843</v>
      </c>
      <c r="H315" t="s">
        <v>37</v>
      </c>
      <c r="I315">
        <v>5918.0363643174678</v>
      </c>
      <c r="J315">
        <v>317</v>
      </c>
      <c r="K315" t="s">
        <v>25</v>
      </c>
      <c r="L315" s="1">
        <v>45847</v>
      </c>
      <c r="M315">
        <v>4</v>
      </c>
      <c r="N315" t="s">
        <v>22</v>
      </c>
    </row>
    <row r="316" spans="1:14" x14ac:dyDescent="0.35">
      <c r="A316" t="s">
        <v>1118</v>
      </c>
      <c r="B316">
        <v>26</v>
      </c>
      <c r="C316" t="s">
        <v>1593</v>
      </c>
      <c r="D316" t="s">
        <v>20</v>
      </c>
      <c r="E316" t="s">
        <v>16</v>
      </c>
      <c r="F316" t="s">
        <v>13</v>
      </c>
      <c r="G316" s="1">
        <v>45785</v>
      </c>
      <c r="H316" t="s">
        <v>37</v>
      </c>
      <c r="I316">
        <v>44165.503936088076</v>
      </c>
      <c r="J316">
        <v>303</v>
      </c>
      <c r="K316" t="s">
        <v>18</v>
      </c>
      <c r="L316" s="1">
        <v>45788</v>
      </c>
      <c r="M316">
        <v>3</v>
      </c>
      <c r="N316" t="s">
        <v>27</v>
      </c>
    </row>
    <row r="317" spans="1:14" x14ac:dyDescent="0.35">
      <c r="A317" t="s">
        <v>1119</v>
      </c>
      <c r="B317">
        <v>38</v>
      </c>
      <c r="C317" t="s">
        <v>1594</v>
      </c>
      <c r="D317" t="s">
        <v>11</v>
      </c>
      <c r="E317" t="s">
        <v>23</v>
      </c>
      <c r="F317" t="s">
        <v>32</v>
      </c>
      <c r="G317" s="1">
        <v>45818</v>
      </c>
      <c r="H317" t="s">
        <v>39</v>
      </c>
      <c r="I317">
        <v>12769.088463860269</v>
      </c>
      <c r="J317">
        <v>383</v>
      </c>
      <c r="K317" t="s">
        <v>25</v>
      </c>
      <c r="L317" s="1">
        <v>45822</v>
      </c>
      <c r="M317">
        <v>4</v>
      </c>
      <c r="N317" t="s">
        <v>19</v>
      </c>
    </row>
    <row r="318" spans="1:14" x14ac:dyDescent="0.35">
      <c r="A318" t="s">
        <v>1120</v>
      </c>
      <c r="B318">
        <v>82</v>
      </c>
      <c r="C318" t="s">
        <v>1591</v>
      </c>
      <c r="D318" t="s">
        <v>20</v>
      </c>
      <c r="E318" t="s">
        <v>21</v>
      </c>
      <c r="F318" t="s">
        <v>13</v>
      </c>
      <c r="G318" s="1">
        <v>45893</v>
      </c>
      <c r="H318" t="s">
        <v>37</v>
      </c>
      <c r="I318">
        <v>8506.4036580812717</v>
      </c>
      <c r="J318">
        <v>159</v>
      </c>
      <c r="K318" t="s">
        <v>25</v>
      </c>
      <c r="L318" s="1">
        <v>45904</v>
      </c>
      <c r="M318">
        <v>11</v>
      </c>
      <c r="N318" t="s">
        <v>31</v>
      </c>
    </row>
    <row r="319" spans="1:14" x14ac:dyDescent="0.35">
      <c r="A319" t="s">
        <v>1121</v>
      </c>
      <c r="B319">
        <v>84</v>
      </c>
      <c r="C319" t="s">
        <v>1591</v>
      </c>
      <c r="D319" t="s">
        <v>11</v>
      </c>
      <c r="E319" t="s">
        <v>23</v>
      </c>
      <c r="F319" t="s">
        <v>28</v>
      </c>
      <c r="G319" s="1">
        <v>45734</v>
      </c>
      <c r="H319" t="s">
        <v>36</v>
      </c>
      <c r="I319">
        <v>1754.178464631902</v>
      </c>
      <c r="J319">
        <v>293</v>
      </c>
      <c r="K319" t="s">
        <v>25</v>
      </c>
      <c r="L319" s="1">
        <v>45743</v>
      </c>
      <c r="M319">
        <v>9</v>
      </c>
      <c r="N319" t="s">
        <v>15</v>
      </c>
    </row>
    <row r="320" spans="1:14" x14ac:dyDescent="0.35">
      <c r="A320" t="s">
        <v>1122</v>
      </c>
      <c r="B320">
        <v>44</v>
      </c>
      <c r="C320" t="s">
        <v>1594</v>
      </c>
      <c r="D320" t="s">
        <v>20</v>
      </c>
      <c r="E320" t="s">
        <v>21</v>
      </c>
      <c r="F320" t="s">
        <v>24</v>
      </c>
      <c r="G320" s="1">
        <v>46015</v>
      </c>
      <c r="H320" t="s">
        <v>36</v>
      </c>
      <c r="I320">
        <v>31692.243956599152</v>
      </c>
      <c r="J320">
        <v>422</v>
      </c>
      <c r="K320" t="s">
        <v>18</v>
      </c>
      <c r="L320" s="1">
        <v>46019</v>
      </c>
      <c r="M320">
        <v>4</v>
      </c>
      <c r="N320" t="s">
        <v>31</v>
      </c>
    </row>
    <row r="321" spans="1:14" x14ac:dyDescent="0.35">
      <c r="A321" t="s">
        <v>1123</v>
      </c>
      <c r="B321">
        <v>51</v>
      </c>
      <c r="C321" t="s">
        <v>1592</v>
      </c>
      <c r="D321" t="s">
        <v>11</v>
      </c>
      <c r="E321" t="s">
        <v>23</v>
      </c>
      <c r="F321" t="s">
        <v>30</v>
      </c>
      <c r="G321" s="1">
        <v>45670</v>
      </c>
      <c r="H321" t="s">
        <v>39</v>
      </c>
      <c r="I321">
        <v>21438.06223106389</v>
      </c>
      <c r="J321">
        <v>139</v>
      </c>
      <c r="K321" t="s">
        <v>25</v>
      </c>
      <c r="L321" s="1">
        <v>45680</v>
      </c>
      <c r="M321">
        <v>10</v>
      </c>
      <c r="N321" t="s">
        <v>15</v>
      </c>
    </row>
    <row r="322" spans="1:14" x14ac:dyDescent="0.35">
      <c r="A322" t="s">
        <v>1124</v>
      </c>
      <c r="B322">
        <v>75</v>
      </c>
      <c r="C322" t="s">
        <v>1591</v>
      </c>
      <c r="D322" t="s">
        <v>11</v>
      </c>
      <c r="E322" t="s">
        <v>12</v>
      </c>
      <c r="F322" t="s">
        <v>32</v>
      </c>
      <c r="G322" s="1">
        <v>45799</v>
      </c>
      <c r="H322" t="s">
        <v>39</v>
      </c>
      <c r="I322">
        <v>2511.4796992707838</v>
      </c>
      <c r="J322">
        <v>104</v>
      </c>
      <c r="K322" t="s">
        <v>18</v>
      </c>
      <c r="L322" s="1">
        <v>45801</v>
      </c>
      <c r="M322">
        <v>2</v>
      </c>
      <c r="N322" t="s">
        <v>27</v>
      </c>
    </row>
    <row r="323" spans="1:14" x14ac:dyDescent="0.35">
      <c r="A323" t="s">
        <v>1125</v>
      </c>
      <c r="B323">
        <v>43</v>
      </c>
      <c r="C323" t="s">
        <v>1594</v>
      </c>
      <c r="D323" t="s">
        <v>20</v>
      </c>
      <c r="E323" t="s">
        <v>12</v>
      </c>
      <c r="F323" t="s">
        <v>13</v>
      </c>
      <c r="G323" s="1">
        <v>45867</v>
      </c>
      <c r="H323" t="s">
        <v>36</v>
      </c>
      <c r="I323">
        <v>40505.069077889289</v>
      </c>
      <c r="J323">
        <v>432</v>
      </c>
      <c r="K323" t="s">
        <v>18</v>
      </c>
      <c r="L323" s="1">
        <v>45869</v>
      </c>
      <c r="M323">
        <v>2</v>
      </c>
      <c r="N323" t="s">
        <v>27</v>
      </c>
    </row>
    <row r="324" spans="1:14" x14ac:dyDescent="0.35">
      <c r="A324" t="s">
        <v>1126</v>
      </c>
      <c r="B324">
        <v>45</v>
      </c>
      <c r="C324" t="s">
        <v>1594</v>
      </c>
      <c r="D324" t="s">
        <v>20</v>
      </c>
      <c r="E324" t="s">
        <v>16</v>
      </c>
      <c r="F324" t="s">
        <v>13</v>
      </c>
      <c r="G324" s="1">
        <v>45854</v>
      </c>
      <c r="H324" t="s">
        <v>36</v>
      </c>
      <c r="I324">
        <v>4767.9853310218896</v>
      </c>
      <c r="J324">
        <v>262</v>
      </c>
      <c r="K324" t="s">
        <v>25</v>
      </c>
      <c r="L324" s="1">
        <v>45861</v>
      </c>
      <c r="M324">
        <v>7</v>
      </c>
      <c r="N324" t="s">
        <v>31</v>
      </c>
    </row>
    <row r="325" spans="1:14" x14ac:dyDescent="0.35">
      <c r="A325" t="s">
        <v>1127</v>
      </c>
      <c r="B325">
        <v>20</v>
      </c>
      <c r="C325" t="s">
        <v>1593</v>
      </c>
      <c r="D325" t="s">
        <v>20</v>
      </c>
      <c r="E325" t="s">
        <v>23</v>
      </c>
      <c r="F325" t="s">
        <v>32</v>
      </c>
      <c r="G325" s="1">
        <v>45771</v>
      </c>
      <c r="H325" t="s">
        <v>37</v>
      </c>
      <c r="I325">
        <v>31694.778949560139</v>
      </c>
      <c r="J325">
        <v>399</v>
      </c>
      <c r="K325" t="s">
        <v>18</v>
      </c>
      <c r="L325" s="1">
        <v>45773</v>
      </c>
      <c r="M325">
        <v>2</v>
      </c>
      <c r="N325" t="s">
        <v>27</v>
      </c>
    </row>
    <row r="326" spans="1:14" x14ac:dyDescent="0.35">
      <c r="A326" t="s">
        <v>1128</v>
      </c>
      <c r="B326">
        <v>61</v>
      </c>
      <c r="C326" t="s">
        <v>1592</v>
      </c>
      <c r="D326" t="s">
        <v>11</v>
      </c>
      <c r="E326" t="s">
        <v>21</v>
      </c>
      <c r="F326" t="s">
        <v>17</v>
      </c>
      <c r="G326" s="1">
        <v>45832</v>
      </c>
      <c r="H326" t="s">
        <v>36</v>
      </c>
      <c r="I326">
        <v>769.95581761944209</v>
      </c>
      <c r="J326">
        <v>388</v>
      </c>
      <c r="K326" t="s">
        <v>25</v>
      </c>
      <c r="L326" s="1">
        <v>45842</v>
      </c>
      <c r="M326">
        <v>10</v>
      </c>
      <c r="N326" t="s">
        <v>22</v>
      </c>
    </row>
    <row r="327" spans="1:14" x14ac:dyDescent="0.35">
      <c r="A327" t="s">
        <v>1129</v>
      </c>
      <c r="B327">
        <v>63</v>
      </c>
      <c r="C327" t="s">
        <v>1592</v>
      </c>
      <c r="D327" t="s">
        <v>20</v>
      </c>
      <c r="E327" t="s">
        <v>12</v>
      </c>
      <c r="F327" t="s">
        <v>17</v>
      </c>
      <c r="G327" s="1">
        <v>45920</v>
      </c>
      <c r="H327" t="s">
        <v>37</v>
      </c>
      <c r="I327">
        <v>7078.1702306756988</v>
      </c>
      <c r="J327">
        <v>427</v>
      </c>
      <c r="K327" t="s">
        <v>18</v>
      </c>
      <c r="L327" s="1">
        <v>45926</v>
      </c>
      <c r="M327">
        <v>6</v>
      </c>
      <c r="N327" t="s">
        <v>22</v>
      </c>
    </row>
    <row r="328" spans="1:14" x14ac:dyDescent="0.35">
      <c r="A328" t="s">
        <v>1130</v>
      </c>
      <c r="B328">
        <v>84</v>
      </c>
      <c r="C328" t="s">
        <v>1591</v>
      </c>
      <c r="D328" t="s">
        <v>20</v>
      </c>
      <c r="E328" t="s">
        <v>33</v>
      </c>
      <c r="F328" t="s">
        <v>17</v>
      </c>
      <c r="G328" s="1">
        <v>45725</v>
      </c>
      <c r="H328" t="s">
        <v>36</v>
      </c>
      <c r="I328">
        <v>16631.1972326828</v>
      </c>
      <c r="J328">
        <v>484</v>
      </c>
      <c r="K328" t="s">
        <v>25</v>
      </c>
      <c r="L328" s="1">
        <v>45728</v>
      </c>
      <c r="M328">
        <v>3</v>
      </c>
      <c r="N328" t="s">
        <v>31</v>
      </c>
    </row>
    <row r="329" spans="1:14" x14ac:dyDescent="0.35">
      <c r="A329" t="s">
        <v>1131</v>
      </c>
      <c r="B329">
        <v>27</v>
      </c>
      <c r="C329" t="s">
        <v>1593</v>
      </c>
      <c r="D329" t="s">
        <v>11</v>
      </c>
      <c r="E329" t="s">
        <v>16</v>
      </c>
      <c r="F329" t="s">
        <v>13</v>
      </c>
      <c r="G329" s="1">
        <v>45829</v>
      </c>
      <c r="H329" t="s">
        <v>37</v>
      </c>
      <c r="I329">
        <v>39492.951406644701</v>
      </c>
      <c r="J329">
        <v>469</v>
      </c>
      <c r="K329" t="s">
        <v>25</v>
      </c>
      <c r="L329" s="1">
        <v>45838</v>
      </c>
      <c r="M329">
        <v>9</v>
      </c>
      <c r="N329" t="s">
        <v>27</v>
      </c>
    </row>
    <row r="330" spans="1:14" x14ac:dyDescent="0.35">
      <c r="A330" t="s">
        <v>1132</v>
      </c>
      <c r="B330">
        <v>35</v>
      </c>
      <c r="C330" t="s">
        <v>1593</v>
      </c>
      <c r="D330" t="s">
        <v>20</v>
      </c>
      <c r="E330" t="s">
        <v>16</v>
      </c>
      <c r="F330" t="s">
        <v>32</v>
      </c>
      <c r="G330" s="1">
        <v>45985</v>
      </c>
      <c r="H330" t="s">
        <v>37</v>
      </c>
      <c r="I330">
        <v>44400.354792576378</v>
      </c>
      <c r="J330">
        <v>153</v>
      </c>
      <c r="K330" t="s">
        <v>25</v>
      </c>
      <c r="L330" s="1">
        <v>45986</v>
      </c>
      <c r="M330">
        <v>1</v>
      </c>
      <c r="N330" t="s">
        <v>19</v>
      </c>
    </row>
    <row r="331" spans="1:14" x14ac:dyDescent="0.35">
      <c r="A331" t="s">
        <v>1133</v>
      </c>
      <c r="B331">
        <v>45</v>
      </c>
      <c r="C331" t="s">
        <v>1594</v>
      </c>
      <c r="D331" t="s">
        <v>20</v>
      </c>
      <c r="E331" t="s">
        <v>23</v>
      </c>
      <c r="F331" t="s">
        <v>28</v>
      </c>
      <c r="G331" s="1">
        <v>45671</v>
      </c>
      <c r="H331" t="s">
        <v>36</v>
      </c>
      <c r="I331">
        <v>39855.08428787921</v>
      </c>
      <c r="J331">
        <v>131</v>
      </c>
      <c r="K331" t="s">
        <v>18</v>
      </c>
      <c r="L331" s="1">
        <v>45683</v>
      </c>
      <c r="M331">
        <v>12</v>
      </c>
      <c r="N331" t="s">
        <v>15</v>
      </c>
    </row>
    <row r="332" spans="1:14" x14ac:dyDescent="0.35">
      <c r="A332" t="s">
        <v>1134</v>
      </c>
      <c r="B332">
        <v>20</v>
      </c>
      <c r="C332" t="s">
        <v>1593</v>
      </c>
      <c r="D332" t="s">
        <v>20</v>
      </c>
      <c r="E332" t="s">
        <v>16</v>
      </c>
      <c r="F332" t="s">
        <v>17</v>
      </c>
      <c r="G332" s="1">
        <v>45952</v>
      </c>
      <c r="H332" t="s">
        <v>36</v>
      </c>
      <c r="I332">
        <v>21597.760192668731</v>
      </c>
      <c r="J332">
        <v>373</v>
      </c>
      <c r="K332" t="s">
        <v>18</v>
      </c>
      <c r="L332" s="1">
        <v>45954</v>
      </c>
      <c r="M332">
        <v>2</v>
      </c>
      <c r="N332" t="s">
        <v>27</v>
      </c>
    </row>
    <row r="333" spans="1:14" x14ac:dyDescent="0.35">
      <c r="A333" t="s">
        <v>1135</v>
      </c>
      <c r="B333">
        <v>64</v>
      </c>
      <c r="C333" t="s">
        <v>1592</v>
      </c>
      <c r="D333" t="s">
        <v>11</v>
      </c>
      <c r="E333" t="s">
        <v>34</v>
      </c>
      <c r="F333" t="s">
        <v>17</v>
      </c>
      <c r="G333" s="1">
        <v>45689</v>
      </c>
      <c r="H333" t="s">
        <v>39</v>
      </c>
      <c r="I333">
        <v>29951.073732757039</v>
      </c>
      <c r="J333">
        <v>464</v>
      </c>
      <c r="K333" t="s">
        <v>25</v>
      </c>
      <c r="L333" s="1">
        <v>45690</v>
      </c>
      <c r="M333">
        <v>1</v>
      </c>
      <c r="N333" t="s">
        <v>31</v>
      </c>
    </row>
    <row r="334" spans="1:14" x14ac:dyDescent="0.35">
      <c r="A334" t="s">
        <v>1136</v>
      </c>
      <c r="B334">
        <v>52</v>
      </c>
      <c r="C334" t="s">
        <v>1592</v>
      </c>
      <c r="D334" t="s">
        <v>20</v>
      </c>
      <c r="E334" t="s">
        <v>34</v>
      </c>
      <c r="F334" t="s">
        <v>17</v>
      </c>
      <c r="G334" s="1">
        <v>45924</v>
      </c>
      <c r="H334" t="s">
        <v>36</v>
      </c>
      <c r="I334">
        <v>29923.569658216002</v>
      </c>
      <c r="J334">
        <v>114</v>
      </c>
      <c r="K334" t="s">
        <v>18</v>
      </c>
      <c r="L334" s="1">
        <v>45936</v>
      </c>
      <c r="M334">
        <v>12</v>
      </c>
      <c r="N334" t="s">
        <v>15</v>
      </c>
    </row>
    <row r="335" spans="1:14" x14ac:dyDescent="0.35">
      <c r="A335" t="s">
        <v>1137</v>
      </c>
      <c r="B335">
        <v>19</v>
      </c>
      <c r="C335" t="s">
        <v>1593</v>
      </c>
      <c r="D335" t="s">
        <v>11</v>
      </c>
      <c r="E335" t="s">
        <v>33</v>
      </c>
      <c r="F335" t="s">
        <v>28</v>
      </c>
      <c r="G335" s="1">
        <v>45737</v>
      </c>
      <c r="H335" t="s">
        <v>36</v>
      </c>
      <c r="I335">
        <v>8086.9417503208579</v>
      </c>
      <c r="J335">
        <v>241</v>
      </c>
      <c r="K335" t="s">
        <v>18</v>
      </c>
      <c r="L335" s="1">
        <v>45746</v>
      </c>
      <c r="M335">
        <v>9</v>
      </c>
      <c r="N335" t="s">
        <v>19</v>
      </c>
    </row>
    <row r="336" spans="1:14" x14ac:dyDescent="0.35">
      <c r="A336" t="s">
        <v>1138</v>
      </c>
      <c r="B336">
        <v>35</v>
      </c>
      <c r="C336" t="s">
        <v>1593</v>
      </c>
      <c r="D336" t="s">
        <v>20</v>
      </c>
      <c r="E336" t="s">
        <v>33</v>
      </c>
      <c r="F336" t="s">
        <v>28</v>
      </c>
      <c r="G336" s="1">
        <v>45985</v>
      </c>
      <c r="H336" t="s">
        <v>39</v>
      </c>
      <c r="I336">
        <v>25522.535459205312</v>
      </c>
      <c r="J336">
        <v>489</v>
      </c>
      <c r="K336" t="s">
        <v>18</v>
      </c>
      <c r="L336" s="1">
        <v>45999</v>
      </c>
      <c r="M336">
        <v>14</v>
      </c>
      <c r="N336" t="s">
        <v>15</v>
      </c>
    </row>
    <row r="337" spans="1:14" x14ac:dyDescent="0.35">
      <c r="A337" t="s">
        <v>1139</v>
      </c>
      <c r="B337">
        <v>34</v>
      </c>
      <c r="C337" t="s">
        <v>1593</v>
      </c>
      <c r="D337" t="s">
        <v>11</v>
      </c>
      <c r="E337" t="s">
        <v>12</v>
      </c>
      <c r="F337" t="s">
        <v>28</v>
      </c>
      <c r="G337" s="1">
        <v>45690</v>
      </c>
      <c r="H337" t="s">
        <v>39</v>
      </c>
      <c r="I337">
        <v>46504.061232192696</v>
      </c>
      <c r="J337">
        <v>433</v>
      </c>
      <c r="K337" t="s">
        <v>18</v>
      </c>
      <c r="L337" s="1">
        <v>45693</v>
      </c>
      <c r="M337">
        <v>3</v>
      </c>
      <c r="N337" t="s">
        <v>19</v>
      </c>
    </row>
    <row r="338" spans="1:14" x14ac:dyDescent="0.35">
      <c r="A338" t="s">
        <v>1140</v>
      </c>
      <c r="B338">
        <v>27</v>
      </c>
      <c r="C338" t="s">
        <v>1593</v>
      </c>
      <c r="D338" t="s">
        <v>20</v>
      </c>
      <c r="E338" t="s">
        <v>29</v>
      </c>
      <c r="F338" t="s">
        <v>17</v>
      </c>
      <c r="G338" s="1">
        <v>45710</v>
      </c>
      <c r="H338" t="s">
        <v>36</v>
      </c>
      <c r="I338">
        <v>49639.909413597517</v>
      </c>
      <c r="J338">
        <v>463</v>
      </c>
      <c r="K338" t="s">
        <v>18</v>
      </c>
      <c r="L338" s="1">
        <v>45714</v>
      </c>
      <c r="M338">
        <v>4</v>
      </c>
      <c r="N338" t="s">
        <v>31</v>
      </c>
    </row>
    <row r="339" spans="1:14" x14ac:dyDescent="0.35">
      <c r="A339" t="s">
        <v>1141</v>
      </c>
      <c r="B339">
        <v>18</v>
      </c>
      <c r="C339" t="s">
        <v>1595</v>
      </c>
      <c r="D339" t="s">
        <v>20</v>
      </c>
      <c r="E339" t="s">
        <v>16</v>
      </c>
      <c r="F339" t="s">
        <v>30</v>
      </c>
      <c r="G339" s="1">
        <v>45780</v>
      </c>
      <c r="H339" t="s">
        <v>37</v>
      </c>
      <c r="I339">
        <v>43940.01006249799</v>
      </c>
      <c r="J339">
        <v>152</v>
      </c>
      <c r="K339" t="s">
        <v>25</v>
      </c>
      <c r="L339" s="1">
        <v>45787</v>
      </c>
      <c r="M339">
        <v>7</v>
      </c>
      <c r="N339" t="s">
        <v>22</v>
      </c>
    </row>
    <row r="340" spans="1:14" x14ac:dyDescent="0.35">
      <c r="A340" t="s">
        <v>1142</v>
      </c>
      <c r="B340">
        <v>18</v>
      </c>
      <c r="C340" t="s">
        <v>1595</v>
      </c>
      <c r="D340" t="s">
        <v>20</v>
      </c>
      <c r="E340" t="s">
        <v>23</v>
      </c>
      <c r="F340" t="s">
        <v>24</v>
      </c>
      <c r="G340" s="1">
        <v>45818</v>
      </c>
      <c r="H340" t="s">
        <v>37</v>
      </c>
      <c r="I340">
        <v>34182.82490374583</v>
      </c>
      <c r="J340">
        <v>439</v>
      </c>
      <c r="K340" t="s">
        <v>25</v>
      </c>
      <c r="L340" s="1">
        <v>45830</v>
      </c>
      <c r="M340">
        <v>12</v>
      </c>
      <c r="N340" t="s">
        <v>27</v>
      </c>
    </row>
    <row r="341" spans="1:14" x14ac:dyDescent="0.35">
      <c r="A341" t="s">
        <v>1143</v>
      </c>
      <c r="B341">
        <v>48</v>
      </c>
      <c r="C341" t="s">
        <v>1594</v>
      </c>
      <c r="D341" t="s">
        <v>20</v>
      </c>
      <c r="E341" t="s">
        <v>34</v>
      </c>
      <c r="F341" t="s">
        <v>13</v>
      </c>
      <c r="G341" s="1">
        <v>45946</v>
      </c>
      <c r="H341" t="s">
        <v>39</v>
      </c>
      <c r="I341">
        <v>30041.244969777879</v>
      </c>
      <c r="J341">
        <v>286</v>
      </c>
      <c r="K341" t="s">
        <v>25</v>
      </c>
      <c r="L341" s="1">
        <v>45958</v>
      </c>
      <c r="M341">
        <v>12</v>
      </c>
      <c r="N341" t="s">
        <v>15</v>
      </c>
    </row>
    <row r="342" spans="1:14" x14ac:dyDescent="0.35">
      <c r="A342" t="s">
        <v>1144</v>
      </c>
      <c r="B342">
        <v>49</v>
      </c>
      <c r="C342" t="s">
        <v>1594</v>
      </c>
      <c r="D342" t="s">
        <v>20</v>
      </c>
      <c r="E342" t="s">
        <v>23</v>
      </c>
      <c r="F342" t="s">
        <v>32</v>
      </c>
      <c r="G342" s="1">
        <v>45818</v>
      </c>
      <c r="H342" t="s">
        <v>37</v>
      </c>
      <c r="I342">
        <v>12095.1000871658</v>
      </c>
      <c r="J342">
        <v>103</v>
      </c>
      <c r="K342" t="s">
        <v>18</v>
      </c>
      <c r="L342" s="1">
        <v>45828</v>
      </c>
      <c r="M342">
        <v>10</v>
      </c>
      <c r="N342" t="s">
        <v>27</v>
      </c>
    </row>
    <row r="343" spans="1:14" x14ac:dyDescent="0.35">
      <c r="A343" t="s">
        <v>1145</v>
      </c>
      <c r="B343">
        <v>29</v>
      </c>
      <c r="C343" t="s">
        <v>1593</v>
      </c>
      <c r="D343" t="s">
        <v>11</v>
      </c>
      <c r="E343" t="s">
        <v>16</v>
      </c>
      <c r="F343" t="s">
        <v>30</v>
      </c>
      <c r="G343" s="1">
        <v>45680</v>
      </c>
      <c r="H343" t="s">
        <v>37</v>
      </c>
      <c r="I343">
        <v>31930.467192794211</v>
      </c>
      <c r="J343">
        <v>103</v>
      </c>
      <c r="K343" t="s">
        <v>18</v>
      </c>
      <c r="L343" s="1">
        <v>45688</v>
      </c>
      <c r="M343">
        <v>8</v>
      </c>
      <c r="N343" t="s">
        <v>31</v>
      </c>
    </row>
    <row r="344" spans="1:14" x14ac:dyDescent="0.35">
      <c r="A344" t="s">
        <v>1146</v>
      </c>
      <c r="B344">
        <v>61</v>
      </c>
      <c r="C344" t="s">
        <v>1592</v>
      </c>
      <c r="D344" t="s">
        <v>20</v>
      </c>
      <c r="E344" t="s">
        <v>26</v>
      </c>
      <c r="F344" t="s">
        <v>13</v>
      </c>
      <c r="G344" s="1">
        <v>45791</v>
      </c>
      <c r="H344" t="s">
        <v>39</v>
      </c>
      <c r="I344">
        <v>36841.283471282921</v>
      </c>
      <c r="J344">
        <v>394</v>
      </c>
      <c r="K344" t="s">
        <v>18</v>
      </c>
      <c r="L344" s="1">
        <v>45796</v>
      </c>
      <c r="M344">
        <v>5</v>
      </c>
      <c r="N344" t="s">
        <v>31</v>
      </c>
    </row>
    <row r="345" spans="1:14" x14ac:dyDescent="0.35">
      <c r="A345" t="s">
        <v>1147</v>
      </c>
      <c r="B345">
        <v>67</v>
      </c>
      <c r="C345" t="s">
        <v>1591</v>
      </c>
      <c r="D345" t="s">
        <v>20</v>
      </c>
      <c r="E345" t="s">
        <v>34</v>
      </c>
      <c r="F345" t="s">
        <v>24</v>
      </c>
      <c r="G345" s="1">
        <v>45786</v>
      </c>
      <c r="H345" t="s">
        <v>36</v>
      </c>
      <c r="I345">
        <v>50992.175655011699</v>
      </c>
      <c r="J345">
        <v>127</v>
      </c>
      <c r="K345" t="s">
        <v>18</v>
      </c>
      <c r="L345" s="1">
        <v>45798</v>
      </c>
      <c r="M345">
        <v>12</v>
      </c>
      <c r="N345" t="s">
        <v>22</v>
      </c>
    </row>
    <row r="346" spans="1:14" x14ac:dyDescent="0.35">
      <c r="A346" t="s">
        <v>1148</v>
      </c>
      <c r="B346">
        <v>53</v>
      </c>
      <c r="C346" t="s">
        <v>1592</v>
      </c>
      <c r="D346" t="s">
        <v>20</v>
      </c>
      <c r="E346" t="s">
        <v>12</v>
      </c>
      <c r="F346" t="s">
        <v>32</v>
      </c>
      <c r="G346" s="1">
        <v>45898</v>
      </c>
      <c r="H346" t="s">
        <v>37</v>
      </c>
      <c r="I346">
        <v>11148.96495819823</v>
      </c>
      <c r="J346">
        <v>202</v>
      </c>
      <c r="K346" t="s">
        <v>25</v>
      </c>
      <c r="L346" s="1">
        <v>45902</v>
      </c>
      <c r="M346">
        <v>4</v>
      </c>
      <c r="N346" t="s">
        <v>31</v>
      </c>
    </row>
    <row r="347" spans="1:14" x14ac:dyDescent="0.35">
      <c r="A347" t="s">
        <v>1149</v>
      </c>
      <c r="B347">
        <v>32</v>
      </c>
      <c r="C347" t="s">
        <v>1593</v>
      </c>
      <c r="D347" t="s">
        <v>11</v>
      </c>
      <c r="E347" t="s">
        <v>16</v>
      </c>
      <c r="F347" t="s">
        <v>17</v>
      </c>
      <c r="G347" s="1">
        <v>45838</v>
      </c>
      <c r="H347" t="s">
        <v>37</v>
      </c>
      <c r="I347">
        <v>32694.2296149223</v>
      </c>
      <c r="J347">
        <v>485</v>
      </c>
      <c r="K347" t="s">
        <v>25</v>
      </c>
      <c r="L347" s="1">
        <v>45847</v>
      </c>
      <c r="M347">
        <v>9</v>
      </c>
      <c r="N347" t="s">
        <v>19</v>
      </c>
    </row>
    <row r="348" spans="1:14" x14ac:dyDescent="0.35">
      <c r="A348" t="s">
        <v>1150</v>
      </c>
      <c r="B348">
        <v>19</v>
      </c>
      <c r="C348" t="s">
        <v>1593</v>
      </c>
      <c r="D348" t="s">
        <v>20</v>
      </c>
      <c r="E348" t="s">
        <v>21</v>
      </c>
      <c r="F348" t="s">
        <v>24</v>
      </c>
      <c r="G348" s="1">
        <v>45951</v>
      </c>
      <c r="H348" t="s">
        <v>39</v>
      </c>
      <c r="I348">
        <v>31591.867102285629</v>
      </c>
      <c r="J348">
        <v>185</v>
      </c>
      <c r="K348" t="s">
        <v>18</v>
      </c>
      <c r="L348" s="1">
        <v>45965</v>
      </c>
      <c r="M348">
        <v>14</v>
      </c>
      <c r="N348" t="s">
        <v>22</v>
      </c>
    </row>
    <row r="349" spans="1:14" x14ac:dyDescent="0.35">
      <c r="A349" t="s">
        <v>1151</v>
      </c>
      <c r="B349">
        <v>58</v>
      </c>
      <c r="C349" t="s">
        <v>1592</v>
      </c>
      <c r="D349" t="s">
        <v>11</v>
      </c>
      <c r="E349" t="s">
        <v>21</v>
      </c>
      <c r="F349" t="s">
        <v>17</v>
      </c>
      <c r="G349" s="1">
        <v>45724</v>
      </c>
      <c r="H349" t="s">
        <v>37</v>
      </c>
      <c r="I349">
        <v>29837.638823315221</v>
      </c>
      <c r="J349">
        <v>295</v>
      </c>
      <c r="K349" t="s">
        <v>25</v>
      </c>
      <c r="L349" s="1">
        <v>45733</v>
      </c>
      <c r="M349">
        <v>9</v>
      </c>
      <c r="N349" t="s">
        <v>19</v>
      </c>
    </row>
    <row r="350" spans="1:14" x14ac:dyDescent="0.35">
      <c r="A350" t="s">
        <v>1152</v>
      </c>
      <c r="B350">
        <v>32</v>
      </c>
      <c r="C350" t="s">
        <v>1593</v>
      </c>
      <c r="D350" t="s">
        <v>11</v>
      </c>
      <c r="E350" t="s">
        <v>12</v>
      </c>
      <c r="F350" t="s">
        <v>28</v>
      </c>
      <c r="G350" s="1">
        <v>45841</v>
      </c>
      <c r="H350" t="s">
        <v>36</v>
      </c>
      <c r="I350">
        <v>42801.228007707847</v>
      </c>
      <c r="J350">
        <v>353</v>
      </c>
      <c r="K350" t="s">
        <v>25</v>
      </c>
      <c r="L350" s="1">
        <v>45846</v>
      </c>
      <c r="M350">
        <v>5</v>
      </c>
      <c r="N350" t="s">
        <v>27</v>
      </c>
    </row>
    <row r="351" spans="1:14" x14ac:dyDescent="0.35">
      <c r="A351" t="s">
        <v>1153</v>
      </c>
      <c r="B351">
        <v>62</v>
      </c>
      <c r="C351" t="s">
        <v>1592</v>
      </c>
      <c r="D351" t="s">
        <v>20</v>
      </c>
      <c r="E351" t="s">
        <v>34</v>
      </c>
      <c r="F351" t="s">
        <v>28</v>
      </c>
      <c r="G351" s="1">
        <v>45899</v>
      </c>
      <c r="H351" t="s">
        <v>36</v>
      </c>
      <c r="I351">
        <v>34798.711807462583</v>
      </c>
      <c r="J351">
        <v>239</v>
      </c>
      <c r="K351" t="s">
        <v>18</v>
      </c>
      <c r="L351" s="1">
        <v>45902</v>
      </c>
      <c r="M351">
        <v>3</v>
      </c>
      <c r="N351" t="s">
        <v>19</v>
      </c>
    </row>
    <row r="352" spans="1:14" x14ac:dyDescent="0.35">
      <c r="A352" t="s">
        <v>1154</v>
      </c>
      <c r="B352">
        <v>68</v>
      </c>
      <c r="C352" t="s">
        <v>1591</v>
      </c>
      <c r="D352" t="s">
        <v>20</v>
      </c>
      <c r="E352" t="s">
        <v>23</v>
      </c>
      <c r="F352" t="s">
        <v>32</v>
      </c>
      <c r="G352" s="1">
        <v>45912</v>
      </c>
      <c r="H352" t="s">
        <v>36</v>
      </c>
      <c r="I352">
        <v>30141.61805318034</v>
      </c>
      <c r="J352">
        <v>375</v>
      </c>
      <c r="K352" t="s">
        <v>18</v>
      </c>
      <c r="L352" s="1">
        <v>45917</v>
      </c>
      <c r="M352">
        <v>5</v>
      </c>
      <c r="N352" t="s">
        <v>19</v>
      </c>
    </row>
    <row r="353" spans="1:14" x14ac:dyDescent="0.35">
      <c r="A353" t="s">
        <v>1155</v>
      </c>
      <c r="B353">
        <v>80</v>
      </c>
      <c r="C353" t="s">
        <v>1591</v>
      </c>
      <c r="D353" t="s">
        <v>20</v>
      </c>
      <c r="E353" t="s">
        <v>34</v>
      </c>
      <c r="F353" t="s">
        <v>24</v>
      </c>
      <c r="G353" s="1">
        <v>45972</v>
      </c>
      <c r="H353" t="s">
        <v>39</v>
      </c>
      <c r="I353">
        <v>19452.84147472358</v>
      </c>
      <c r="J353">
        <v>406</v>
      </c>
      <c r="K353" t="s">
        <v>25</v>
      </c>
      <c r="L353" s="1">
        <v>45974</v>
      </c>
      <c r="M353">
        <v>2</v>
      </c>
      <c r="N353" t="s">
        <v>19</v>
      </c>
    </row>
    <row r="354" spans="1:14" x14ac:dyDescent="0.35">
      <c r="A354" t="s">
        <v>1156</v>
      </c>
      <c r="B354">
        <v>18</v>
      </c>
      <c r="C354" t="s">
        <v>1595</v>
      </c>
      <c r="D354" t="s">
        <v>20</v>
      </c>
      <c r="E354" t="s">
        <v>12</v>
      </c>
      <c r="F354" t="s">
        <v>32</v>
      </c>
      <c r="G354" s="1">
        <v>45731</v>
      </c>
      <c r="H354" t="s">
        <v>39</v>
      </c>
      <c r="I354">
        <v>17738.628627940299</v>
      </c>
      <c r="J354">
        <v>176</v>
      </c>
      <c r="K354" t="s">
        <v>25</v>
      </c>
      <c r="L354" s="1">
        <v>45737</v>
      </c>
      <c r="M354">
        <v>6</v>
      </c>
      <c r="N354" t="s">
        <v>19</v>
      </c>
    </row>
    <row r="355" spans="1:14" x14ac:dyDescent="0.35">
      <c r="A355" t="s">
        <v>1157</v>
      </c>
      <c r="B355">
        <v>48</v>
      </c>
      <c r="C355" t="s">
        <v>1594</v>
      </c>
      <c r="D355" t="s">
        <v>20</v>
      </c>
      <c r="E355" t="s">
        <v>12</v>
      </c>
      <c r="F355" t="s">
        <v>24</v>
      </c>
      <c r="G355" s="1">
        <v>45774</v>
      </c>
      <c r="H355" t="s">
        <v>39</v>
      </c>
      <c r="I355">
        <v>35155.63656253308</v>
      </c>
      <c r="J355">
        <v>140</v>
      </c>
      <c r="K355" t="s">
        <v>25</v>
      </c>
      <c r="L355" s="1">
        <v>45788</v>
      </c>
      <c r="M355">
        <v>14</v>
      </c>
      <c r="N355" t="s">
        <v>15</v>
      </c>
    </row>
    <row r="356" spans="1:14" x14ac:dyDescent="0.35">
      <c r="A356" t="s">
        <v>1158</v>
      </c>
      <c r="B356">
        <v>65</v>
      </c>
      <c r="C356" t="s">
        <v>1592</v>
      </c>
      <c r="D356" t="s">
        <v>20</v>
      </c>
      <c r="E356" t="s">
        <v>16</v>
      </c>
      <c r="F356" t="s">
        <v>32</v>
      </c>
      <c r="G356" s="1">
        <v>45827</v>
      </c>
      <c r="H356" t="s">
        <v>37</v>
      </c>
      <c r="I356">
        <v>41110.215340288392</v>
      </c>
      <c r="J356">
        <v>486</v>
      </c>
      <c r="K356" t="s">
        <v>25</v>
      </c>
      <c r="L356" s="1">
        <v>45839</v>
      </c>
      <c r="M356">
        <v>12</v>
      </c>
      <c r="N356" t="s">
        <v>19</v>
      </c>
    </row>
    <row r="357" spans="1:14" x14ac:dyDescent="0.35">
      <c r="A357" t="s">
        <v>1159</v>
      </c>
      <c r="B357">
        <v>34</v>
      </c>
      <c r="C357" t="s">
        <v>1593</v>
      </c>
      <c r="D357" t="s">
        <v>11</v>
      </c>
      <c r="E357" t="s">
        <v>23</v>
      </c>
      <c r="F357" t="s">
        <v>28</v>
      </c>
      <c r="G357" s="1">
        <v>45801</v>
      </c>
      <c r="H357" t="s">
        <v>39</v>
      </c>
      <c r="I357">
        <v>19017.87666199392</v>
      </c>
      <c r="J357">
        <v>233</v>
      </c>
      <c r="K357" t="s">
        <v>25</v>
      </c>
      <c r="L357" s="1">
        <v>45809</v>
      </c>
      <c r="M357">
        <v>8</v>
      </c>
      <c r="N357" t="s">
        <v>22</v>
      </c>
    </row>
    <row r="358" spans="1:14" x14ac:dyDescent="0.35">
      <c r="A358" t="s">
        <v>1160</v>
      </c>
      <c r="B358">
        <v>38</v>
      </c>
      <c r="C358" t="s">
        <v>1594</v>
      </c>
      <c r="D358" t="s">
        <v>20</v>
      </c>
      <c r="E358" t="s">
        <v>34</v>
      </c>
      <c r="F358" t="s">
        <v>28</v>
      </c>
      <c r="G358" s="1">
        <v>45902</v>
      </c>
      <c r="H358" t="s">
        <v>37</v>
      </c>
      <c r="I358">
        <v>33375.115177997301</v>
      </c>
      <c r="J358">
        <v>444</v>
      </c>
      <c r="K358" t="s">
        <v>25</v>
      </c>
      <c r="L358" s="1">
        <v>45916</v>
      </c>
      <c r="M358">
        <v>14</v>
      </c>
      <c r="N358" t="s">
        <v>31</v>
      </c>
    </row>
    <row r="359" spans="1:14" x14ac:dyDescent="0.35">
      <c r="A359" t="s">
        <v>1161</v>
      </c>
      <c r="B359">
        <v>81</v>
      </c>
      <c r="C359" t="s">
        <v>1591</v>
      </c>
      <c r="D359" t="s">
        <v>20</v>
      </c>
      <c r="E359" t="s">
        <v>23</v>
      </c>
      <c r="F359" t="s">
        <v>28</v>
      </c>
      <c r="G359" s="1">
        <v>45877</v>
      </c>
      <c r="H359" t="s">
        <v>36</v>
      </c>
      <c r="I359">
        <v>23956.517200305771</v>
      </c>
      <c r="J359">
        <v>371</v>
      </c>
      <c r="K359" t="s">
        <v>25</v>
      </c>
      <c r="L359" s="1">
        <v>45878</v>
      </c>
      <c r="M359">
        <v>1</v>
      </c>
      <c r="N359" t="s">
        <v>22</v>
      </c>
    </row>
    <row r="360" spans="1:14" x14ac:dyDescent="0.35">
      <c r="A360" t="s">
        <v>1162</v>
      </c>
      <c r="B360">
        <v>79</v>
      </c>
      <c r="C360" t="s">
        <v>1591</v>
      </c>
      <c r="D360" t="s">
        <v>11</v>
      </c>
      <c r="E360" t="s">
        <v>21</v>
      </c>
      <c r="F360" t="s">
        <v>24</v>
      </c>
      <c r="G360" s="1">
        <v>45666</v>
      </c>
      <c r="H360" t="s">
        <v>36</v>
      </c>
      <c r="I360">
        <v>34516.088462945518</v>
      </c>
      <c r="J360">
        <v>382</v>
      </c>
      <c r="K360" t="s">
        <v>18</v>
      </c>
      <c r="L360" s="1">
        <v>45680</v>
      </c>
      <c r="M360">
        <v>14</v>
      </c>
      <c r="N360" t="s">
        <v>31</v>
      </c>
    </row>
    <row r="361" spans="1:14" x14ac:dyDescent="0.35">
      <c r="A361" t="s">
        <v>1163</v>
      </c>
      <c r="B361">
        <v>63</v>
      </c>
      <c r="C361" t="s">
        <v>1592</v>
      </c>
      <c r="D361" t="s">
        <v>11</v>
      </c>
      <c r="E361" t="s">
        <v>29</v>
      </c>
      <c r="F361" t="s">
        <v>13</v>
      </c>
      <c r="G361" s="1">
        <v>45809</v>
      </c>
      <c r="H361" t="s">
        <v>36</v>
      </c>
      <c r="I361">
        <v>35250.772327574152</v>
      </c>
      <c r="J361">
        <v>477</v>
      </c>
      <c r="K361" t="s">
        <v>18</v>
      </c>
      <c r="L361" s="1">
        <v>45819</v>
      </c>
      <c r="M361">
        <v>10</v>
      </c>
      <c r="N361" t="s">
        <v>19</v>
      </c>
    </row>
    <row r="362" spans="1:14" x14ac:dyDescent="0.35">
      <c r="A362" t="s">
        <v>1164</v>
      </c>
      <c r="B362">
        <v>55</v>
      </c>
      <c r="C362" t="s">
        <v>1592</v>
      </c>
      <c r="D362" t="s">
        <v>11</v>
      </c>
      <c r="E362" t="s">
        <v>34</v>
      </c>
      <c r="F362" t="s">
        <v>17</v>
      </c>
      <c r="G362" s="1">
        <v>45876</v>
      </c>
      <c r="H362" t="s">
        <v>37</v>
      </c>
      <c r="I362">
        <v>42768.303602027889</v>
      </c>
      <c r="J362">
        <v>283</v>
      </c>
      <c r="K362" t="s">
        <v>18</v>
      </c>
      <c r="L362" s="1">
        <v>45881</v>
      </c>
      <c r="M362">
        <v>5</v>
      </c>
      <c r="N362" t="s">
        <v>22</v>
      </c>
    </row>
    <row r="363" spans="1:14" x14ac:dyDescent="0.35">
      <c r="A363" t="s">
        <v>1165</v>
      </c>
      <c r="B363">
        <v>34</v>
      </c>
      <c r="C363" t="s">
        <v>1593</v>
      </c>
      <c r="D363" t="s">
        <v>11</v>
      </c>
      <c r="E363" t="s">
        <v>26</v>
      </c>
      <c r="F363" t="s">
        <v>24</v>
      </c>
      <c r="G363" s="1">
        <v>45875</v>
      </c>
      <c r="H363" t="s">
        <v>36</v>
      </c>
      <c r="I363">
        <v>19590.977802837839</v>
      </c>
      <c r="J363">
        <v>481</v>
      </c>
      <c r="K363" t="s">
        <v>25</v>
      </c>
      <c r="L363" s="1">
        <v>45880</v>
      </c>
      <c r="M363">
        <v>5</v>
      </c>
      <c r="N363" t="s">
        <v>27</v>
      </c>
    </row>
    <row r="364" spans="1:14" x14ac:dyDescent="0.35">
      <c r="A364" t="s">
        <v>1166</v>
      </c>
      <c r="B364">
        <v>41</v>
      </c>
      <c r="C364" t="s">
        <v>1594</v>
      </c>
      <c r="D364" t="s">
        <v>20</v>
      </c>
      <c r="E364" t="s">
        <v>16</v>
      </c>
      <c r="F364" t="s">
        <v>32</v>
      </c>
      <c r="G364" s="1">
        <v>45811</v>
      </c>
      <c r="H364" t="s">
        <v>37</v>
      </c>
      <c r="I364">
        <v>13667.63805176461</v>
      </c>
      <c r="J364">
        <v>339</v>
      </c>
      <c r="K364" t="s">
        <v>25</v>
      </c>
      <c r="L364" s="1">
        <v>45816</v>
      </c>
      <c r="M364">
        <v>5</v>
      </c>
      <c r="N364" t="s">
        <v>15</v>
      </c>
    </row>
    <row r="365" spans="1:14" x14ac:dyDescent="0.35">
      <c r="A365" t="s">
        <v>1167</v>
      </c>
      <c r="B365">
        <v>66</v>
      </c>
      <c r="C365" t="s">
        <v>1591</v>
      </c>
      <c r="D365" t="s">
        <v>20</v>
      </c>
      <c r="E365" t="s">
        <v>26</v>
      </c>
      <c r="F365" t="s">
        <v>13</v>
      </c>
      <c r="G365" s="1">
        <v>45877</v>
      </c>
      <c r="H365" t="s">
        <v>39</v>
      </c>
      <c r="I365">
        <v>5060.0484911824406</v>
      </c>
      <c r="J365">
        <v>296</v>
      </c>
      <c r="K365" t="s">
        <v>18</v>
      </c>
      <c r="L365" s="1">
        <v>45878</v>
      </c>
      <c r="M365">
        <v>1</v>
      </c>
      <c r="N365" t="s">
        <v>15</v>
      </c>
    </row>
    <row r="366" spans="1:14" x14ac:dyDescent="0.35">
      <c r="A366" t="s">
        <v>1168</v>
      </c>
      <c r="B366">
        <v>21</v>
      </c>
      <c r="C366" t="s">
        <v>1593</v>
      </c>
      <c r="D366" t="s">
        <v>20</v>
      </c>
      <c r="E366" t="s">
        <v>21</v>
      </c>
      <c r="F366" t="s">
        <v>32</v>
      </c>
      <c r="G366" s="1">
        <v>45687</v>
      </c>
      <c r="H366" t="s">
        <v>36</v>
      </c>
      <c r="I366">
        <v>37591.085670777436</v>
      </c>
      <c r="J366">
        <v>336</v>
      </c>
      <c r="K366" t="s">
        <v>25</v>
      </c>
      <c r="L366" s="1">
        <v>45688</v>
      </c>
      <c r="M366">
        <v>1</v>
      </c>
      <c r="N366" t="s">
        <v>22</v>
      </c>
    </row>
    <row r="367" spans="1:14" x14ac:dyDescent="0.35">
      <c r="A367" t="s">
        <v>1169</v>
      </c>
      <c r="B367">
        <v>37</v>
      </c>
      <c r="C367" t="s">
        <v>1594</v>
      </c>
      <c r="D367" t="s">
        <v>20</v>
      </c>
      <c r="E367" t="s">
        <v>26</v>
      </c>
      <c r="F367" t="s">
        <v>30</v>
      </c>
      <c r="G367" s="1">
        <v>45715</v>
      </c>
      <c r="H367" t="s">
        <v>37</v>
      </c>
      <c r="I367">
        <v>11557.17870104</v>
      </c>
      <c r="J367">
        <v>119</v>
      </c>
      <c r="K367" t="s">
        <v>25</v>
      </c>
      <c r="L367" s="1">
        <v>45716</v>
      </c>
      <c r="M367">
        <v>1</v>
      </c>
      <c r="N367" t="s">
        <v>15</v>
      </c>
    </row>
    <row r="368" spans="1:14" x14ac:dyDescent="0.35">
      <c r="A368" t="s">
        <v>1170</v>
      </c>
      <c r="B368">
        <v>67</v>
      </c>
      <c r="C368" t="s">
        <v>1591</v>
      </c>
      <c r="D368" t="s">
        <v>11</v>
      </c>
      <c r="E368" t="s">
        <v>16</v>
      </c>
      <c r="F368" t="s">
        <v>28</v>
      </c>
      <c r="G368" s="1">
        <v>45872</v>
      </c>
      <c r="H368" t="s">
        <v>39</v>
      </c>
      <c r="I368">
        <v>4567.2953240707184</v>
      </c>
      <c r="J368">
        <v>352</v>
      </c>
      <c r="K368" t="s">
        <v>25</v>
      </c>
      <c r="L368" s="1">
        <v>45875</v>
      </c>
      <c r="M368">
        <v>3</v>
      </c>
      <c r="N368" t="s">
        <v>31</v>
      </c>
    </row>
    <row r="369" spans="1:14" x14ac:dyDescent="0.35">
      <c r="A369" t="s">
        <v>1171</v>
      </c>
      <c r="B369">
        <v>62</v>
      </c>
      <c r="C369" t="s">
        <v>1592</v>
      </c>
      <c r="D369" t="s">
        <v>11</v>
      </c>
      <c r="E369" t="s">
        <v>12</v>
      </c>
      <c r="F369" t="s">
        <v>32</v>
      </c>
      <c r="G369" s="1">
        <v>45738</v>
      </c>
      <c r="H369" t="s">
        <v>36</v>
      </c>
      <c r="I369">
        <v>16853.97640432198</v>
      </c>
      <c r="J369">
        <v>265</v>
      </c>
      <c r="K369" t="s">
        <v>18</v>
      </c>
      <c r="L369" s="1">
        <v>45739</v>
      </c>
      <c r="M369">
        <v>1</v>
      </c>
      <c r="N369" t="s">
        <v>31</v>
      </c>
    </row>
    <row r="370" spans="1:14" x14ac:dyDescent="0.35">
      <c r="A370" t="s">
        <v>1172</v>
      </c>
      <c r="B370">
        <v>45</v>
      </c>
      <c r="C370" t="s">
        <v>1594</v>
      </c>
      <c r="D370" t="s">
        <v>20</v>
      </c>
      <c r="E370" t="s">
        <v>16</v>
      </c>
      <c r="F370" t="s">
        <v>24</v>
      </c>
      <c r="G370" s="1">
        <v>45713</v>
      </c>
      <c r="H370" t="s">
        <v>39</v>
      </c>
      <c r="I370">
        <v>2699.6802290435339</v>
      </c>
      <c r="J370">
        <v>187</v>
      </c>
      <c r="K370" t="s">
        <v>18</v>
      </c>
      <c r="L370" s="1">
        <v>45714</v>
      </c>
      <c r="M370">
        <v>1</v>
      </c>
      <c r="N370" t="s">
        <v>22</v>
      </c>
    </row>
    <row r="371" spans="1:14" x14ac:dyDescent="0.35">
      <c r="A371" t="s">
        <v>1173</v>
      </c>
      <c r="B371">
        <v>37</v>
      </c>
      <c r="C371" t="s">
        <v>1594</v>
      </c>
      <c r="D371" t="s">
        <v>11</v>
      </c>
      <c r="E371" t="s">
        <v>12</v>
      </c>
      <c r="F371" t="s">
        <v>13</v>
      </c>
      <c r="G371" s="1">
        <v>45803</v>
      </c>
      <c r="H371" t="s">
        <v>36</v>
      </c>
      <c r="I371">
        <v>17448.936400215978</v>
      </c>
      <c r="J371">
        <v>109</v>
      </c>
      <c r="K371" t="s">
        <v>18</v>
      </c>
      <c r="L371" s="1">
        <v>45817</v>
      </c>
      <c r="M371">
        <v>14</v>
      </c>
      <c r="N371" t="s">
        <v>27</v>
      </c>
    </row>
    <row r="372" spans="1:14" x14ac:dyDescent="0.35">
      <c r="A372" t="s">
        <v>1174</v>
      </c>
      <c r="B372">
        <v>33</v>
      </c>
      <c r="C372" t="s">
        <v>1593</v>
      </c>
      <c r="D372" t="s">
        <v>11</v>
      </c>
      <c r="E372" t="s">
        <v>12</v>
      </c>
      <c r="F372" t="s">
        <v>17</v>
      </c>
      <c r="G372" s="1">
        <v>45765</v>
      </c>
      <c r="H372" t="s">
        <v>36</v>
      </c>
      <c r="I372">
        <v>9495.8285526264517</v>
      </c>
      <c r="J372">
        <v>309</v>
      </c>
      <c r="K372" t="s">
        <v>25</v>
      </c>
      <c r="L372" s="1">
        <v>45773</v>
      </c>
      <c r="M372">
        <v>8</v>
      </c>
      <c r="N372" t="s">
        <v>31</v>
      </c>
    </row>
    <row r="373" spans="1:14" x14ac:dyDescent="0.35">
      <c r="A373" t="s">
        <v>1175</v>
      </c>
      <c r="B373">
        <v>26</v>
      </c>
      <c r="C373" t="s">
        <v>1593</v>
      </c>
      <c r="D373" t="s">
        <v>11</v>
      </c>
      <c r="E373" t="s">
        <v>33</v>
      </c>
      <c r="F373" t="s">
        <v>13</v>
      </c>
      <c r="G373" s="1">
        <v>45756</v>
      </c>
      <c r="H373" t="s">
        <v>37</v>
      </c>
      <c r="I373">
        <v>9934.6823182864682</v>
      </c>
      <c r="J373">
        <v>120</v>
      </c>
      <c r="K373" t="s">
        <v>25</v>
      </c>
      <c r="L373" s="1">
        <v>45763</v>
      </c>
      <c r="M373">
        <v>7</v>
      </c>
      <c r="N373" t="s">
        <v>22</v>
      </c>
    </row>
    <row r="374" spans="1:14" x14ac:dyDescent="0.35">
      <c r="A374" t="s">
        <v>1176</v>
      </c>
      <c r="B374">
        <v>66</v>
      </c>
      <c r="C374" t="s">
        <v>1591</v>
      </c>
      <c r="D374" t="s">
        <v>11</v>
      </c>
      <c r="E374" t="s">
        <v>26</v>
      </c>
      <c r="F374" t="s">
        <v>13</v>
      </c>
      <c r="G374" s="1">
        <v>45733</v>
      </c>
      <c r="H374" t="s">
        <v>37</v>
      </c>
      <c r="I374">
        <v>34523.223636791903</v>
      </c>
      <c r="J374">
        <v>167</v>
      </c>
      <c r="K374" t="s">
        <v>18</v>
      </c>
      <c r="L374" s="1">
        <v>45740</v>
      </c>
      <c r="M374">
        <v>7</v>
      </c>
      <c r="N374" t="s">
        <v>19</v>
      </c>
    </row>
    <row r="375" spans="1:14" x14ac:dyDescent="0.35">
      <c r="A375" t="s">
        <v>1177</v>
      </c>
      <c r="B375">
        <v>23</v>
      </c>
      <c r="C375" t="s">
        <v>1593</v>
      </c>
      <c r="D375" t="s">
        <v>20</v>
      </c>
      <c r="E375" t="s">
        <v>16</v>
      </c>
      <c r="F375" t="s">
        <v>13</v>
      </c>
      <c r="G375" s="1">
        <v>45974</v>
      </c>
      <c r="H375" t="s">
        <v>39</v>
      </c>
      <c r="I375">
        <v>33553.581054646893</v>
      </c>
      <c r="J375">
        <v>323</v>
      </c>
      <c r="K375" t="s">
        <v>18</v>
      </c>
      <c r="L375" s="1">
        <v>45988</v>
      </c>
      <c r="M375">
        <v>14</v>
      </c>
      <c r="N375" t="s">
        <v>27</v>
      </c>
    </row>
    <row r="376" spans="1:14" x14ac:dyDescent="0.35">
      <c r="A376" t="s">
        <v>1178</v>
      </c>
      <c r="B376">
        <v>35</v>
      </c>
      <c r="C376" t="s">
        <v>1593</v>
      </c>
      <c r="D376" t="s">
        <v>20</v>
      </c>
      <c r="E376" t="s">
        <v>34</v>
      </c>
      <c r="F376" t="s">
        <v>17</v>
      </c>
      <c r="G376" s="1">
        <v>45944</v>
      </c>
      <c r="H376" t="s">
        <v>36</v>
      </c>
      <c r="I376">
        <v>14243.9745296213</v>
      </c>
      <c r="J376">
        <v>179</v>
      </c>
      <c r="K376" t="s">
        <v>18</v>
      </c>
      <c r="L376" s="1">
        <v>45953</v>
      </c>
      <c r="M376">
        <v>9</v>
      </c>
      <c r="N376" t="s">
        <v>31</v>
      </c>
    </row>
    <row r="377" spans="1:14" x14ac:dyDescent="0.35">
      <c r="A377" t="s">
        <v>1179</v>
      </c>
      <c r="B377">
        <v>30</v>
      </c>
      <c r="C377" t="s">
        <v>1593</v>
      </c>
      <c r="D377" t="s">
        <v>20</v>
      </c>
      <c r="E377" t="s">
        <v>29</v>
      </c>
      <c r="F377" t="s">
        <v>32</v>
      </c>
      <c r="G377" s="1">
        <v>45851</v>
      </c>
      <c r="H377" t="s">
        <v>36</v>
      </c>
      <c r="I377">
        <v>47905.472460575344</v>
      </c>
      <c r="J377">
        <v>106</v>
      </c>
      <c r="K377" t="s">
        <v>25</v>
      </c>
      <c r="L377" s="1">
        <v>45857</v>
      </c>
      <c r="M377">
        <v>6</v>
      </c>
      <c r="N377" t="s">
        <v>19</v>
      </c>
    </row>
    <row r="378" spans="1:14" x14ac:dyDescent="0.35">
      <c r="A378" t="s">
        <v>1180</v>
      </c>
      <c r="B378">
        <v>66</v>
      </c>
      <c r="C378" t="s">
        <v>1591</v>
      </c>
      <c r="D378" t="s">
        <v>11</v>
      </c>
      <c r="E378" t="s">
        <v>33</v>
      </c>
      <c r="F378" t="s">
        <v>13</v>
      </c>
      <c r="G378" s="1">
        <v>46000</v>
      </c>
      <c r="H378" t="s">
        <v>37</v>
      </c>
      <c r="I378">
        <v>21848.64370006735</v>
      </c>
      <c r="J378">
        <v>209</v>
      </c>
      <c r="K378" t="s">
        <v>25</v>
      </c>
      <c r="L378" s="1">
        <v>46006</v>
      </c>
      <c r="M378">
        <v>6</v>
      </c>
      <c r="N378" t="s">
        <v>19</v>
      </c>
    </row>
    <row r="379" spans="1:14" x14ac:dyDescent="0.35">
      <c r="A379" t="s">
        <v>1181</v>
      </c>
      <c r="B379">
        <v>34</v>
      </c>
      <c r="C379" t="s">
        <v>1593</v>
      </c>
      <c r="D379" t="s">
        <v>20</v>
      </c>
      <c r="E379" t="s">
        <v>29</v>
      </c>
      <c r="F379" t="s">
        <v>28</v>
      </c>
      <c r="G379" s="1">
        <v>45894</v>
      </c>
      <c r="H379" t="s">
        <v>37</v>
      </c>
      <c r="I379">
        <v>13136.392522152069</v>
      </c>
      <c r="J379">
        <v>310</v>
      </c>
      <c r="K379" t="s">
        <v>18</v>
      </c>
      <c r="L379" s="1">
        <v>45901</v>
      </c>
      <c r="M379">
        <v>7</v>
      </c>
      <c r="N379" t="s">
        <v>27</v>
      </c>
    </row>
    <row r="380" spans="1:14" x14ac:dyDescent="0.35">
      <c r="A380" t="s">
        <v>1182</v>
      </c>
      <c r="B380">
        <v>78</v>
      </c>
      <c r="C380" t="s">
        <v>1591</v>
      </c>
      <c r="D380" t="s">
        <v>20</v>
      </c>
      <c r="E380" t="s">
        <v>26</v>
      </c>
      <c r="F380" t="s">
        <v>28</v>
      </c>
      <c r="G380" s="1">
        <v>45659</v>
      </c>
      <c r="H380" t="s">
        <v>37</v>
      </c>
      <c r="I380">
        <v>34437.765067103654</v>
      </c>
      <c r="J380">
        <v>223</v>
      </c>
      <c r="K380" t="s">
        <v>25</v>
      </c>
      <c r="L380" s="1">
        <v>45670</v>
      </c>
      <c r="M380">
        <v>11</v>
      </c>
      <c r="N380" t="s">
        <v>22</v>
      </c>
    </row>
    <row r="381" spans="1:14" x14ac:dyDescent="0.35">
      <c r="A381" t="s">
        <v>1183</v>
      </c>
      <c r="B381">
        <v>63</v>
      </c>
      <c r="C381" t="s">
        <v>1592</v>
      </c>
      <c r="D381" t="s">
        <v>11</v>
      </c>
      <c r="E381" t="s">
        <v>34</v>
      </c>
      <c r="F381" t="s">
        <v>32</v>
      </c>
      <c r="G381" s="1">
        <v>45729</v>
      </c>
      <c r="H381" t="s">
        <v>39</v>
      </c>
      <c r="I381">
        <v>35149.098182446192</v>
      </c>
      <c r="J381">
        <v>231</v>
      </c>
      <c r="K381" t="s">
        <v>25</v>
      </c>
      <c r="L381" s="1">
        <v>45738</v>
      </c>
      <c r="M381">
        <v>9</v>
      </c>
      <c r="N381" t="s">
        <v>19</v>
      </c>
    </row>
    <row r="382" spans="1:14" x14ac:dyDescent="0.35">
      <c r="A382" t="s">
        <v>1184</v>
      </c>
      <c r="B382">
        <v>58</v>
      </c>
      <c r="C382" t="s">
        <v>1592</v>
      </c>
      <c r="D382" t="s">
        <v>11</v>
      </c>
      <c r="E382" t="s">
        <v>12</v>
      </c>
      <c r="F382" t="s">
        <v>13</v>
      </c>
      <c r="G382" s="1">
        <v>45726</v>
      </c>
      <c r="H382" t="s">
        <v>36</v>
      </c>
      <c r="I382">
        <v>41520.098568556677</v>
      </c>
      <c r="J382">
        <v>269</v>
      </c>
      <c r="K382" t="s">
        <v>25</v>
      </c>
      <c r="L382" s="1">
        <v>45727</v>
      </c>
      <c r="M382">
        <v>1</v>
      </c>
      <c r="N382" t="s">
        <v>27</v>
      </c>
    </row>
    <row r="383" spans="1:14" x14ac:dyDescent="0.35">
      <c r="A383" t="s">
        <v>1185</v>
      </c>
      <c r="B383">
        <v>31</v>
      </c>
      <c r="C383" t="s">
        <v>1593</v>
      </c>
      <c r="D383" t="s">
        <v>20</v>
      </c>
      <c r="E383" t="s">
        <v>26</v>
      </c>
      <c r="F383" t="s">
        <v>17</v>
      </c>
      <c r="G383" s="1">
        <v>45877</v>
      </c>
      <c r="H383" t="s">
        <v>39</v>
      </c>
      <c r="I383">
        <v>2894.124207860576</v>
      </c>
      <c r="J383">
        <v>460</v>
      </c>
      <c r="K383" t="s">
        <v>25</v>
      </c>
      <c r="L383" s="1">
        <v>45888</v>
      </c>
      <c r="M383">
        <v>11</v>
      </c>
      <c r="N383" t="s">
        <v>31</v>
      </c>
    </row>
    <row r="384" spans="1:14" x14ac:dyDescent="0.35">
      <c r="A384" t="s">
        <v>1186</v>
      </c>
      <c r="B384">
        <v>48</v>
      </c>
      <c r="C384" t="s">
        <v>1594</v>
      </c>
      <c r="D384" t="s">
        <v>20</v>
      </c>
      <c r="E384" t="s">
        <v>21</v>
      </c>
      <c r="F384" t="s">
        <v>28</v>
      </c>
      <c r="G384" s="1">
        <v>45720</v>
      </c>
      <c r="H384" t="s">
        <v>36</v>
      </c>
      <c r="I384">
        <v>22399.532791006641</v>
      </c>
      <c r="J384">
        <v>297</v>
      </c>
      <c r="K384" t="s">
        <v>25</v>
      </c>
      <c r="L384" s="1">
        <v>45724</v>
      </c>
      <c r="M384">
        <v>4</v>
      </c>
      <c r="N384" t="s">
        <v>31</v>
      </c>
    </row>
    <row r="385" spans="1:14" x14ac:dyDescent="0.35">
      <c r="A385" t="s">
        <v>1187</v>
      </c>
      <c r="B385">
        <v>47</v>
      </c>
      <c r="C385" t="s">
        <v>1594</v>
      </c>
      <c r="D385" t="s">
        <v>11</v>
      </c>
      <c r="E385" t="s">
        <v>34</v>
      </c>
      <c r="F385" t="s">
        <v>13</v>
      </c>
      <c r="G385" s="1">
        <v>45991</v>
      </c>
      <c r="H385" t="s">
        <v>36</v>
      </c>
      <c r="I385">
        <v>44777.476637747583</v>
      </c>
      <c r="J385">
        <v>478</v>
      </c>
      <c r="K385" t="s">
        <v>18</v>
      </c>
      <c r="L385" s="1">
        <v>45992</v>
      </c>
      <c r="M385">
        <v>1</v>
      </c>
      <c r="N385" t="s">
        <v>27</v>
      </c>
    </row>
    <row r="386" spans="1:14" x14ac:dyDescent="0.35">
      <c r="A386" t="s">
        <v>1188</v>
      </c>
      <c r="B386">
        <v>49</v>
      </c>
      <c r="C386" t="s">
        <v>1594</v>
      </c>
      <c r="D386" t="s">
        <v>11</v>
      </c>
      <c r="E386" t="s">
        <v>21</v>
      </c>
      <c r="F386" t="s">
        <v>28</v>
      </c>
      <c r="G386" s="1">
        <v>45681</v>
      </c>
      <c r="H386" t="s">
        <v>37</v>
      </c>
      <c r="I386">
        <v>46984.445856520018</v>
      </c>
      <c r="J386">
        <v>360</v>
      </c>
      <c r="K386" t="s">
        <v>18</v>
      </c>
      <c r="L386" s="1">
        <v>45694</v>
      </c>
      <c r="M386">
        <v>13</v>
      </c>
      <c r="N386" t="s">
        <v>22</v>
      </c>
    </row>
    <row r="387" spans="1:14" x14ac:dyDescent="0.35">
      <c r="A387" t="s">
        <v>1189</v>
      </c>
      <c r="B387">
        <v>62</v>
      </c>
      <c r="C387" t="s">
        <v>1592</v>
      </c>
      <c r="D387" t="s">
        <v>20</v>
      </c>
      <c r="E387" t="s">
        <v>26</v>
      </c>
      <c r="F387" t="s">
        <v>24</v>
      </c>
      <c r="G387" s="1">
        <v>45726</v>
      </c>
      <c r="H387" t="s">
        <v>37</v>
      </c>
      <c r="I387">
        <v>36832.964708241198</v>
      </c>
      <c r="J387">
        <v>423</v>
      </c>
      <c r="K387" t="s">
        <v>18</v>
      </c>
      <c r="L387" s="1">
        <v>45734</v>
      </c>
      <c r="M387">
        <v>8</v>
      </c>
      <c r="N387" t="s">
        <v>19</v>
      </c>
    </row>
    <row r="388" spans="1:14" x14ac:dyDescent="0.35">
      <c r="A388" t="s">
        <v>1190</v>
      </c>
      <c r="B388">
        <v>52</v>
      </c>
      <c r="C388" t="s">
        <v>1592</v>
      </c>
      <c r="D388" t="s">
        <v>11</v>
      </c>
      <c r="E388" t="s">
        <v>21</v>
      </c>
      <c r="F388" t="s">
        <v>13</v>
      </c>
      <c r="G388" s="1">
        <v>45890</v>
      </c>
      <c r="H388" t="s">
        <v>37</v>
      </c>
      <c r="I388">
        <v>27323.104277139311</v>
      </c>
      <c r="J388">
        <v>232</v>
      </c>
      <c r="K388" t="s">
        <v>18</v>
      </c>
      <c r="L388" s="1">
        <v>45896</v>
      </c>
      <c r="M388">
        <v>6</v>
      </c>
      <c r="N388" t="s">
        <v>19</v>
      </c>
    </row>
    <row r="389" spans="1:14" x14ac:dyDescent="0.35">
      <c r="A389" t="s">
        <v>1191</v>
      </c>
      <c r="B389">
        <v>38</v>
      </c>
      <c r="C389" t="s">
        <v>1594</v>
      </c>
      <c r="D389" t="s">
        <v>20</v>
      </c>
      <c r="E389" t="s">
        <v>23</v>
      </c>
      <c r="F389" t="s">
        <v>24</v>
      </c>
      <c r="G389" s="1">
        <v>45753</v>
      </c>
      <c r="H389" t="s">
        <v>36</v>
      </c>
      <c r="I389">
        <v>27260.16841969957</v>
      </c>
      <c r="J389">
        <v>154</v>
      </c>
      <c r="K389" t="s">
        <v>18</v>
      </c>
      <c r="L389" s="1">
        <v>45757</v>
      </c>
      <c r="M389">
        <v>4</v>
      </c>
      <c r="N389" t="s">
        <v>15</v>
      </c>
    </row>
    <row r="390" spans="1:14" x14ac:dyDescent="0.35">
      <c r="A390" t="s">
        <v>1192</v>
      </c>
      <c r="B390">
        <v>19</v>
      </c>
      <c r="C390" t="s">
        <v>1593</v>
      </c>
      <c r="D390" t="s">
        <v>20</v>
      </c>
      <c r="E390" t="s">
        <v>23</v>
      </c>
      <c r="F390" t="s">
        <v>30</v>
      </c>
      <c r="G390" s="1">
        <v>45881</v>
      </c>
      <c r="H390" t="s">
        <v>39</v>
      </c>
      <c r="I390">
        <v>42157.22298233107</v>
      </c>
      <c r="J390">
        <v>149</v>
      </c>
      <c r="K390" t="s">
        <v>25</v>
      </c>
      <c r="L390" s="1">
        <v>45889</v>
      </c>
      <c r="M390">
        <v>8</v>
      </c>
      <c r="N390" t="s">
        <v>31</v>
      </c>
    </row>
    <row r="391" spans="1:14" x14ac:dyDescent="0.35">
      <c r="A391" t="s">
        <v>1193</v>
      </c>
      <c r="B391">
        <v>74</v>
      </c>
      <c r="C391" t="s">
        <v>1591</v>
      </c>
      <c r="D391" t="s">
        <v>11</v>
      </c>
      <c r="E391" t="s">
        <v>23</v>
      </c>
      <c r="F391" t="s">
        <v>28</v>
      </c>
      <c r="G391" s="1">
        <v>45801</v>
      </c>
      <c r="H391" t="s">
        <v>36</v>
      </c>
      <c r="I391">
        <v>20945.369101023221</v>
      </c>
      <c r="J391">
        <v>417</v>
      </c>
      <c r="K391" t="s">
        <v>18</v>
      </c>
      <c r="L391" s="1">
        <v>45815</v>
      </c>
      <c r="M391">
        <v>14</v>
      </c>
      <c r="N391" t="s">
        <v>27</v>
      </c>
    </row>
    <row r="392" spans="1:14" x14ac:dyDescent="0.35">
      <c r="A392" t="s">
        <v>1194</v>
      </c>
      <c r="B392">
        <v>80</v>
      </c>
      <c r="C392" t="s">
        <v>1591</v>
      </c>
      <c r="D392" t="s">
        <v>20</v>
      </c>
      <c r="E392" t="s">
        <v>16</v>
      </c>
      <c r="F392" t="s">
        <v>17</v>
      </c>
      <c r="G392" s="1">
        <v>45938</v>
      </c>
      <c r="H392" t="s">
        <v>39</v>
      </c>
      <c r="I392">
        <v>10481.84109590047</v>
      </c>
      <c r="J392">
        <v>284</v>
      </c>
      <c r="K392" t="s">
        <v>18</v>
      </c>
      <c r="L392" s="1">
        <v>45947</v>
      </c>
      <c r="M392">
        <v>9</v>
      </c>
      <c r="N392" t="s">
        <v>27</v>
      </c>
    </row>
    <row r="393" spans="1:14" x14ac:dyDescent="0.35">
      <c r="A393" t="s">
        <v>1195</v>
      </c>
      <c r="B393">
        <v>20</v>
      </c>
      <c r="C393" t="s">
        <v>1593</v>
      </c>
      <c r="D393" t="s">
        <v>20</v>
      </c>
      <c r="E393" t="s">
        <v>23</v>
      </c>
      <c r="F393" t="s">
        <v>30</v>
      </c>
      <c r="G393" s="1">
        <v>45749</v>
      </c>
      <c r="H393" t="s">
        <v>39</v>
      </c>
      <c r="I393">
        <v>29504.13504027648</v>
      </c>
      <c r="J393">
        <v>428</v>
      </c>
      <c r="K393" t="s">
        <v>25</v>
      </c>
      <c r="L393" s="1">
        <v>45751</v>
      </c>
      <c r="M393">
        <v>2</v>
      </c>
      <c r="N393" t="s">
        <v>15</v>
      </c>
    </row>
    <row r="394" spans="1:14" x14ac:dyDescent="0.35">
      <c r="A394" t="s">
        <v>1196</v>
      </c>
      <c r="B394">
        <v>34</v>
      </c>
      <c r="C394" t="s">
        <v>1593</v>
      </c>
      <c r="D394" t="s">
        <v>20</v>
      </c>
      <c r="E394" t="s">
        <v>34</v>
      </c>
      <c r="F394" t="s">
        <v>13</v>
      </c>
      <c r="G394" s="1">
        <v>45855</v>
      </c>
      <c r="H394" t="s">
        <v>39</v>
      </c>
      <c r="I394">
        <v>7877.4761779105611</v>
      </c>
      <c r="J394">
        <v>286</v>
      </c>
      <c r="K394" t="s">
        <v>25</v>
      </c>
      <c r="L394" s="1">
        <v>45866</v>
      </c>
      <c r="M394">
        <v>11</v>
      </c>
      <c r="N394" t="s">
        <v>31</v>
      </c>
    </row>
    <row r="395" spans="1:14" x14ac:dyDescent="0.35">
      <c r="A395" t="s">
        <v>1197</v>
      </c>
      <c r="B395">
        <v>67</v>
      </c>
      <c r="C395" t="s">
        <v>1591</v>
      </c>
      <c r="D395" t="s">
        <v>20</v>
      </c>
      <c r="E395" t="s">
        <v>21</v>
      </c>
      <c r="F395" t="s">
        <v>30</v>
      </c>
      <c r="G395" s="1">
        <v>45716</v>
      </c>
      <c r="H395" t="s">
        <v>37</v>
      </c>
      <c r="I395">
        <v>13358.79530642829</v>
      </c>
      <c r="J395">
        <v>391</v>
      </c>
      <c r="K395" t="s">
        <v>18</v>
      </c>
      <c r="L395" s="1">
        <v>45723</v>
      </c>
      <c r="M395">
        <v>7</v>
      </c>
      <c r="N395" t="s">
        <v>19</v>
      </c>
    </row>
    <row r="396" spans="1:14" x14ac:dyDescent="0.35">
      <c r="A396" t="s">
        <v>1198</v>
      </c>
      <c r="B396">
        <v>45</v>
      </c>
      <c r="C396" t="s">
        <v>1594</v>
      </c>
      <c r="D396" t="s">
        <v>20</v>
      </c>
      <c r="E396" t="s">
        <v>26</v>
      </c>
      <c r="F396" t="s">
        <v>30</v>
      </c>
      <c r="G396" s="1">
        <v>45990</v>
      </c>
      <c r="H396" t="s">
        <v>39</v>
      </c>
      <c r="I396">
        <v>33544.367599028643</v>
      </c>
      <c r="J396">
        <v>391</v>
      </c>
      <c r="K396" t="s">
        <v>18</v>
      </c>
      <c r="L396" s="1">
        <v>45997</v>
      </c>
      <c r="M396">
        <v>7</v>
      </c>
      <c r="N396" t="s">
        <v>31</v>
      </c>
    </row>
    <row r="397" spans="1:14" x14ac:dyDescent="0.35">
      <c r="A397" t="s">
        <v>1199</v>
      </c>
      <c r="B397">
        <v>48</v>
      </c>
      <c r="C397" t="s">
        <v>1594</v>
      </c>
      <c r="D397" t="s">
        <v>11</v>
      </c>
      <c r="E397" t="s">
        <v>21</v>
      </c>
      <c r="F397" t="s">
        <v>17</v>
      </c>
      <c r="G397" s="1">
        <v>45700</v>
      </c>
      <c r="H397" t="s">
        <v>36</v>
      </c>
      <c r="I397">
        <v>50780.706852468313</v>
      </c>
      <c r="J397">
        <v>203</v>
      </c>
      <c r="K397" t="s">
        <v>18</v>
      </c>
      <c r="L397" s="1">
        <v>45712</v>
      </c>
      <c r="M397">
        <v>12</v>
      </c>
      <c r="N397" t="s">
        <v>27</v>
      </c>
    </row>
    <row r="398" spans="1:14" x14ac:dyDescent="0.35">
      <c r="A398" t="s">
        <v>1200</v>
      </c>
      <c r="B398">
        <v>20</v>
      </c>
      <c r="C398" t="s">
        <v>1593</v>
      </c>
      <c r="D398" t="s">
        <v>20</v>
      </c>
      <c r="E398" t="s">
        <v>21</v>
      </c>
      <c r="F398" t="s">
        <v>24</v>
      </c>
      <c r="G398" s="1">
        <v>45872</v>
      </c>
      <c r="H398" t="s">
        <v>39</v>
      </c>
      <c r="I398">
        <v>16151.191503532271</v>
      </c>
      <c r="J398">
        <v>155</v>
      </c>
      <c r="K398" t="s">
        <v>25</v>
      </c>
      <c r="L398" s="1">
        <v>45875</v>
      </c>
      <c r="M398">
        <v>3</v>
      </c>
      <c r="N398" t="s">
        <v>15</v>
      </c>
    </row>
    <row r="399" spans="1:14" x14ac:dyDescent="0.35">
      <c r="A399" t="s">
        <v>1201</v>
      </c>
      <c r="B399">
        <v>51</v>
      </c>
      <c r="C399" t="s">
        <v>1592</v>
      </c>
      <c r="D399" t="s">
        <v>11</v>
      </c>
      <c r="E399" t="s">
        <v>12</v>
      </c>
      <c r="F399" t="s">
        <v>13</v>
      </c>
      <c r="G399" s="1">
        <v>45772</v>
      </c>
      <c r="H399" t="s">
        <v>39</v>
      </c>
      <c r="I399">
        <v>35244.17985332766</v>
      </c>
      <c r="J399">
        <v>249</v>
      </c>
      <c r="K399" t="s">
        <v>18</v>
      </c>
      <c r="L399" s="1">
        <v>45783</v>
      </c>
      <c r="M399">
        <v>11</v>
      </c>
      <c r="N399" t="s">
        <v>27</v>
      </c>
    </row>
    <row r="400" spans="1:14" x14ac:dyDescent="0.35">
      <c r="A400" t="s">
        <v>1202</v>
      </c>
      <c r="B400">
        <v>36</v>
      </c>
      <c r="C400" t="s">
        <v>1594</v>
      </c>
      <c r="D400" t="s">
        <v>20</v>
      </c>
      <c r="E400" t="s">
        <v>34</v>
      </c>
      <c r="F400" t="s">
        <v>24</v>
      </c>
      <c r="G400" s="1">
        <v>45935</v>
      </c>
      <c r="H400" t="s">
        <v>39</v>
      </c>
      <c r="I400">
        <v>8160.8807907911541</v>
      </c>
      <c r="J400">
        <v>249</v>
      </c>
      <c r="K400" t="s">
        <v>25</v>
      </c>
      <c r="L400" s="1">
        <v>45937</v>
      </c>
      <c r="M400">
        <v>2</v>
      </c>
      <c r="N400" t="s">
        <v>31</v>
      </c>
    </row>
    <row r="401" spans="1:14" x14ac:dyDescent="0.35">
      <c r="A401" t="s">
        <v>1203</v>
      </c>
      <c r="B401">
        <v>38</v>
      </c>
      <c r="C401" t="s">
        <v>1594</v>
      </c>
      <c r="D401" t="s">
        <v>11</v>
      </c>
      <c r="E401" t="s">
        <v>16</v>
      </c>
      <c r="F401" t="s">
        <v>17</v>
      </c>
      <c r="G401" s="1">
        <v>45948</v>
      </c>
      <c r="H401" t="s">
        <v>37</v>
      </c>
      <c r="I401">
        <v>21407.341468923139</v>
      </c>
      <c r="J401">
        <v>452</v>
      </c>
      <c r="K401" t="s">
        <v>25</v>
      </c>
      <c r="L401" s="1">
        <v>45951</v>
      </c>
      <c r="M401">
        <v>3</v>
      </c>
      <c r="N401" t="s">
        <v>22</v>
      </c>
    </row>
    <row r="402" spans="1:14" x14ac:dyDescent="0.35">
      <c r="A402" t="s">
        <v>1204</v>
      </c>
      <c r="B402">
        <v>49</v>
      </c>
      <c r="C402" t="s">
        <v>1594</v>
      </c>
      <c r="D402" t="s">
        <v>11</v>
      </c>
      <c r="E402" t="s">
        <v>33</v>
      </c>
      <c r="F402" t="s">
        <v>24</v>
      </c>
      <c r="G402" s="1">
        <v>46007</v>
      </c>
      <c r="H402" t="s">
        <v>36</v>
      </c>
      <c r="I402">
        <v>39073.938103135282</v>
      </c>
      <c r="J402">
        <v>180</v>
      </c>
      <c r="K402" t="s">
        <v>18</v>
      </c>
      <c r="L402" s="1">
        <v>46015</v>
      </c>
      <c r="M402">
        <v>8</v>
      </c>
      <c r="N402" t="s">
        <v>27</v>
      </c>
    </row>
    <row r="403" spans="1:14" x14ac:dyDescent="0.35">
      <c r="A403" t="s">
        <v>1205</v>
      </c>
      <c r="B403">
        <v>82</v>
      </c>
      <c r="C403" t="s">
        <v>1591</v>
      </c>
      <c r="D403" t="s">
        <v>11</v>
      </c>
      <c r="E403" t="s">
        <v>33</v>
      </c>
      <c r="F403" t="s">
        <v>28</v>
      </c>
      <c r="G403" s="1">
        <v>45860</v>
      </c>
      <c r="H403" t="s">
        <v>36</v>
      </c>
      <c r="I403">
        <v>24885.568490234109</v>
      </c>
      <c r="J403">
        <v>436</v>
      </c>
      <c r="K403" t="s">
        <v>18</v>
      </c>
      <c r="L403" s="1">
        <v>45872</v>
      </c>
      <c r="M403">
        <v>12</v>
      </c>
      <c r="N403" t="s">
        <v>31</v>
      </c>
    </row>
    <row r="404" spans="1:14" x14ac:dyDescent="0.35">
      <c r="A404" t="s">
        <v>1206</v>
      </c>
      <c r="B404">
        <v>68</v>
      </c>
      <c r="C404" t="s">
        <v>1591</v>
      </c>
      <c r="D404" t="s">
        <v>11</v>
      </c>
      <c r="E404" t="s">
        <v>12</v>
      </c>
      <c r="F404" t="s">
        <v>17</v>
      </c>
      <c r="G404" s="1">
        <v>45994</v>
      </c>
      <c r="H404" t="s">
        <v>36</v>
      </c>
      <c r="I404">
        <v>42408.270812285613</v>
      </c>
      <c r="J404">
        <v>357</v>
      </c>
      <c r="K404" t="s">
        <v>25</v>
      </c>
      <c r="L404" s="1">
        <v>46006</v>
      </c>
      <c r="M404">
        <v>12</v>
      </c>
      <c r="N404" t="s">
        <v>31</v>
      </c>
    </row>
    <row r="405" spans="1:14" x14ac:dyDescent="0.35">
      <c r="A405" t="s">
        <v>1207</v>
      </c>
      <c r="B405">
        <v>64</v>
      </c>
      <c r="C405" t="s">
        <v>1592</v>
      </c>
      <c r="D405" t="s">
        <v>11</v>
      </c>
      <c r="E405" t="s">
        <v>33</v>
      </c>
      <c r="F405" t="s">
        <v>24</v>
      </c>
      <c r="G405" s="1">
        <v>45981</v>
      </c>
      <c r="H405" t="s">
        <v>39</v>
      </c>
      <c r="I405">
        <v>13074.056491834801</v>
      </c>
      <c r="J405">
        <v>293</v>
      </c>
      <c r="K405" t="s">
        <v>18</v>
      </c>
      <c r="L405" s="1">
        <v>45991</v>
      </c>
      <c r="M405">
        <v>10</v>
      </c>
      <c r="N405" t="s">
        <v>22</v>
      </c>
    </row>
    <row r="406" spans="1:14" x14ac:dyDescent="0.35">
      <c r="A406" t="s">
        <v>1208</v>
      </c>
      <c r="B406">
        <v>79</v>
      </c>
      <c r="C406" t="s">
        <v>1591</v>
      </c>
      <c r="D406" t="s">
        <v>11</v>
      </c>
      <c r="E406" t="s">
        <v>21</v>
      </c>
      <c r="F406" t="s">
        <v>13</v>
      </c>
      <c r="G406" s="1">
        <v>45851</v>
      </c>
      <c r="H406" t="s">
        <v>39</v>
      </c>
      <c r="I406">
        <v>43914.877994545917</v>
      </c>
      <c r="J406">
        <v>113</v>
      </c>
      <c r="K406" t="s">
        <v>18</v>
      </c>
      <c r="L406" s="1">
        <v>45865</v>
      </c>
      <c r="M406">
        <v>14</v>
      </c>
      <c r="N406" t="s">
        <v>19</v>
      </c>
    </row>
    <row r="407" spans="1:14" x14ac:dyDescent="0.35">
      <c r="A407" t="s">
        <v>1209</v>
      </c>
      <c r="B407">
        <v>36</v>
      </c>
      <c r="C407" t="s">
        <v>1594</v>
      </c>
      <c r="D407" t="s">
        <v>11</v>
      </c>
      <c r="E407" t="s">
        <v>16</v>
      </c>
      <c r="F407" t="s">
        <v>24</v>
      </c>
      <c r="G407" s="1">
        <v>45838</v>
      </c>
      <c r="H407" t="s">
        <v>39</v>
      </c>
      <c r="I407">
        <v>41056.29222756235</v>
      </c>
      <c r="J407">
        <v>319</v>
      </c>
      <c r="K407" t="s">
        <v>25</v>
      </c>
      <c r="L407" s="1">
        <v>45851</v>
      </c>
      <c r="M407">
        <v>13</v>
      </c>
      <c r="N407" t="s">
        <v>22</v>
      </c>
    </row>
    <row r="408" spans="1:14" x14ac:dyDescent="0.35">
      <c r="A408" t="s">
        <v>1210</v>
      </c>
      <c r="B408">
        <v>59</v>
      </c>
      <c r="C408" t="s">
        <v>1592</v>
      </c>
      <c r="D408" t="s">
        <v>20</v>
      </c>
      <c r="E408" t="s">
        <v>29</v>
      </c>
      <c r="F408" t="s">
        <v>17</v>
      </c>
      <c r="G408" s="1">
        <v>45968</v>
      </c>
      <c r="H408" t="s">
        <v>37</v>
      </c>
      <c r="I408">
        <v>6921.0203757044292</v>
      </c>
      <c r="J408">
        <v>179</v>
      </c>
      <c r="K408" t="s">
        <v>18</v>
      </c>
      <c r="L408" s="1">
        <v>45979</v>
      </c>
      <c r="M408">
        <v>11</v>
      </c>
      <c r="N408" t="s">
        <v>27</v>
      </c>
    </row>
    <row r="409" spans="1:14" x14ac:dyDescent="0.35">
      <c r="A409" t="s">
        <v>1211</v>
      </c>
      <c r="B409">
        <v>85</v>
      </c>
      <c r="C409" t="s">
        <v>1591</v>
      </c>
      <c r="D409" t="s">
        <v>11</v>
      </c>
      <c r="E409" t="s">
        <v>34</v>
      </c>
      <c r="F409" t="s">
        <v>24</v>
      </c>
      <c r="G409" s="1">
        <v>45673</v>
      </c>
      <c r="H409" t="s">
        <v>39</v>
      </c>
      <c r="I409">
        <v>18326.850650381581</v>
      </c>
      <c r="J409">
        <v>293</v>
      </c>
      <c r="K409" t="s">
        <v>25</v>
      </c>
      <c r="L409" s="1">
        <v>45678</v>
      </c>
      <c r="M409">
        <v>5</v>
      </c>
      <c r="N409" t="s">
        <v>22</v>
      </c>
    </row>
    <row r="410" spans="1:14" x14ac:dyDescent="0.35">
      <c r="A410" t="s">
        <v>1212</v>
      </c>
      <c r="B410">
        <v>67</v>
      </c>
      <c r="C410" t="s">
        <v>1591</v>
      </c>
      <c r="D410" t="s">
        <v>11</v>
      </c>
      <c r="E410" t="s">
        <v>21</v>
      </c>
      <c r="F410" t="s">
        <v>32</v>
      </c>
      <c r="G410" s="1">
        <v>45715</v>
      </c>
      <c r="H410" t="s">
        <v>39</v>
      </c>
      <c r="I410">
        <v>22740.130276558069</v>
      </c>
      <c r="J410">
        <v>487</v>
      </c>
      <c r="K410" t="s">
        <v>18</v>
      </c>
      <c r="L410" s="1">
        <v>45720</v>
      </c>
      <c r="M410">
        <v>5</v>
      </c>
      <c r="N410" t="s">
        <v>31</v>
      </c>
    </row>
    <row r="411" spans="1:14" x14ac:dyDescent="0.35">
      <c r="A411" t="s">
        <v>1213</v>
      </c>
      <c r="B411">
        <v>58</v>
      </c>
      <c r="C411" t="s">
        <v>1592</v>
      </c>
      <c r="D411" t="s">
        <v>11</v>
      </c>
      <c r="E411" t="s">
        <v>23</v>
      </c>
      <c r="F411" t="s">
        <v>32</v>
      </c>
      <c r="G411" s="1">
        <v>45864</v>
      </c>
      <c r="H411" t="s">
        <v>37</v>
      </c>
      <c r="I411">
        <v>44972.17289651301</v>
      </c>
      <c r="J411">
        <v>202</v>
      </c>
      <c r="K411" t="s">
        <v>25</v>
      </c>
      <c r="L411" s="1">
        <v>45869</v>
      </c>
      <c r="M411">
        <v>5</v>
      </c>
      <c r="N411" t="s">
        <v>19</v>
      </c>
    </row>
    <row r="412" spans="1:14" x14ac:dyDescent="0.35">
      <c r="A412" t="s">
        <v>1214</v>
      </c>
      <c r="B412">
        <v>66</v>
      </c>
      <c r="C412" t="s">
        <v>1591</v>
      </c>
      <c r="D412" t="s">
        <v>20</v>
      </c>
      <c r="E412" t="s">
        <v>26</v>
      </c>
      <c r="F412" t="s">
        <v>24</v>
      </c>
      <c r="G412" s="1">
        <v>46004</v>
      </c>
      <c r="H412" t="s">
        <v>39</v>
      </c>
      <c r="I412">
        <v>34254.69091297358</v>
      </c>
      <c r="J412">
        <v>411</v>
      </c>
      <c r="K412" t="s">
        <v>18</v>
      </c>
      <c r="L412" s="1">
        <v>46006</v>
      </c>
      <c r="M412">
        <v>2</v>
      </c>
      <c r="N412" t="s">
        <v>15</v>
      </c>
    </row>
    <row r="413" spans="1:14" x14ac:dyDescent="0.35">
      <c r="A413" t="s">
        <v>1215</v>
      </c>
      <c r="B413">
        <v>62</v>
      </c>
      <c r="C413" t="s">
        <v>1592</v>
      </c>
      <c r="D413" t="s">
        <v>20</v>
      </c>
      <c r="E413" t="s">
        <v>21</v>
      </c>
      <c r="F413" t="s">
        <v>28</v>
      </c>
      <c r="G413" s="1">
        <v>45977</v>
      </c>
      <c r="H413" t="s">
        <v>36</v>
      </c>
      <c r="I413">
        <v>3182.7095638784249</v>
      </c>
      <c r="J413">
        <v>150</v>
      </c>
      <c r="K413" t="s">
        <v>25</v>
      </c>
      <c r="L413" s="1">
        <v>45985</v>
      </c>
      <c r="M413">
        <v>8</v>
      </c>
      <c r="N413" t="s">
        <v>27</v>
      </c>
    </row>
    <row r="414" spans="1:14" x14ac:dyDescent="0.35">
      <c r="A414" t="s">
        <v>1216</v>
      </c>
      <c r="B414">
        <v>53</v>
      </c>
      <c r="C414" t="s">
        <v>1592</v>
      </c>
      <c r="D414" t="s">
        <v>11</v>
      </c>
      <c r="E414" t="s">
        <v>21</v>
      </c>
      <c r="F414" t="s">
        <v>32</v>
      </c>
      <c r="G414" s="1">
        <v>45680</v>
      </c>
      <c r="H414" t="s">
        <v>37</v>
      </c>
      <c r="I414">
        <v>14210.81732100748</v>
      </c>
      <c r="J414">
        <v>409</v>
      </c>
      <c r="K414" t="s">
        <v>18</v>
      </c>
      <c r="L414" s="1">
        <v>45689</v>
      </c>
      <c r="M414">
        <v>9</v>
      </c>
      <c r="N414" t="s">
        <v>19</v>
      </c>
    </row>
    <row r="415" spans="1:14" x14ac:dyDescent="0.35">
      <c r="A415" t="s">
        <v>1217</v>
      </c>
      <c r="B415">
        <v>37</v>
      </c>
      <c r="C415" t="s">
        <v>1594</v>
      </c>
      <c r="D415" t="s">
        <v>20</v>
      </c>
      <c r="E415" t="s">
        <v>26</v>
      </c>
      <c r="F415" t="s">
        <v>17</v>
      </c>
      <c r="G415" s="1">
        <v>45693</v>
      </c>
      <c r="H415" t="s">
        <v>36</v>
      </c>
      <c r="I415">
        <v>19187.916437277308</v>
      </c>
      <c r="J415">
        <v>321</v>
      </c>
      <c r="K415" t="s">
        <v>18</v>
      </c>
      <c r="L415" s="1">
        <v>45696</v>
      </c>
      <c r="M415">
        <v>3</v>
      </c>
      <c r="N415" t="s">
        <v>31</v>
      </c>
    </row>
    <row r="416" spans="1:14" x14ac:dyDescent="0.35">
      <c r="A416" t="s">
        <v>1218</v>
      </c>
      <c r="B416">
        <v>76</v>
      </c>
      <c r="C416" t="s">
        <v>1591</v>
      </c>
      <c r="D416" t="s">
        <v>20</v>
      </c>
      <c r="E416" t="s">
        <v>34</v>
      </c>
      <c r="F416" t="s">
        <v>30</v>
      </c>
      <c r="G416" s="1">
        <v>45800</v>
      </c>
      <c r="H416" t="s">
        <v>39</v>
      </c>
      <c r="I416">
        <v>45996.556668530611</v>
      </c>
      <c r="J416">
        <v>221</v>
      </c>
      <c r="K416" t="s">
        <v>25</v>
      </c>
      <c r="L416" s="1">
        <v>45808</v>
      </c>
      <c r="M416">
        <v>8</v>
      </c>
      <c r="N416" t="s">
        <v>19</v>
      </c>
    </row>
    <row r="417" spans="1:14" x14ac:dyDescent="0.35">
      <c r="A417" t="s">
        <v>1219</v>
      </c>
      <c r="B417">
        <v>73</v>
      </c>
      <c r="C417" t="s">
        <v>1591</v>
      </c>
      <c r="D417" t="s">
        <v>11</v>
      </c>
      <c r="E417" t="s">
        <v>16</v>
      </c>
      <c r="F417" t="s">
        <v>28</v>
      </c>
      <c r="G417" s="1">
        <v>45913</v>
      </c>
      <c r="H417" t="s">
        <v>36</v>
      </c>
      <c r="I417">
        <v>49464.130858971068</v>
      </c>
      <c r="J417">
        <v>410</v>
      </c>
      <c r="K417" t="s">
        <v>25</v>
      </c>
      <c r="L417" s="1">
        <v>45915</v>
      </c>
      <c r="M417">
        <v>2</v>
      </c>
      <c r="N417" t="s">
        <v>22</v>
      </c>
    </row>
    <row r="418" spans="1:14" x14ac:dyDescent="0.35">
      <c r="A418" t="s">
        <v>1220</v>
      </c>
      <c r="B418">
        <v>20</v>
      </c>
      <c r="C418" t="s">
        <v>1593</v>
      </c>
      <c r="D418" t="s">
        <v>20</v>
      </c>
      <c r="E418" t="s">
        <v>16</v>
      </c>
      <c r="F418" t="s">
        <v>13</v>
      </c>
      <c r="G418" s="1">
        <v>45918</v>
      </c>
      <c r="H418" t="s">
        <v>36</v>
      </c>
      <c r="I418">
        <v>34548.142722503311</v>
      </c>
      <c r="J418">
        <v>194</v>
      </c>
      <c r="K418" t="s">
        <v>25</v>
      </c>
      <c r="L418" s="1">
        <v>45926</v>
      </c>
      <c r="M418">
        <v>8</v>
      </c>
      <c r="N418" t="s">
        <v>27</v>
      </c>
    </row>
    <row r="419" spans="1:14" x14ac:dyDescent="0.35">
      <c r="A419" t="s">
        <v>1221</v>
      </c>
      <c r="B419">
        <v>24</v>
      </c>
      <c r="C419" t="s">
        <v>1593</v>
      </c>
      <c r="D419" t="s">
        <v>11</v>
      </c>
      <c r="E419" t="s">
        <v>12</v>
      </c>
      <c r="F419" t="s">
        <v>30</v>
      </c>
      <c r="G419" s="1">
        <v>45887</v>
      </c>
      <c r="H419" t="s">
        <v>36</v>
      </c>
      <c r="I419">
        <v>8985.0292546301807</v>
      </c>
      <c r="J419">
        <v>359</v>
      </c>
      <c r="K419" t="s">
        <v>18</v>
      </c>
      <c r="L419" s="1">
        <v>45894</v>
      </c>
      <c r="M419">
        <v>7</v>
      </c>
      <c r="N419" t="s">
        <v>19</v>
      </c>
    </row>
    <row r="420" spans="1:14" x14ac:dyDescent="0.35">
      <c r="A420" t="s">
        <v>1222</v>
      </c>
      <c r="B420">
        <v>53</v>
      </c>
      <c r="C420" t="s">
        <v>1592</v>
      </c>
      <c r="D420" t="s">
        <v>11</v>
      </c>
      <c r="E420" t="s">
        <v>12</v>
      </c>
      <c r="F420" t="s">
        <v>24</v>
      </c>
      <c r="G420" s="1">
        <v>45840</v>
      </c>
      <c r="H420" t="s">
        <v>39</v>
      </c>
      <c r="I420">
        <v>44103.391297167829</v>
      </c>
      <c r="J420">
        <v>430</v>
      </c>
      <c r="K420" t="s">
        <v>25</v>
      </c>
      <c r="L420" s="1">
        <v>45848</v>
      </c>
      <c r="M420">
        <v>8</v>
      </c>
      <c r="N420" t="s">
        <v>27</v>
      </c>
    </row>
    <row r="421" spans="1:14" x14ac:dyDescent="0.35">
      <c r="A421" t="s">
        <v>1223</v>
      </c>
      <c r="B421">
        <v>28</v>
      </c>
      <c r="C421" t="s">
        <v>1593</v>
      </c>
      <c r="D421" t="s">
        <v>20</v>
      </c>
      <c r="E421" t="s">
        <v>34</v>
      </c>
      <c r="F421" t="s">
        <v>30</v>
      </c>
      <c r="G421" s="1">
        <v>45722</v>
      </c>
      <c r="H421" t="s">
        <v>37</v>
      </c>
      <c r="I421">
        <v>43367.122493264913</v>
      </c>
      <c r="J421">
        <v>201</v>
      </c>
      <c r="K421" t="s">
        <v>25</v>
      </c>
      <c r="L421" s="1">
        <v>45726</v>
      </c>
      <c r="M421">
        <v>4</v>
      </c>
      <c r="N421" t="s">
        <v>31</v>
      </c>
    </row>
    <row r="422" spans="1:14" x14ac:dyDescent="0.35">
      <c r="A422" t="s">
        <v>1224</v>
      </c>
      <c r="B422">
        <v>69</v>
      </c>
      <c r="C422" t="s">
        <v>1591</v>
      </c>
      <c r="D422" t="s">
        <v>20</v>
      </c>
      <c r="E422" t="s">
        <v>12</v>
      </c>
      <c r="F422" t="s">
        <v>24</v>
      </c>
      <c r="G422" s="1">
        <v>45936</v>
      </c>
      <c r="H422" t="s">
        <v>36</v>
      </c>
      <c r="I422">
        <v>11610.636907342951</v>
      </c>
      <c r="J422">
        <v>114</v>
      </c>
      <c r="K422" t="s">
        <v>18</v>
      </c>
      <c r="L422" s="1">
        <v>45944</v>
      </c>
      <c r="M422">
        <v>8</v>
      </c>
      <c r="N422" t="s">
        <v>22</v>
      </c>
    </row>
    <row r="423" spans="1:14" x14ac:dyDescent="0.35">
      <c r="A423" t="s">
        <v>1225</v>
      </c>
      <c r="B423">
        <v>29</v>
      </c>
      <c r="C423" t="s">
        <v>1593</v>
      </c>
      <c r="D423" t="s">
        <v>20</v>
      </c>
      <c r="E423" t="s">
        <v>26</v>
      </c>
      <c r="F423" t="s">
        <v>17</v>
      </c>
      <c r="G423" s="1">
        <v>45977</v>
      </c>
      <c r="H423" t="s">
        <v>37</v>
      </c>
      <c r="I423">
        <v>22117.356454379391</v>
      </c>
      <c r="J423">
        <v>241</v>
      </c>
      <c r="K423" t="s">
        <v>18</v>
      </c>
      <c r="L423" s="1">
        <v>45987</v>
      </c>
      <c r="M423">
        <v>10</v>
      </c>
      <c r="N423" t="s">
        <v>15</v>
      </c>
    </row>
    <row r="424" spans="1:14" x14ac:dyDescent="0.35">
      <c r="A424" t="s">
        <v>1226</v>
      </c>
      <c r="B424">
        <v>75</v>
      </c>
      <c r="C424" t="s">
        <v>1591</v>
      </c>
      <c r="D424" t="s">
        <v>20</v>
      </c>
      <c r="E424" t="s">
        <v>23</v>
      </c>
      <c r="F424" t="s">
        <v>24</v>
      </c>
      <c r="G424" s="1">
        <v>45682</v>
      </c>
      <c r="H424" t="s">
        <v>37</v>
      </c>
      <c r="I424">
        <v>38396.924370638902</v>
      </c>
      <c r="J424">
        <v>228</v>
      </c>
      <c r="K424" t="s">
        <v>18</v>
      </c>
      <c r="L424" s="1">
        <v>45690</v>
      </c>
      <c r="M424">
        <v>8</v>
      </c>
      <c r="N424" t="s">
        <v>22</v>
      </c>
    </row>
    <row r="425" spans="1:14" x14ac:dyDescent="0.35">
      <c r="A425" t="s">
        <v>1227</v>
      </c>
      <c r="B425">
        <v>25</v>
      </c>
      <c r="C425" t="s">
        <v>1593</v>
      </c>
      <c r="D425" t="s">
        <v>20</v>
      </c>
      <c r="E425" t="s">
        <v>26</v>
      </c>
      <c r="F425" t="s">
        <v>28</v>
      </c>
      <c r="G425" s="1">
        <v>45791</v>
      </c>
      <c r="H425" t="s">
        <v>36</v>
      </c>
      <c r="I425">
        <v>36218.558928078528</v>
      </c>
      <c r="J425">
        <v>334</v>
      </c>
      <c r="K425" t="s">
        <v>25</v>
      </c>
      <c r="L425" s="1">
        <v>45794</v>
      </c>
      <c r="M425">
        <v>3</v>
      </c>
      <c r="N425" t="s">
        <v>15</v>
      </c>
    </row>
    <row r="426" spans="1:14" x14ac:dyDescent="0.35">
      <c r="A426" t="s">
        <v>1228</v>
      </c>
      <c r="B426">
        <v>65</v>
      </c>
      <c r="C426" t="s">
        <v>1592</v>
      </c>
      <c r="D426" t="s">
        <v>11</v>
      </c>
      <c r="E426" t="s">
        <v>21</v>
      </c>
      <c r="F426" t="s">
        <v>32</v>
      </c>
      <c r="G426" s="1">
        <v>45663</v>
      </c>
      <c r="H426" t="s">
        <v>37</v>
      </c>
      <c r="I426">
        <v>11230.496505544081</v>
      </c>
      <c r="J426">
        <v>150</v>
      </c>
      <c r="K426" t="s">
        <v>18</v>
      </c>
      <c r="L426" s="1">
        <v>45677</v>
      </c>
      <c r="M426">
        <v>14</v>
      </c>
      <c r="N426" t="s">
        <v>31</v>
      </c>
    </row>
    <row r="427" spans="1:14" x14ac:dyDescent="0.35">
      <c r="A427" t="s">
        <v>1229</v>
      </c>
      <c r="B427">
        <v>60</v>
      </c>
      <c r="C427" t="s">
        <v>1592</v>
      </c>
      <c r="D427" t="s">
        <v>20</v>
      </c>
      <c r="E427" t="s">
        <v>23</v>
      </c>
      <c r="F427" t="s">
        <v>17</v>
      </c>
      <c r="G427" s="1">
        <v>45681</v>
      </c>
      <c r="H427" t="s">
        <v>37</v>
      </c>
      <c r="I427">
        <v>13848.439557141481</v>
      </c>
      <c r="J427">
        <v>351</v>
      </c>
      <c r="K427" t="s">
        <v>25</v>
      </c>
      <c r="L427" s="1">
        <v>45684</v>
      </c>
      <c r="M427">
        <v>3</v>
      </c>
      <c r="N427" t="s">
        <v>15</v>
      </c>
    </row>
    <row r="428" spans="1:14" x14ac:dyDescent="0.35">
      <c r="A428" t="s">
        <v>1230</v>
      </c>
      <c r="B428">
        <v>39</v>
      </c>
      <c r="C428" t="s">
        <v>1594</v>
      </c>
      <c r="D428" t="s">
        <v>20</v>
      </c>
      <c r="E428" t="s">
        <v>33</v>
      </c>
      <c r="F428" t="s">
        <v>13</v>
      </c>
      <c r="G428" s="1">
        <v>45715</v>
      </c>
      <c r="H428" t="s">
        <v>36</v>
      </c>
      <c r="I428">
        <v>28189.51024160485</v>
      </c>
      <c r="J428">
        <v>432</v>
      </c>
      <c r="K428" t="s">
        <v>18</v>
      </c>
      <c r="L428" s="1">
        <v>45722</v>
      </c>
      <c r="M428">
        <v>7</v>
      </c>
      <c r="N428" t="s">
        <v>15</v>
      </c>
    </row>
    <row r="429" spans="1:14" x14ac:dyDescent="0.35">
      <c r="A429" t="s">
        <v>1231</v>
      </c>
      <c r="B429">
        <v>64</v>
      </c>
      <c r="C429" t="s">
        <v>1592</v>
      </c>
      <c r="D429" t="s">
        <v>11</v>
      </c>
      <c r="E429" t="s">
        <v>21</v>
      </c>
      <c r="F429" t="s">
        <v>17</v>
      </c>
      <c r="G429" s="1">
        <v>45785</v>
      </c>
      <c r="H429" t="s">
        <v>39</v>
      </c>
      <c r="I429">
        <v>12320.889095153711</v>
      </c>
      <c r="J429">
        <v>229</v>
      </c>
      <c r="K429" t="s">
        <v>25</v>
      </c>
      <c r="L429" s="1">
        <v>45799</v>
      </c>
      <c r="M429">
        <v>14</v>
      </c>
      <c r="N429" t="s">
        <v>19</v>
      </c>
    </row>
    <row r="430" spans="1:14" x14ac:dyDescent="0.35">
      <c r="A430" t="s">
        <v>1232</v>
      </c>
      <c r="B430">
        <v>69</v>
      </c>
      <c r="C430" t="s">
        <v>1591</v>
      </c>
      <c r="D430" t="s">
        <v>11</v>
      </c>
      <c r="E430" t="s">
        <v>34</v>
      </c>
      <c r="F430" t="s">
        <v>13</v>
      </c>
      <c r="G430" s="1">
        <v>45824</v>
      </c>
      <c r="H430" t="s">
        <v>36</v>
      </c>
      <c r="I430">
        <v>979.26284857347082</v>
      </c>
      <c r="J430">
        <v>431</v>
      </c>
      <c r="K430" t="s">
        <v>25</v>
      </c>
      <c r="L430" s="1">
        <v>45828</v>
      </c>
      <c r="M430">
        <v>4</v>
      </c>
      <c r="N430" t="s">
        <v>31</v>
      </c>
    </row>
    <row r="431" spans="1:14" x14ac:dyDescent="0.35">
      <c r="A431" t="s">
        <v>1233</v>
      </c>
      <c r="B431">
        <v>62</v>
      </c>
      <c r="C431" t="s">
        <v>1592</v>
      </c>
      <c r="D431" t="s">
        <v>20</v>
      </c>
      <c r="E431" t="s">
        <v>29</v>
      </c>
      <c r="F431" t="s">
        <v>28</v>
      </c>
      <c r="G431" s="1">
        <v>45957</v>
      </c>
      <c r="H431" t="s">
        <v>38</v>
      </c>
      <c r="I431">
        <v>36169.217080605224</v>
      </c>
      <c r="J431">
        <v>233</v>
      </c>
      <c r="K431" t="s">
        <v>25</v>
      </c>
      <c r="L431" s="1">
        <v>45959</v>
      </c>
      <c r="M431">
        <v>2</v>
      </c>
      <c r="N431" t="s">
        <v>31</v>
      </c>
    </row>
    <row r="432" spans="1:14" x14ac:dyDescent="0.35">
      <c r="A432" t="s">
        <v>1234</v>
      </c>
      <c r="B432">
        <v>84</v>
      </c>
      <c r="C432" t="s">
        <v>1591</v>
      </c>
      <c r="D432" t="s">
        <v>11</v>
      </c>
      <c r="E432" t="s">
        <v>34</v>
      </c>
      <c r="F432" t="s">
        <v>13</v>
      </c>
      <c r="G432" s="1">
        <v>45680</v>
      </c>
      <c r="H432" t="s">
        <v>37</v>
      </c>
      <c r="I432">
        <v>45256.486445423783</v>
      </c>
      <c r="J432">
        <v>335</v>
      </c>
      <c r="K432" t="s">
        <v>18</v>
      </c>
      <c r="L432" s="1">
        <v>45684</v>
      </c>
      <c r="M432">
        <v>4</v>
      </c>
      <c r="N432" t="s">
        <v>22</v>
      </c>
    </row>
    <row r="433" spans="1:14" x14ac:dyDescent="0.35">
      <c r="A433" t="s">
        <v>1235</v>
      </c>
      <c r="B433">
        <v>26</v>
      </c>
      <c r="C433" t="s">
        <v>1593</v>
      </c>
      <c r="D433" t="s">
        <v>11</v>
      </c>
      <c r="E433" t="s">
        <v>23</v>
      </c>
      <c r="F433" t="s">
        <v>17</v>
      </c>
      <c r="G433" s="1">
        <v>45961</v>
      </c>
      <c r="H433" t="s">
        <v>37</v>
      </c>
      <c r="I433">
        <v>8122.839903504102</v>
      </c>
      <c r="J433">
        <v>425</v>
      </c>
      <c r="K433" t="s">
        <v>18</v>
      </c>
      <c r="L433" s="1">
        <v>45964</v>
      </c>
      <c r="M433">
        <v>3</v>
      </c>
      <c r="N433" t="s">
        <v>19</v>
      </c>
    </row>
    <row r="434" spans="1:14" x14ac:dyDescent="0.35">
      <c r="A434" t="s">
        <v>1236</v>
      </c>
      <c r="B434">
        <v>52</v>
      </c>
      <c r="C434" t="s">
        <v>1592</v>
      </c>
      <c r="D434" t="s">
        <v>20</v>
      </c>
      <c r="E434" t="s">
        <v>12</v>
      </c>
      <c r="F434" t="s">
        <v>24</v>
      </c>
      <c r="G434" s="1">
        <v>45900</v>
      </c>
      <c r="H434" t="s">
        <v>39</v>
      </c>
      <c r="I434">
        <v>2725.3809771642909</v>
      </c>
      <c r="J434">
        <v>299</v>
      </c>
      <c r="K434" t="s">
        <v>25</v>
      </c>
      <c r="L434" s="1">
        <v>45907</v>
      </c>
      <c r="M434">
        <v>7</v>
      </c>
      <c r="N434" t="s">
        <v>15</v>
      </c>
    </row>
    <row r="435" spans="1:14" x14ac:dyDescent="0.35">
      <c r="A435" t="s">
        <v>1237</v>
      </c>
      <c r="B435">
        <v>35</v>
      </c>
      <c r="C435" t="s">
        <v>1593</v>
      </c>
      <c r="D435" t="s">
        <v>20</v>
      </c>
      <c r="E435" t="s">
        <v>33</v>
      </c>
      <c r="F435" t="s">
        <v>24</v>
      </c>
      <c r="G435" s="1">
        <v>45677</v>
      </c>
      <c r="H435" t="s">
        <v>38</v>
      </c>
      <c r="I435">
        <v>40250.949663900887</v>
      </c>
      <c r="J435">
        <v>329</v>
      </c>
      <c r="K435" t="s">
        <v>18</v>
      </c>
      <c r="L435" s="1">
        <v>45688</v>
      </c>
      <c r="M435">
        <v>11</v>
      </c>
      <c r="N435" t="s">
        <v>22</v>
      </c>
    </row>
    <row r="436" spans="1:14" x14ac:dyDescent="0.35">
      <c r="A436" t="s">
        <v>1238</v>
      </c>
      <c r="B436">
        <v>67</v>
      </c>
      <c r="C436" t="s">
        <v>1591</v>
      </c>
      <c r="D436" t="s">
        <v>20</v>
      </c>
      <c r="E436" t="s">
        <v>26</v>
      </c>
      <c r="F436" t="s">
        <v>17</v>
      </c>
      <c r="G436" s="1">
        <v>45818</v>
      </c>
      <c r="H436" t="s">
        <v>36</v>
      </c>
      <c r="I436">
        <v>10501.38419646004</v>
      </c>
      <c r="J436">
        <v>176</v>
      </c>
      <c r="K436" t="s">
        <v>18</v>
      </c>
      <c r="L436" s="1">
        <v>45829</v>
      </c>
      <c r="M436">
        <v>11</v>
      </c>
      <c r="N436" t="s">
        <v>15</v>
      </c>
    </row>
    <row r="437" spans="1:14" x14ac:dyDescent="0.35">
      <c r="A437" t="s">
        <v>1239</v>
      </c>
      <c r="B437">
        <v>52</v>
      </c>
      <c r="C437" t="s">
        <v>1592</v>
      </c>
      <c r="D437" t="s">
        <v>11</v>
      </c>
      <c r="E437" t="s">
        <v>26</v>
      </c>
      <c r="F437" t="s">
        <v>30</v>
      </c>
      <c r="G437" s="1">
        <v>45672</v>
      </c>
      <c r="H437" t="s">
        <v>38</v>
      </c>
      <c r="I437">
        <v>12968.321546223169</v>
      </c>
      <c r="J437">
        <v>338</v>
      </c>
      <c r="K437" t="s">
        <v>18</v>
      </c>
      <c r="L437" s="1">
        <v>45683</v>
      </c>
      <c r="M437">
        <v>11</v>
      </c>
      <c r="N437" t="s">
        <v>19</v>
      </c>
    </row>
    <row r="438" spans="1:14" x14ac:dyDescent="0.35">
      <c r="A438" t="s">
        <v>1240</v>
      </c>
      <c r="B438">
        <v>53</v>
      </c>
      <c r="C438" t="s">
        <v>1592</v>
      </c>
      <c r="D438" t="s">
        <v>20</v>
      </c>
      <c r="E438" t="s">
        <v>33</v>
      </c>
      <c r="F438" t="s">
        <v>13</v>
      </c>
      <c r="G438" s="1">
        <v>45872</v>
      </c>
      <c r="H438" t="s">
        <v>36</v>
      </c>
      <c r="I438">
        <v>27209.852533162171</v>
      </c>
      <c r="J438">
        <v>213</v>
      </c>
      <c r="K438" t="s">
        <v>25</v>
      </c>
      <c r="L438" s="1">
        <v>45873</v>
      </c>
      <c r="M438">
        <v>1</v>
      </c>
      <c r="N438" t="s">
        <v>27</v>
      </c>
    </row>
    <row r="439" spans="1:14" x14ac:dyDescent="0.35">
      <c r="A439" t="s">
        <v>1241</v>
      </c>
      <c r="B439">
        <v>54</v>
      </c>
      <c r="C439" t="s">
        <v>1592</v>
      </c>
      <c r="D439" t="s">
        <v>11</v>
      </c>
      <c r="E439" t="s">
        <v>26</v>
      </c>
      <c r="F439" t="s">
        <v>28</v>
      </c>
      <c r="G439" s="1">
        <v>45674</v>
      </c>
      <c r="H439" t="s">
        <v>38</v>
      </c>
      <c r="I439">
        <v>21650.838923354058</v>
      </c>
      <c r="J439">
        <v>151</v>
      </c>
      <c r="K439" t="s">
        <v>18</v>
      </c>
      <c r="L439" s="1">
        <v>45685</v>
      </c>
      <c r="M439">
        <v>11</v>
      </c>
      <c r="N439" t="s">
        <v>22</v>
      </c>
    </row>
    <row r="440" spans="1:14" x14ac:dyDescent="0.35">
      <c r="A440" t="s">
        <v>1242</v>
      </c>
      <c r="B440">
        <v>73</v>
      </c>
      <c r="C440" t="s">
        <v>1591</v>
      </c>
      <c r="D440" t="s">
        <v>11</v>
      </c>
      <c r="E440" t="s">
        <v>21</v>
      </c>
      <c r="F440" t="s">
        <v>30</v>
      </c>
      <c r="G440" s="1">
        <v>45758</v>
      </c>
      <c r="H440" t="s">
        <v>39</v>
      </c>
      <c r="I440">
        <v>28873.67381762862</v>
      </c>
      <c r="J440">
        <v>391</v>
      </c>
      <c r="K440" t="s">
        <v>18</v>
      </c>
      <c r="L440" s="1">
        <v>45760</v>
      </c>
      <c r="M440">
        <v>2</v>
      </c>
      <c r="N440" t="s">
        <v>31</v>
      </c>
    </row>
    <row r="441" spans="1:14" x14ac:dyDescent="0.35">
      <c r="A441" t="s">
        <v>1243</v>
      </c>
      <c r="B441">
        <v>46</v>
      </c>
      <c r="C441" t="s">
        <v>1594</v>
      </c>
      <c r="D441" t="s">
        <v>11</v>
      </c>
      <c r="E441" t="s">
        <v>26</v>
      </c>
      <c r="F441" t="s">
        <v>17</v>
      </c>
      <c r="G441" s="1">
        <v>45986</v>
      </c>
      <c r="H441" t="s">
        <v>37</v>
      </c>
      <c r="I441">
        <v>19702.951510836461</v>
      </c>
      <c r="J441">
        <v>246</v>
      </c>
      <c r="K441" t="s">
        <v>25</v>
      </c>
      <c r="L441" s="1">
        <v>45997</v>
      </c>
      <c r="M441">
        <v>11</v>
      </c>
      <c r="N441" t="s">
        <v>15</v>
      </c>
    </row>
    <row r="442" spans="1:14" x14ac:dyDescent="0.35">
      <c r="A442" t="s">
        <v>1244</v>
      </c>
      <c r="B442">
        <v>18</v>
      </c>
      <c r="C442" t="s">
        <v>1595</v>
      </c>
      <c r="D442" t="s">
        <v>20</v>
      </c>
      <c r="E442" t="s">
        <v>29</v>
      </c>
      <c r="F442" t="s">
        <v>24</v>
      </c>
      <c r="G442" s="1">
        <v>45725</v>
      </c>
      <c r="H442" t="s">
        <v>39</v>
      </c>
      <c r="I442">
        <v>17043.814514825899</v>
      </c>
      <c r="J442">
        <v>102</v>
      </c>
      <c r="K442" t="s">
        <v>18</v>
      </c>
      <c r="L442" s="1">
        <v>45732</v>
      </c>
      <c r="M442">
        <v>7</v>
      </c>
      <c r="N442" t="s">
        <v>31</v>
      </c>
    </row>
    <row r="443" spans="1:14" x14ac:dyDescent="0.35">
      <c r="A443" t="s">
        <v>1245</v>
      </c>
      <c r="B443">
        <v>83</v>
      </c>
      <c r="C443" t="s">
        <v>1591</v>
      </c>
      <c r="D443" t="s">
        <v>20</v>
      </c>
      <c r="E443" t="s">
        <v>12</v>
      </c>
      <c r="F443" t="s">
        <v>13</v>
      </c>
      <c r="G443" s="1">
        <v>45728</v>
      </c>
      <c r="H443" t="s">
        <v>36</v>
      </c>
      <c r="I443">
        <v>51899.015476957124</v>
      </c>
      <c r="J443">
        <v>125</v>
      </c>
      <c r="K443" t="s">
        <v>25</v>
      </c>
      <c r="L443" s="1">
        <v>45732</v>
      </c>
      <c r="M443">
        <v>4</v>
      </c>
      <c r="N443" t="s">
        <v>22</v>
      </c>
    </row>
    <row r="444" spans="1:14" x14ac:dyDescent="0.35">
      <c r="A444" t="s">
        <v>1246</v>
      </c>
      <c r="B444">
        <v>20</v>
      </c>
      <c r="C444" t="s">
        <v>1593</v>
      </c>
      <c r="D444" t="s">
        <v>11</v>
      </c>
      <c r="E444" t="s">
        <v>23</v>
      </c>
      <c r="F444" t="s">
        <v>32</v>
      </c>
      <c r="G444" s="1">
        <v>45719</v>
      </c>
      <c r="H444" t="s">
        <v>38</v>
      </c>
      <c r="I444">
        <v>10107.51885446999</v>
      </c>
      <c r="J444">
        <v>457</v>
      </c>
      <c r="K444" t="s">
        <v>25</v>
      </c>
      <c r="L444" s="1">
        <v>45724</v>
      </c>
      <c r="M444">
        <v>5</v>
      </c>
      <c r="N444" t="s">
        <v>27</v>
      </c>
    </row>
    <row r="445" spans="1:14" x14ac:dyDescent="0.35">
      <c r="A445" t="s">
        <v>1247</v>
      </c>
      <c r="B445">
        <v>38</v>
      </c>
      <c r="C445" t="s">
        <v>1594</v>
      </c>
      <c r="D445" t="s">
        <v>20</v>
      </c>
      <c r="E445" t="s">
        <v>29</v>
      </c>
      <c r="F445" t="s">
        <v>24</v>
      </c>
      <c r="G445" s="1">
        <v>45668</v>
      </c>
      <c r="H445" t="s">
        <v>36</v>
      </c>
      <c r="I445">
        <v>33796.715760554471</v>
      </c>
      <c r="J445">
        <v>456</v>
      </c>
      <c r="K445" t="s">
        <v>25</v>
      </c>
      <c r="L445" s="1">
        <v>45680</v>
      </c>
      <c r="M445">
        <v>12</v>
      </c>
      <c r="N445" t="s">
        <v>19</v>
      </c>
    </row>
    <row r="446" spans="1:14" x14ac:dyDescent="0.35">
      <c r="A446" t="s">
        <v>1248</v>
      </c>
      <c r="B446">
        <v>36</v>
      </c>
      <c r="C446" t="s">
        <v>1594</v>
      </c>
      <c r="D446" t="s">
        <v>11</v>
      </c>
      <c r="E446" t="s">
        <v>12</v>
      </c>
      <c r="F446" t="s">
        <v>24</v>
      </c>
      <c r="G446" s="1">
        <v>45769</v>
      </c>
      <c r="H446" t="s">
        <v>36</v>
      </c>
      <c r="I446">
        <v>21353.739445149571</v>
      </c>
      <c r="J446">
        <v>162</v>
      </c>
      <c r="K446" t="s">
        <v>18</v>
      </c>
      <c r="L446" s="1">
        <v>45776</v>
      </c>
      <c r="M446">
        <v>7</v>
      </c>
      <c r="N446" t="s">
        <v>15</v>
      </c>
    </row>
    <row r="447" spans="1:14" x14ac:dyDescent="0.35">
      <c r="A447" t="s">
        <v>1249</v>
      </c>
      <c r="B447">
        <v>67</v>
      </c>
      <c r="C447" t="s">
        <v>1591</v>
      </c>
      <c r="D447" t="s">
        <v>11</v>
      </c>
      <c r="E447" t="s">
        <v>33</v>
      </c>
      <c r="F447" t="s">
        <v>32</v>
      </c>
      <c r="G447" s="1">
        <v>45673</v>
      </c>
      <c r="H447" t="s">
        <v>38</v>
      </c>
      <c r="I447">
        <v>35906.188447406828</v>
      </c>
      <c r="J447">
        <v>121</v>
      </c>
      <c r="K447" t="s">
        <v>25</v>
      </c>
      <c r="L447" s="1">
        <v>45676</v>
      </c>
      <c r="M447">
        <v>3</v>
      </c>
      <c r="N447" t="s">
        <v>22</v>
      </c>
    </row>
    <row r="448" spans="1:14" x14ac:dyDescent="0.35">
      <c r="A448" t="s">
        <v>1250</v>
      </c>
      <c r="B448">
        <v>32</v>
      </c>
      <c r="C448" t="s">
        <v>1593</v>
      </c>
      <c r="D448" t="s">
        <v>11</v>
      </c>
      <c r="E448" t="s">
        <v>29</v>
      </c>
      <c r="F448" t="s">
        <v>24</v>
      </c>
      <c r="G448" s="1">
        <v>45832</v>
      </c>
      <c r="H448" t="s">
        <v>39</v>
      </c>
      <c r="I448">
        <v>41612.036883215733</v>
      </c>
      <c r="J448">
        <v>183</v>
      </c>
      <c r="K448" t="s">
        <v>18</v>
      </c>
      <c r="L448" s="1">
        <v>45837</v>
      </c>
      <c r="M448">
        <v>5</v>
      </c>
      <c r="N448" t="s">
        <v>31</v>
      </c>
    </row>
    <row r="449" spans="1:14" x14ac:dyDescent="0.35">
      <c r="A449" t="s">
        <v>1251</v>
      </c>
      <c r="B449">
        <v>30</v>
      </c>
      <c r="C449" t="s">
        <v>1593</v>
      </c>
      <c r="D449" t="s">
        <v>20</v>
      </c>
      <c r="E449" t="s">
        <v>12</v>
      </c>
      <c r="F449" t="s">
        <v>13</v>
      </c>
      <c r="G449" s="1">
        <v>45908</v>
      </c>
      <c r="H449" t="s">
        <v>38</v>
      </c>
      <c r="I449">
        <v>17404.502083819301</v>
      </c>
      <c r="J449">
        <v>489</v>
      </c>
      <c r="K449" t="s">
        <v>18</v>
      </c>
      <c r="L449" s="1">
        <v>45913</v>
      </c>
      <c r="M449">
        <v>5</v>
      </c>
      <c r="N449" t="s">
        <v>31</v>
      </c>
    </row>
    <row r="450" spans="1:14" x14ac:dyDescent="0.35">
      <c r="A450" t="s">
        <v>1252</v>
      </c>
      <c r="B450">
        <v>80</v>
      </c>
      <c r="C450" t="s">
        <v>1591</v>
      </c>
      <c r="D450" t="s">
        <v>11</v>
      </c>
      <c r="E450" t="s">
        <v>16</v>
      </c>
      <c r="F450" t="s">
        <v>17</v>
      </c>
      <c r="G450" s="1">
        <v>46001</v>
      </c>
      <c r="H450" t="s">
        <v>37</v>
      </c>
      <c r="I450">
        <v>12171.578028953651</v>
      </c>
      <c r="J450">
        <v>374</v>
      </c>
      <c r="K450" t="s">
        <v>18</v>
      </c>
      <c r="L450" s="1">
        <v>46013</v>
      </c>
      <c r="M450">
        <v>12</v>
      </c>
      <c r="N450" t="s">
        <v>15</v>
      </c>
    </row>
    <row r="451" spans="1:14" x14ac:dyDescent="0.35">
      <c r="A451" t="s">
        <v>1253</v>
      </c>
      <c r="B451">
        <v>24</v>
      </c>
      <c r="C451" t="s">
        <v>1593</v>
      </c>
      <c r="D451" t="s">
        <v>20</v>
      </c>
      <c r="E451" t="s">
        <v>26</v>
      </c>
      <c r="F451" t="s">
        <v>17</v>
      </c>
      <c r="G451" s="1">
        <v>45789</v>
      </c>
      <c r="H451" t="s">
        <v>38</v>
      </c>
      <c r="I451">
        <v>44846.735938410398</v>
      </c>
      <c r="J451">
        <v>297</v>
      </c>
      <c r="K451" t="s">
        <v>18</v>
      </c>
      <c r="L451" s="1">
        <v>45800</v>
      </c>
      <c r="M451">
        <v>11</v>
      </c>
      <c r="N451" t="s">
        <v>31</v>
      </c>
    </row>
    <row r="452" spans="1:14" x14ac:dyDescent="0.35">
      <c r="A452" t="s">
        <v>1254</v>
      </c>
      <c r="B452">
        <v>76</v>
      </c>
      <c r="C452" t="s">
        <v>1591</v>
      </c>
      <c r="D452" t="s">
        <v>11</v>
      </c>
      <c r="E452" t="s">
        <v>23</v>
      </c>
      <c r="F452" t="s">
        <v>28</v>
      </c>
      <c r="G452" s="1">
        <v>45798</v>
      </c>
      <c r="H452" t="s">
        <v>39</v>
      </c>
      <c r="I452">
        <v>18080.896523447471</v>
      </c>
      <c r="J452">
        <v>114</v>
      </c>
      <c r="K452" t="s">
        <v>18</v>
      </c>
      <c r="L452" s="1">
        <v>45806</v>
      </c>
      <c r="M452">
        <v>8</v>
      </c>
      <c r="N452" t="s">
        <v>27</v>
      </c>
    </row>
    <row r="453" spans="1:14" x14ac:dyDescent="0.35">
      <c r="A453" t="s">
        <v>1255</v>
      </c>
      <c r="B453">
        <v>57</v>
      </c>
      <c r="C453" t="s">
        <v>1592</v>
      </c>
      <c r="D453" t="s">
        <v>20</v>
      </c>
      <c r="E453" t="s">
        <v>34</v>
      </c>
      <c r="F453" t="s">
        <v>24</v>
      </c>
      <c r="G453" s="1">
        <v>45717</v>
      </c>
      <c r="H453" t="s">
        <v>37</v>
      </c>
      <c r="I453">
        <v>6126.7956341358367</v>
      </c>
      <c r="J453">
        <v>201</v>
      </c>
      <c r="K453" t="s">
        <v>18</v>
      </c>
      <c r="L453" s="1">
        <v>45718</v>
      </c>
      <c r="M453">
        <v>1</v>
      </c>
      <c r="N453" t="s">
        <v>31</v>
      </c>
    </row>
    <row r="454" spans="1:14" x14ac:dyDescent="0.35">
      <c r="A454" t="s">
        <v>1256</v>
      </c>
      <c r="B454">
        <v>84</v>
      </c>
      <c r="C454" t="s">
        <v>1591</v>
      </c>
      <c r="D454" t="s">
        <v>20</v>
      </c>
      <c r="E454" t="s">
        <v>23</v>
      </c>
      <c r="F454" t="s">
        <v>32</v>
      </c>
      <c r="G454" s="1">
        <v>45688</v>
      </c>
      <c r="H454" t="s">
        <v>39</v>
      </c>
      <c r="I454">
        <v>18933.077423108411</v>
      </c>
      <c r="J454">
        <v>304</v>
      </c>
      <c r="K454" t="s">
        <v>18</v>
      </c>
      <c r="L454" s="1">
        <v>45692</v>
      </c>
      <c r="M454">
        <v>4</v>
      </c>
      <c r="N454" t="s">
        <v>15</v>
      </c>
    </row>
    <row r="455" spans="1:14" x14ac:dyDescent="0.35">
      <c r="A455" t="s">
        <v>1257</v>
      </c>
      <c r="B455">
        <v>64</v>
      </c>
      <c r="C455" t="s">
        <v>1592</v>
      </c>
      <c r="D455" t="s">
        <v>20</v>
      </c>
      <c r="E455" t="s">
        <v>16</v>
      </c>
      <c r="F455" t="s">
        <v>28</v>
      </c>
      <c r="G455" s="1">
        <v>45931</v>
      </c>
      <c r="H455" t="s">
        <v>36</v>
      </c>
      <c r="I455">
        <v>7588.712520722218</v>
      </c>
      <c r="J455">
        <v>150</v>
      </c>
      <c r="K455" t="s">
        <v>18</v>
      </c>
      <c r="L455" s="1">
        <v>45938</v>
      </c>
      <c r="M455">
        <v>7</v>
      </c>
      <c r="N455" t="s">
        <v>31</v>
      </c>
    </row>
    <row r="456" spans="1:14" x14ac:dyDescent="0.35">
      <c r="A456" t="s">
        <v>1258</v>
      </c>
      <c r="B456">
        <v>26</v>
      </c>
      <c r="C456" t="s">
        <v>1593</v>
      </c>
      <c r="D456" t="s">
        <v>11</v>
      </c>
      <c r="E456" t="s">
        <v>26</v>
      </c>
      <c r="F456" t="s">
        <v>30</v>
      </c>
      <c r="G456" s="1">
        <v>45894</v>
      </c>
      <c r="H456" t="s">
        <v>36</v>
      </c>
      <c r="I456">
        <v>2352.7801412862168</v>
      </c>
      <c r="J456">
        <v>371</v>
      </c>
      <c r="K456" t="s">
        <v>25</v>
      </c>
      <c r="L456" s="1">
        <v>45898</v>
      </c>
      <c r="M456">
        <v>4</v>
      </c>
      <c r="N456" t="s">
        <v>19</v>
      </c>
    </row>
    <row r="457" spans="1:14" x14ac:dyDescent="0.35">
      <c r="A457" t="s">
        <v>1259</v>
      </c>
      <c r="B457">
        <v>23</v>
      </c>
      <c r="C457" t="s">
        <v>1593</v>
      </c>
      <c r="D457" t="s">
        <v>20</v>
      </c>
      <c r="E457" t="s">
        <v>34</v>
      </c>
      <c r="F457" t="s">
        <v>17</v>
      </c>
      <c r="G457" s="1">
        <v>45721</v>
      </c>
      <c r="H457" t="s">
        <v>39</v>
      </c>
      <c r="I457">
        <v>11986.480740122101</v>
      </c>
      <c r="J457">
        <v>282</v>
      </c>
      <c r="K457" t="s">
        <v>18</v>
      </c>
      <c r="L457" s="1">
        <v>45724</v>
      </c>
      <c r="M457">
        <v>3</v>
      </c>
      <c r="N457" t="s">
        <v>19</v>
      </c>
    </row>
    <row r="458" spans="1:14" x14ac:dyDescent="0.35">
      <c r="A458" t="s">
        <v>1260</v>
      </c>
      <c r="B458">
        <v>67</v>
      </c>
      <c r="C458" t="s">
        <v>1591</v>
      </c>
      <c r="D458" t="s">
        <v>20</v>
      </c>
      <c r="E458" t="s">
        <v>16</v>
      </c>
      <c r="F458" t="s">
        <v>24</v>
      </c>
      <c r="G458" s="1">
        <v>45869</v>
      </c>
      <c r="H458" t="s">
        <v>37</v>
      </c>
      <c r="I458">
        <v>3421.1417491810889</v>
      </c>
      <c r="J458">
        <v>319</v>
      </c>
      <c r="K458" t="s">
        <v>18</v>
      </c>
      <c r="L458" s="1">
        <v>45878</v>
      </c>
      <c r="M458">
        <v>9</v>
      </c>
      <c r="N458" t="s">
        <v>15</v>
      </c>
    </row>
    <row r="459" spans="1:14" x14ac:dyDescent="0.35">
      <c r="A459" t="s">
        <v>1261</v>
      </c>
      <c r="B459">
        <v>38</v>
      </c>
      <c r="C459" t="s">
        <v>1594</v>
      </c>
      <c r="D459" t="s">
        <v>11</v>
      </c>
      <c r="E459" t="s">
        <v>26</v>
      </c>
      <c r="F459" t="s">
        <v>32</v>
      </c>
      <c r="G459" s="1">
        <v>45820</v>
      </c>
      <c r="H459" t="s">
        <v>36</v>
      </c>
      <c r="I459">
        <v>7744.4729741370747</v>
      </c>
      <c r="J459">
        <v>205</v>
      </c>
      <c r="K459" t="s">
        <v>25</v>
      </c>
      <c r="L459" s="1">
        <v>45832</v>
      </c>
      <c r="M459">
        <v>12</v>
      </c>
      <c r="N459" t="s">
        <v>27</v>
      </c>
    </row>
    <row r="460" spans="1:14" x14ac:dyDescent="0.35">
      <c r="A460" t="s">
        <v>1262</v>
      </c>
      <c r="B460">
        <v>20</v>
      </c>
      <c r="C460" t="s">
        <v>1593</v>
      </c>
      <c r="D460" t="s">
        <v>20</v>
      </c>
      <c r="E460" t="s">
        <v>12</v>
      </c>
      <c r="F460" t="s">
        <v>28</v>
      </c>
      <c r="G460" s="1">
        <v>45933</v>
      </c>
      <c r="H460" t="s">
        <v>37</v>
      </c>
      <c r="I460">
        <v>17104.843252852679</v>
      </c>
      <c r="J460">
        <v>359</v>
      </c>
      <c r="K460" t="s">
        <v>18</v>
      </c>
      <c r="L460" s="1">
        <v>45943</v>
      </c>
      <c r="M460">
        <v>10</v>
      </c>
      <c r="N460" t="s">
        <v>31</v>
      </c>
    </row>
    <row r="461" spans="1:14" x14ac:dyDescent="0.35">
      <c r="A461" t="s">
        <v>1263</v>
      </c>
      <c r="B461">
        <v>29</v>
      </c>
      <c r="C461" t="s">
        <v>1593</v>
      </c>
      <c r="D461" t="s">
        <v>20</v>
      </c>
      <c r="E461" t="s">
        <v>16</v>
      </c>
      <c r="F461" t="s">
        <v>30</v>
      </c>
      <c r="G461" s="1">
        <v>45834</v>
      </c>
      <c r="H461" t="s">
        <v>36</v>
      </c>
      <c r="I461">
        <v>19011.442046608339</v>
      </c>
      <c r="J461">
        <v>205</v>
      </c>
      <c r="K461" t="s">
        <v>18</v>
      </c>
      <c r="L461" s="1">
        <v>45842</v>
      </c>
      <c r="M461">
        <v>8</v>
      </c>
      <c r="N461" t="s">
        <v>27</v>
      </c>
    </row>
    <row r="462" spans="1:14" x14ac:dyDescent="0.35">
      <c r="A462" t="s">
        <v>1264</v>
      </c>
      <c r="B462">
        <v>51</v>
      </c>
      <c r="C462" t="s">
        <v>1592</v>
      </c>
      <c r="D462" t="s">
        <v>11</v>
      </c>
      <c r="E462" t="s">
        <v>34</v>
      </c>
      <c r="F462" t="s">
        <v>32</v>
      </c>
      <c r="G462" s="1">
        <v>45913</v>
      </c>
      <c r="H462" t="s">
        <v>39</v>
      </c>
      <c r="I462">
        <v>15188.190391994031</v>
      </c>
      <c r="J462">
        <v>396</v>
      </c>
      <c r="K462" t="s">
        <v>18</v>
      </c>
      <c r="L462" s="1">
        <v>45914</v>
      </c>
      <c r="M462">
        <v>1</v>
      </c>
      <c r="N462" t="s">
        <v>22</v>
      </c>
    </row>
    <row r="463" spans="1:14" x14ac:dyDescent="0.35">
      <c r="A463" t="s">
        <v>1265</v>
      </c>
      <c r="B463">
        <v>23</v>
      </c>
      <c r="C463" t="s">
        <v>1593</v>
      </c>
      <c r="D463" t="s">
        <v>11</v>
      </c>
      <c r="E463" t="s">
        <v>23</v>
      </c>
      <c r="F463" t="s">
        <v>32</v>
      </c>
      <c r="G463" s="1">
        <v>45712</v>
      </c>
      <c r="H463" t="s">
        <v>37</v>
      </c>
      <c r="I463">
        <v>12052.21107360632</v>
      </c>
      <c r="J463">
        <v>360</v>
      </c>
      <c r="K463" t="s">
        <v>25</v>
      </c>
      <c r="L463" s="1">
        <v>45725</v>
      </c>
      <c r="M463">
        <v>13</v>
      </c>
      <c r="N463" t="s">
        <v>27</v>
      </c>
    </row>
    <row r="464" spans="1:14" x14ac:dyDescent="0.35">
      <c r="A464" t="s">
        <v>1266</v>
      </c>
      <c r="B464">
        <v>68</v>
      </c>
      <c r="C464" t="s">
        <v>1591</v>
      </c>
      <c r="D464" t="s">
        <v>11</v>
      </c>
      <c r="E464" t="s">
        <v>23</v>
      </c>
      <c r="F464" t="s">
        <v>24</v>
      </c>
      <c r="G464" s="1">
        <v>46011</v>
      </c>
      <c r="H464" t="s">
        <v>37</v>
      </c>
      <c r="I464">
        <v>39030.528217438281</v>
      </c>
      <c r="J464">
        <v>327</v>
      </c>
      <c r="K464" t="s">
        <v>25</v>
      </c>
      <c r="L464" s="1">
        <v>46012</v>
      </c>
      <c r="M464">
        <v>1</v>
      </c>
      <c r="N464" t="s">
        <v>31</v>
      </c>
    </row>
    <row r="465" spans="1:14" x14ac:dyDescent="0.35">
      <c r="A465" t="s">
        <v>1267</v>
      </c>
      <c r="B465">
        <v>78</v>
      </c>
      <c r="C465" t="s">
        <v>1591</v>
      </c>
      <c r="D465" t="s">
        <v>11</v>
      </c>
      <c r="E465" t="s">
        <v>23</v>
      </c>
      <c r="F465" t="s">
        <v>30</v>
      </c>
      <c r="G465" s="1">
        <v>45961</v>
      </c>
      <c r="H465" t="s">
        <v>38</v>
      </c>
      <c r="I465">
        <v>33591.224131166142</v>
      </c>
      <c r="J465">
        <v>226</v>
      </c>
      <c r="K465" t="s">
        <v>25</v>
      </c>
      <c r="L465" s="1">
        <v>45968</v>
      </c>
      <c r="M465">
        <v>7</v>
      </c>
      <c r="N465" t="s">
        <v>31</v>
      </c>
    </row>
    <row r="466" spans="1:14" x14ac:dyDescent="0.35">
      <c r="A466" t="s">
        <v>1268</v>
      </c>
      <c r="B466">
        <v>34</v>
      </c>
      <c r="C466" t="s">
        <v>1593</v>
      </c>
      <c r="D466" t="s">
        <v>20</v>
      </c>
      <c r="E466" t="s">
        <v>34</v>
      </c>
      <c r="F466" t="s">
        <v>13</v>
      </c>
      <c r="G466" s="1">
        <v>45774</v>
      </c>
      <c r="H466" t="s">
        <v>37</v>
      </c>
      <c r="I466">
        <v>20086.903608660399</v>
      </c>
      <c r="J466">
        <v>336</v>
      </c>
      <c r="K466" t="s">
        <v>25</v>
      </c>
      <c r="L466" s="1">
        <v>45785</v>
      </c>
      <c r="M466">
        <v>11</v>
      </c>
      <c r="N466" t="s">
        <v>15</v>
      </c>
    </row>
    <row r="467" spans="1:14" x14ac:dyDescent="0.35">
      <c r="A467" t="s">
        <v>1269</v>
      </c>
      <c r="B467">
        <v>61</v>
      </c>
      <c r="C467" t="s">
        <v>1592</v>
      </c>
      <c r="D467" t="s">
        <v>11</v>
      </c>
      <c r="E467" t="s">
        <v>33</v>
      </c>
      <c r="F467" t="s">
        <v>28</v>
      </c>
      <c r="G467" s="1">
        <v>45895</v>
      </c>
      <c r="H467" t="s">
        <v>39</v>
      </c>
      <c r="I467">
        <v>26749.101188101471</v>
      </c>
      <c r="J467">
        <v>422</v>
      </c>
      <c r="K467" t="s">
        <v>18</v>
      </c>
      <c r="L467" s="1">
        <v>45901</v>
      </c>
      <c r="M467">
        <v>6</v>
      </c>
      <c r="N467" t="s">
        <v>22</v>
      </c>
    </row>
    <row r="468" spans="1:14" x14ac:dyDescent="0.35">
      <c r="A468" t="s">
        <v>1270</v>
      </c>
      <c r="B468">
        <v>39</v>
      </c>
      <c r="C468" t="s">
        <v>1594</v>
      </c>
      <c r="D468" t="s">
        <v>20</v>
      </c>
      <c r="E468" t="s">
        <v>33</v>
      </c>
      <c r="F468" t="s">
        <v>30</v>
      </c>
      <c r="G468" s="1">
        <v>45780</v>
      </c>
      <c r="H468" t="s">
        <v>37</v>
      </c>
      <c r="I468">
        <v>11965.677958288539</v>
      </c>
      <c r="J468">
        <v>318</v>
      </c>
      <c r="K468" t="s">
        <v>25</v>
      </c>
      <c r="L468" s="1">
        <v>45784</v>
      </c>
      <c r="M468">
        <v>4</v>
      </c>
      <c r="N468" t="s">
        <v>19</v>
      </c>
    </row>
    <row r="469" spans="1:14" x14ac:dyDescent="0.35">
      <c r="A469" t="s">
        <v>1271</v>
      </c>
      <c r="B469">
        <v>50</v>
      </c>
      <c r="C469" t="s">
        <v>1594</v>
      </c>
      <c r="D469" t="s">
        <v>11</v>
      </c>
      <c r="E469" t="s">
        <v>12</v>
      </c>
      <c r="F469" t="s">
        <v>30</v>
      </c>
      <c r="G469" s="1">
        <v>45973</v>
      </c>
      <c r="H469" t="s">
        <v>39</v>
      </c>
      <c r="I469">
        <v>19882.384409340899</v>
      </c>
      <c r="J469">
        <v>299</v>
      </c>
      <c r="K469" t="s">
        <v>18</v>
      </c>
      <c r="L469" s="1">
        <v>45974</v>
      </c>
      <c r="M469">
        <v>1</v>
      </c>
      <c r="N469" t="s">
        <v>15</v>
      </c>
    </row>
    <row r="470" spans="1:14" x14ac:dyDescent="0.35">
      <c r="A470" t="s">
        <v>1272</v>
      </c>
      <c r="B470">
        <v>53</v>
      </c>
      <c r="C470" t="s">
        <v>1592</v>
      </c>
      <c r="D470" t="s">
        <v>11</v>
      </c>
      <c r="E470" t="s">
        <v>16</v>
      </c>
      <c r="F470" t="s">
        <v>28</v>
      </c>
      <c r="G470" s="1">
        <v>45955</v>
      </c>
      <c r="H470" t="s">
        <v>39</v>
      </c>
      <c r="I470">
        <v>46111.003762471177</v>
      </c>
      <c r="J470">
        <v>385</v>
      </c>
      <c r="K470" t="s">
        <v>25</v>
      </c>
      <c r="L470" s="1">
        <v>45969</v>
      </c>
      <c r="M470">
        <v>14</v>
      </c>
      <c r="N470" t="s">
        <v>31</v>
      </c>
    </row>
    <row r="471" spans="1:14" x14ac:dyDescent="0.35">
      <c r="A471" t="s">
        <v>1273</v>
      </c>
      <c r="B471">
        <v>71</v>
      </c>
      <c r="C471" t="s">
        <v>1591</v>
      </c>
      <c r="D471" t="s">
        <v>20</v>
      </c>
      <c r="E471" t="s">
        <v>29</v>
      </c>
      <c r="F471" t="s">
        <v>13</v>
      </c>
      <c r="G471" s="1">
        <v>45953</v>
      </c>
      <c r="H471" t="s">
        <v>39</v>
      </c>
      <c r="I471">
        <v>10915.439964741579</v>
      </c>
      <c r="J471">
        <v>455</v>
      </c>
      <c r="K471" t="s">
        <v>18</v>
      </c>
      <c r="L471" s="1">
        <v>45958</v>
      </c>
      <c r="M471">
        <v>5</v>
      </c>
      <c r="N471" t="s">
        <v>27</v>
      </c>
    </row>
    <row r="472" spans="1:14" x14ac:dyDescent="0.35">
      <c r="A472" t="s">
        <v>1274</v>
      </c>
      <c r="B472">
        <v>66</v>
      </c>
      <c r="C472" t="s">
        <v>1591</v>
      </c>
      <c r="D472" t="s">
        <v>11</v>
      </c>
      <c r="E472" t="s">
        <v>33</v>
      </c>
      <c r="F472" t="s">
        <v>32</v>
      </c>
      <c r="G472" s="1">
        <v>45805</v>
      </c>
      <c r="H472" t="s">
        <v>37</v>
      </c>
      <c r="I472">
        <v>27563.774742123769</v>
      </c>
      <c r="J472">
        <v>404</v>
      </c>
      <c r="K472" t="s">
        <v>18</v>
      </c>
      <c r="L472" s="1">
        <v>45810</v>
      </c>
      <c r="M472">
        <v>5</v>
      </c>
      <c r="N472" t="s">
        <v>27</v>
      </c>
    </row>
    <row r="473" spans="1:14" x14ac:dyDescent="0.35">
      <c r="A473" t="s">
        <v>1275</v>
      </c>
      <c r="B473">
        <v>57</v>
      </c>
      <c r="C473" t="s">
        <v>1592</v>
      </c>
      <c r="D473" t="s">
        <v>20</v>
      </c>
      <c r="E473" t="s">
        <v>16</v>
      </c>
      <c r="F473" t="s">
        <v>13</v>
      </c>
      <c r="G473" s="1">
        <v>45845</v>
      </c>
      <c r="H473" t="s">
        <v>38</v>
      </c>
      <c r="I473">
        <v>6991.6256813632099</v>
      </c>
      <c r="J473">
        <v>342</v>
      </c>
      <c r="K473" t="s">
        <v>25</v>
      </c>
      <c r="L473" s="1">
        <v>45853</v>
      </c>
      <c r="M473">
        <v>8</v>
      </c>
      <c r="N473" t="s">
        <v>27</v>
      </c>
    </row>
    <row r="474" spans="1:14" x14ac:dyDescent="0.35">
      <c r="A474" t="s">
        <v>1276</v>
      </c>
      <c r="B474">
        <v>56</v>
      </c>
      <c r="C474" t="s">
        <v>1592</v>
      </c>
      <c r="D474" t="s">
        <v>20</v>
      </c>
      <c r="E474" t="s">
        <v>33</v>
      </c>
      <c r="F474" t="s">
        <v>28</v>
      </c>
      <c r="G474" s="1">
        <v>45797</v>
      </c>
      <c r="H474" t="s">
        <v>38</v>
      </c>
      <c r="I474">
        <v>23596.551170422081</v>
      </c>
      <c r="J474">
        <v>238</v>
      </c>
      <c r="K474" t="s">
        <v>18</v>
      </c>
      <c r="L474" s="1">
        <v>45809</v>
      </c>
      <c r="M474">
        <v>12</v>
      </c>
      <c r="N474" t="s">
        <v>27</v>
      </c>
    </row>
    <row r="475" spans="1:14" x14ac:dyDescent="0.35">
      <c r="A475" t="s">
        <v>1277</v>
      </c>
      <c r="B475">
        <v>80</v>
      </c>
      <c r="C475" t="s">
        <v>1591</v>
      </c>
      <c r="D475" t="s">
        <v>11</v>
      </c>
      <c r="E475" t="s">
        <v>29</v>
      </c>
      <c r="F475" t="s">
        <v>17</v>
      </c>
      <c r="G475" s="1">
        <v>45776</v>
      </c>
      <c r="H475" t="s">
        <v>38</v>
      </c>
      <c r="I475">
        <v>38973.540605411363</v>
      </c>
      <c r="J475">
        <v>377</v>
      </c>
      <c r="K475" t="s">
        <v>25</v>
      </c>
      <c r="L475" s="1">
        <v>45784</v>
      </c>
      <c r="M475">
        <v>8</v>
      </c>
      <c r="N475" t="s">
        <v>27</v>
      </c>
    </row>
    <row r="476" spans="1:14" x14ac:dyDescent="0.35">
      <c r="A476" t="s">
        <v>1278</v>
      </c>
      <c r="B476">
        <v>19</v>
      </c>
      <c r="C476" t="s">
        <v>1593</v>
      </c>
      <c r="D476" t="s">
        <v>20</v>
      </c>
      <c r="E476" t="s">
        <v>16</v>
      </c>
      <c r="F476" t="s">
        <v>32</v>
      </c>
      <c r="G476" s="1">
        <v>45976</v>
      </c>
      <c r="H476" t="s">
        <v>37</v>
      </c>
      <c r="I476">
        <v>28782.907491009151</v>
      </c>
      <c r="J476">
        <v>164</v>
      </c>
      <c r="K476" t="s">
        <v>25</v>
      </c>
      <c r="L476" s="1">
        <v>45985</v>
      </c>
      <c r="M476">
        <v>9</v>
      </c>
      <c r="N476" t="s">
        <v>19</v>
      </c>
    </row>
    <row r="477" spans="1:14" x14ac:dyDescent="0.35">
      <c r="A477" t="s">
        <v>1279</v>
      </c>
      <c r="B477">
        <v>69</v>
      </c>
      <c r="C477" t="s">
        <v>1591</v>
      </c>
      <c r="D477" t="s">
        <v>11</v>
      </c>
      <c r="E477" t="s">
        <v>33</v>
      </c>
      <c r="F477" t="s">
        <v>30</v>
      </c>
      <c r="G477" s="1">
        <v>45674</v>
      </c>
      <c r="H477" t="s">
        <v>36</v>
      </c>
      <c r="I477">
        <v>45659.081665433812</v>
      </c>
      <c r="J477">
        <v>308</v>
      </c>
      <c r="K477" t="s">
        <v>18</v>
      </c>
      <c r="L477" s="1">
        <v>45679</v>
      </c>
      <c r="M477">
        <v>5</v>
      </c>
      <c r="N477" t="s">
        <v>19</v>
      </c>
    </row>
    <row r="478" spans="1:14" x14ac:dyDescent="0.35">
      <c r="A478" t="s">
        <v>1280</v>
      </c>
      <c r="B478">
        <v>29</v>
      </c>
      <c r="C478" t="s">
        <v>1593</v>
      </c>
      <c r="D478" t="s">
        <v>20</v>
      </c>
      <c r="E478" t="s">
        <v>12</v>
      </c>
      <c r="F478" t="s">
        <v>13</v>
      </c>
      <c r="G478" s="1">
        <v>45874</v>
      </c>
      <c r="H478" t="s">
        <v>38</v>
      </c>
      <c r="I478">
        <v>25767.375180585161</v>
      </c>
      <c r="J478">
        <v>310</v>
      </c>
      <c r="K478" t="s">
        <v>18</v>
      </c>
      <c r="L478" s="1">
        <v>45880</v>
      </c>
      <c r="M478">
        <v>6</v>
      </c>
      <c r="N478" t="s">
        <v>27</v>
      </c>
    </row>
    <row r="479" spans="1:14" x14ac:dyDescent="0.35">
      <c r="A479" t="s">
        <v>1281</v>
      </c>
      <c r="B479">
        <v>44</v>
      </c>
      <c r="C479" t="s">
        <v>1594</v>
      </c>
      <c r="D479" t="s">
        <v>11</v>
      </c>
      <c r="E479" t="s">
        <v>23</v>
      </c>
      <c r="F479" t="s">
        <v>17</v>
      </c>
      <c r="G479" s="1">
        <v>45968</v>
      </c>
      <c r="H479" t="s">
        <v>36</v>
      </c>
      <c r="I479">
        <v>16460.825115253989</v>
      </c>
      <c r="J479">
        <v>410</v>
      </c>
      <c r="K479" t="s">
        <v>25</v>
      </c>
      <c r="L479" s="1">
        <v>45979</v>
      </c>
      <c r="M479">
        <v>11</v>
      </c>
      <c r="N479" t="s">
        <v>31</v>
      </c>
    </row>
    <row r="480" spans="1:14" x14ac:dyDescent="0.35">
      <c r="A480" t="s">
        <v>1282</v>
      </c>
      <c r="B480">
        <v>60</v>
      </c>
      <c r="C480" t="s">
        <v>1592</v>
      </c>
      <c r="D480" t="s">
        <v>20</v>
      </c>
      <c r="E480" t="s">
        <v>33</v>
      </c>
      <c r="F480" t="s">
        <v>17</v>
      </c>
      <c r="G480" s="1">
        <v>45969</v>
      </c>
      <c r="H480" t="s">
        <v>37</v>
      </c>
      <c r="I480">
        <v>20560.964662905881</v>
      </c>
      <c r="J480">
        <v>394</v>
      </c>
      <c r="K480" t="s">
        <v>18</v>
      </c>
      <c r="L480" s="1">
        <v>45976</v>
      </c>
      <c r="M480">
        <v>7</v>
      </c>
      <c r="N480" t="s">
        <v>19</v>
      </c>
    </row>
    <row r="481" spans="1:14" x14ac:dyDescent="0.35">
      <c r="A481" t="s">
        <v>1283</v>
      </c>
      <c r="B481">
        <v>43</v>
      </c>
      <c r="C481" t="s">
        <v>1594</v>
      </c>
      <c r="D481" t="s">
        <v>20</v>
      </c>
      <c r="E481" t="s">
        <v>12</v>
      </c>
      <c r="F481" t="s">
        <v>28</v>
      </c>
      <c r="G481" s="1">
        <v>45705</v>
      </c>
      <c r="H481" t="s">
        <v>39</v>
      </c>
      <c r="I481">
        <v>41792.053540283319</v>
      </c>
      <c r="J481">
        <v>357</v>
      </c>
      <c r="K481" t="s">
        <v>18</v>
      </c>
      <c r="L481" s="1">
        <v>45718</v>
      </c>
      <c r="M481">
        <v>13</v>
      </c>
      <c r="N481" t="s">
        <v>15</v>
      </c>
    </row>
    <row r="482" spans="1:14" x14ac:dyDescent="0.35">
      <c r="A482" t="s">
        <v>1284</v>
      </c>
      <c r="B482">
        <v>35</v>
      </c>
      <c r="C482" t="s">
        <v>1593</v>
      </c>
      <c r="D482" t="s">
        <v>11</v>
      </c>
      <c r="E482" t="s">
        <v>26</v>
      </c>
      <c r="F482" t="s">
        <v>32</v>
      </c>
      <c r="G482" s="1">
        <v>45949</v>
      </c>
      <c r="H482" t="s">
        <v>36</v>
      </c>
      <c r="I482">
        <v>27396.265745891869</v>
      </c>
      <c r="J482">
        <v>420</v>
      </c>
      <c r="K482" t="s">
        <v>18</v>
      </c>
      <c r="L482" s="1">
        <v>45963</v>
      </c>
      <c r="M482">
        <v>14</v>
      </c>
      <c r="N482" t="s">
        <v>27</v>
      </c>
    </row>
    <row r="483" spans="1:14" x14ac:dyDescent="0.35">
      <c r="A483" t="s">
        <v>1285</v>
      </c>
      <c r="B483">
        <v>74</v>
      </c>
      <c r="C483" t="s">
        <v>1591</v>
      </c>
      <c r="D483" t="s">
        <v>11</v>
      </c>
      <c r="E483" t="s">
        <v>21</v>
      </c>
      <c r="F483" t="s">
        <v>30</v>
      </c>
      <c r="G483" s="1">
        <v>46004</v>
      </c>
      <c r="H483" t="s">
        <v>37</v>
      </c>
      <c r="I483">
        <v>9342.4932701384369</v>
      </c>
      <c r="J483">
        <v>379</v>
      </c>
      <c r="K483" t="s">
        <v>18</v>
      </c>
      <c r="L483" s="1">
        <v>46014</v>
      </c>
      <c r="M483">
        <v>10</v>
      </c>
      <c r="N483" t="s">
        <v>31</v>
      </c>
    </row>
    <row r="484" spans="1:14" x14ac:dyDescent="0.35">
      <c r="A484" t="s">
        <v>1286</v>
      </c>
      <c r="B484">
        <v>19</v>
      </c>
      <c r="C484" t="s">
        <v>1593</v>
      </c>
      <c r="D484" t="s">
        <v>20</v>
      </c>
      <c r="E484" t="s">
        <v>33</v>
      </c>
      <c r="F484" t="s">
        <v>17</v>
      </c>
      <c r="G484" s="1">
        <v>45953</v>
      </c>
      <c r="H484" t="s">
        <v>39</v>
      </c>
      <c r="I484">
        <v>29487.108459668761</v>
      </c>
      <c r="J484">
        <v>479</v>
      </c>
      <c r="K484" t="s">
        <v>18</v>
      </c>
      <c r="L484" s="1">
        <v>45964</v>
      </c>
      <c r="M484">
        <v>11</v>
      </c>
      <c r="N484" t="s">
        <v>15</v>
      </c>
    </row>
    <row r="485" spans="1:14" x14ac:dyDescent="0.35">
      <c r="A485" t="s">
        <v>1287</v>
      </c>
      <c r="B485">
        <v>64</v>
      </c>
      <c r="C485" t="s">
        <v>1592</v>
      </c>
      <c r="D485" t="s">
        <v>20</v>
      </c>
      <c r="E485" t="s">
        <v>12</v>
      </c>
      <c r="F485" t="s">
        <v>28</v>
      </c>
      <c r="G485" s="1">
        <v>45723</v>
      </c>
      <c r="H485" t="s">
        <v>39</v>
      </c>
      <c r="I485">
        <v>47243.07353682386</v>
      </c>
      <c r="J485">
        <v>479</v>
      </c>
      <c r="K485" t="s">
        <v>18</v>
      </c>
      <c r="L485" s="1">
        <v>45733</v>
      </c>
      <c r="M485">
        <v>10</v>
      </c>
      <c r="N485" t="s">
        <v>19</v>
      </c>
    </row>
    <row r="486" spans="1:14" x14ac:dyDescent="0.35">
      <c r="A486" t="s">
        <v>1288</v>
      </c>
      <c r="B486">
        <v>33</v>
      </c>
      <c r="C486" t="s">
        <v>1593</v>
      </c>
      <c r="D486" t="s">
        <v>11</v>
      </c>
      <c r="E486" t="s">
        <v>33</v>
      </c>
      <c r="F486" t="s">
        <v>17</v>
      </c>
      <c r="G486" s="1">
        <v>45707</v>
      </c>
      <c r="H486" t="s">
        <v>37</v>
      </c>
      <c r="I486">
        <v>12961.37254976216</v>
      </c>
      <c r="J486">
        <v>403</v>
      </c>
      <c r="K486" t="s">
        <v>18</v>
      </c>
      <c r="L486" s="1">
        <v>45715</v>
      </c>
      <c r="M486">
        <v>8</v>
      </c>
      <c r="N486" t="s">
        <v>31</v>
      </c>
    </row>
    <row r="487" spans="1:14" x14ac:dyDescent="0.35">
      <c r="A487" t="s">
        <v>1289</v>
      </c>
      <c r="B487">
        <v>44</v>
      </c>
      <c r="C487" t="s">
        <v>1594</v>
      </c>
      <c r="D487" t="s">
        <v>20</v>
      </c>
      <c r="E487" t="s">
        <v>23</v>
      </c>
      <c r="F487" t="s">
        <v>32</v>
      </c>
      <c r="G487" s="1">
        <v>45916</v>
      </c>
      <c r="H487" t="s">
        <v>37</v>
      </c>
      <c r="I487">
        <v>38955.555431980727</v>
      </c>
      <c r="J487">
        <v>158</v>
      </c>
      <c r="K487" t="s">
        <v>25</v>
      </c>
      <c r="L487" s="1">
        <v>45925</v>
      </c>
      <c r="M487">
        <v>9</v>
      </c>
      <c r="N487" t="s">
        <v>31</v>
      </c>
    </row>
    <row r="488" spans="1:14" x14ac:dyDescent="0.35">
      <c r="A488" t="s">
        <v>1290</v>
      </c>
      <c r="B488">
        <v>50</v>
      </c>
      <c r="C488" t="s">
        <v>1594</v>
      </c>
      <c r="D488" t="s">
        <v>20</v>
      </c>
      <c r="E488" t="s">
        <v>26</v>
      </c>
      <c r="F488" t="s">
        <v>28</v>
      </c>
      <c r="G488" s="1">
        <v>45824</v>
      </c>
      <c r="H488" t="s">
        <v>37</v>
      </c>
      <c r="I488">
        <v>31669.933419492991</v>
      </c>
      <c r="J488">
        <v>198</v>
      </c>
      <c r="K488" t="s">
        <v>25</v>
      </c>
      <c r="L488" s="1">
        <v>45830</v>
      </c>
      <c r="M488">
        <v>6</v>
      </c>
      <c r="N488" t="s">
        <v>22</v>
      </c>
    </row>
    <row r="489" spans="1:14" x14ac:dyDescent="0.35">
      <c r="A489" t="s">
        <v>1291</v>
      </c>
      <c r="B489">
        <v>52</v>
      </c>
      <c r="C489" t="s">
        <v>1592</v>
      </c>
      <c r="D489" t="s">
        <v>20</v>
      </c>
      <c r="E489" t="s">
        <v>34</v>
      </c>
      <c r="F489" t="s">
        <v>17</v>
      </c>
      <c r="G489" s="1">
        <v>45844</v>
      </c>
      <c r="H489" t="s">
        <v>36</v>
      </c>
      <c r="I489">
        <v>38683.446827763008</v>
      </c>
      <c r="J489">
        <v>418</v>
      </c>
      <c r="K489" t="s">
        <v>25</v>
      </c>
      <c r="L489" s="1">
        <v>45854</v>
      </c>
      <c r="M489">
        <v>10</v>
      </c>
      <c r="N489" t="s">
        <v>15</v>
      </c>
    </row>
    <row r="490" spans="1:14" x14ac:dyDescent="0.35">
      <c r="A490" t="s">
        <v>1292</v>
      </c>
      <c r="B490">
        <v>83</v>
      </c>
      <c r="C490" t="s">
        <v>1591</v>
      </c>
      <c r="D490" t="s">
        <v>20</v>
      </c>
      <c r="E490" t="s">
        <v>34</v>
      </c>
      <c r="F490" t="s">
        <v>13</v>
      </c>
      <c r="G490" s="1">
        <v>45946</v>
      </c>
      <c r="H490" t="s">
        <v>39</v>
      </c>
      <c r="I490">
        <v>24836.307731728681</v>
      </c>
      <c r="J490">
        <v>380</v>
      </c>
      <c r="K490" t="s">
        <v>25</v>
      </c>
      <c r="L490" s="1">
        <v>45960</v>
      </c>
      <c r="M490">
        <v>14</v>
      </c>
      <c r="N490" t="s">
        <v>27</v>
      </c>
    </row>
    <row r="491" spans="1:14" x14ac:dyDescent="0.35">
      <c r="A491" t="s">
        <v>1293</v>
      </c>
      <c r="B491">
        <v>72</v>
      </c>
      <c r="C491" t="s">
        <v>1591</v>
      </c>
      <c r="D491" t="s">
        <v>20</v>
      </c>
      <c r="E491" t="s">
        <v>23</v>
      </c>
      <c r="F491" t="s">
        <v>24</v>
      </c>
      <c r="G491" s="1">
        <v>45983</v>
      </c>
      <c r="H491" t="s">
        <v>39</v>
      </c>
      <c r="I491">
        <v>19860.590223399751</v>
      </c>
      <c r="J491">
        <v>466</v>
      </c>
      <c r="K491" t="s">
        <v>18</v>
      </c>
      <c r="L491" s="1">
        <v>45984</v>
      </c>
      <c r="M491">
        <v>1</v>
      </c>
      <c r="N491" t="s">
        <v>22</v>
      </c>
    </row>
    <row r="492" spans="1:14" x14ac:dyDescent="0.35">
      <c r="A492" t="s">
        <v>1294</v>
      </c>
      <c r="B492">
        <v>37</v>
      </c>
      <c r="C492" t="s">
        <v>1594</v>
      </c>
      <c r="D492" t="s">
        <v>11</v>
      </c>
      <c r="E492" t="s">
        <v>33</v>
      </c>
      <c r="F492" t="s">
        <v>32</v>
      </c>
      <c r="G492" s="1">
        <v>45749</v>
      </c>
      <c r="H492" t="s">
        <v>38</v>
      </c>
      <c r="I492">
        <v>9447.8462138127197</v>
      </c>
      <c r="J492">
        <v>159</v>
      </c>
      <c r="K492" t="s">
        <v>18</v>
      </c>
      <c r="L492" s="1">
        <v>45751</v>
      </c>
      <c r="M492">
        <v>2</v>
      </c>
      <c r="N492" t="s">
        <v>22</v>
      </c>
    </row>
    <row r="493" spans="1:14" x14ac:dyDescent="0.35">
      <c r="A493" t="s">
        <v>1295</v>
      </c>
      <c r="B493">
        <v>44</v>
      </c>
      <c r="C493" t="s">
        <v>1594</v>
      </c>
      <c r="D493" t="s">
        <v>11</v>
      </c>
      <c r="E493" t="s">
        <v>16</v>
      </c>
      <c r="F493" t="s">
        <v>24</v>
      </c>
      <c r="G493" s="1">
        <v>45969</v>
      </c>
      <c r="H493" t="s">
        <v>37</v>
      </c>
      <c r="I493">
        <v>41131.014179550708</v>
      </c>
      <c r="J493">
        <v>432</v>
      </c>
      <c r="K493" t="s">
        <v>18</v>
      </c>
      <c r="L493" s="1">
        <v>45981</v>
      </c>
      <c r="M493">
        <v>12</v>
      </c>
      <c r="N493" t="s">
        <v>19</v>
      </c>
    </row>
    <row r="494" spans="1:14" x14ac:dyDescent="0.35">
      <c r="A494" t="s">
        <v>1296</v>
      </c>
      <c r="B494">
        <v>22</v>
      </c>
      <c r="C494" t="s">
        <v>1593</v>
      </c>
      <c r="D494" t="s">
        <v>20</v>
      </c>
      <c r="E494" t="s">
        <v>21</v>
      </c>
      <c r="F494" t="s">
        <v>28</v>
      </c>
      <c r="G494" s="1">
        <v>45735</v>
      </c>
      <c r="H494" t="s">
        <v>36</v>
      </c>
      <c r="I494">
        <v>28907.31963848351</v>
      </c>
      <c r="J494">
        <v>284</v>
      </c>
      <c r="K494" t="s">
        <v>25</v>
      </c>
      <c r="L494" s="1">
        <v>45745</v>
      </c>
      <c r="M494">
        <v>10</v>
      </c>
      <c r="N494" t="s">
        <v>19</v>
      </c>
    </row>
    <row r="495" spans="1:14" x14ac:dyDescent="0.35">
      <c r="A495" t="s">
        <v>1297</v>
      </c>
      <c r="B495">
        <v>66</v>
      </c>
      <c r="C495" t="s">
        <v>1591</v>
      </c>
      <c r="D495" t="s">
        <v>11</v>
      </c>
      <c r="E495" t="s">
        <v>33</v>
      </c>
      <c r="F495" t="s">
        <v>32</v>
      </c>
      <c r="G495" s="1">
        <v>45814</v>
      </c>
      <c r="H495" t="s">
        <v>39</v>
      </c>
      <c r="I495">
        <v>10980.53923666976</v>
      </c>
      <c r="J495">
        <v>113</v>
      </c>
      <c r="K495" t="s">
        <v>25</v>
      </c>
      <c r="L495" s="1">
        <v>45819</v>
      </c>
      <c r="M495">
        <v>5</v>
      </c>
      <c r="N495" t="s">
        <v>31</v>
      </c>
    </row>
    <row r="496" spans="1:14" x14ac:dyDescent="0.35">
      <c r="A496" t="s">
        <v>1298</v>
      </c>
      <c r="B496">
        <v>77</v>
      </c>
      <c r="C496" t="s">
        <v>1591</v>
      </c>
      <c r="D496" t="s">
        <v>20</v>
      </c>
      <c r="E496" t="s">
        <v>16</v>
      </c>
      <c r="F496" t="s">
        <v>30</v>
      </c>
      <c r="G496" s="1">
        <v>45991</v>
      </c>
      <c r="H496" t="s">
        <v>38</v>
      </c>
      <c r="I496">
        <v>19855.109035933499</v>
      </c>
      <c r="J496">
        <v>440</v>
      </c>
      <c r="K496" t="s">
        <v>25</v>
      </c>
      <c r="L496" s="1">
        <v>45992</v>
      </c>
      <c r="M496">
        <v>1</v>
      </c>
      <c r="N496" t="s">
        <v>22</v>
      </c>
    </row>
    <row r="497" spans="1:14" x14ac:dyDescent="0.35">
      <c r="A497" t="s">
        <v>1299</v>
      </c>
      <c r="B497">
        <v>65</v>
      </c>
      <c r="C497" t="s">
        <v>1592</v>
      </c>
      <c r="D497" t="s">
        <v>20</v>
      </c>
      <c r="E497" t="s">
        <v>21</v>
      </c>
      <c r="F497" t="s">
        <v>28</v>
      </c>
      <c r="G497" s="1">
        <v>45729</v>
      </c>
      <c r="H497" t="s">
        <v>36</v>
      </c>
      <c r="I497">
        <v>43477.755524406602</v>
      </c>
      <c r="J497">
        <v>442</v>
      </c>
      <c r="K497" t="s">
        <v>18</v>
      </c>
      <c r="L497" s="1">
        <v>45740</v>
      </c>
      <c r="M497">
        <v>11</v>
      </c>
      <c r="N497" t="s">
        <v>27</v>
      </c>
    </row>
    <row r="498" spans="1:14" x14ac:dyDescent="0.35">
      <c r="A498" t="s">
        <v>1300</v>
      </c>
      <c r="B498">
        <v>26</v>
      </c>
      <c r="C498" t="s">
        <v>1593</v>
      </c>
      <c r="D498" t="s">
        <v>11</v>
      </c>
      <c r="E498" t="s">
        <v>23</v>
      </c>
      <c r="F498" t="s">
        <v>13</v>
      </c>
      <c r="G498" s="1">
        <v>45818</v>
      </c>
      <c r="H498" t="s">
        <v>38</v>
      </c>
      <c r="I498">
        <v>6654.6343902702883</v>
      </c>
      <c r="J498">
        <v>145</v>
      </c>
      <c r="K498" t="s">
        <v>18</v>
      </c>
      <c r="L498" s="1">
        <v>45829</v>
      </c>
      <c r="M498">
        <v>11</v>
      </c>
      <c r="N498" t="s">
        <v>22</v>
      </c>
    </row>
    <row r="499" spans="1:14" x14ac:dyDescent="0.35">
      <c r="A499" t="s">
        <v>1301</v>
      </c>
      <c r="B499">
        <v>69</v>
      </c>
      <c r="C499" t="s">
        <v>1591</v>
      </c>
      <c r="D499" t="s">
        <v>11</v>
      </c>
      <c r="E499" t="s">
        <v>21</v>
      </c>
      <c r="F499" t="s">
        <v>32</v>
      </c>
      <c r="G499" s="1">
        <v>45696</v>
      </c>
      <c r="H499" t="s">
        <v>38</v>
      </c>
      <c r="I499">
        <v>7702.4675388246442</v>
      </c>
      <c r="J499">
        <v>287</v>
      </c>
      <c r="K499" t="s">
        <v>25</v>
      </c>
      <c r="L499" s="1">
        <v>45706</v>
      </c>
      <c r="M499">
        <v>10</v>
      </c>
      <c r="N499" t="s">
        <v>19</v>
      </c>
    </row>
    <row r="500" spans="1:14" x14ac:dyDescent="0.35">
      <c r="A500" t="s">
        <v>1302</v>
      </c>
      <c r="B500">
        <v>85</v>
      </c>
      <c r="C500" t="s">
        <v>1591</v>
      </c>
      <c r="D500" t="s">
        <v>11</v>
      </c>
      <c r="E500" t="s">
        <v>21</v>
      </c>
      <c r="F500" t="s">
        <v>28</v>
      </c>
      <c r="G500" s="1">
        <v>45776</v>
      </c>
      <c r="H500" t="s">
        <v>38</v>
      </c>
      <c r="I500">
        <v>44129.30844666365</v>
      </c>
      <c r="J500">
        <v>309</v>
      </c>
      <c r="K500" t="s">
        <v>25</v>
      </c>
      <c r="L500" s="1">
        <v>45780</v>
      </c>
      <c r="M500">
        <v>4</v>
      </c>
      <c r="N500" t="s">
        <v>15</v>
      </c>
    </row>
    <row r="501" spans="1:14" x14ac:dyDescent="0.35">
      <c r="A501" t="s">
        <v>1303</v>
      </c>
      <c r="B501">
        <v>33</v>
      </c>
      <c r="C501" t="s">
        <v>1593</v>
      </c>
      <c r="D501" t="s">
        <v>20</v>
      </c>
      <c r="E501" t="s">
        <v>12</v>
      </c>
      <c r="F501" t="s">
        <v>13</v>
      </c>
      <c r="G501" s="1">
        <v>45878</v>
      </c>
      <c r="H501" t="s">
        <v>37</v>
      </c>
      <c r="I501">
        <v>14372.737637807601</v>
      </c>
      <c r="J501">
        <v>135</v>
      </c>
      <c r="K501" t="s">
        <v>25</v>
      </c>
      <c r="L501" s="1">
        <v>45885</v>
      </c>
      <c r="M501">
        <v>7</v>
      </c>
      <c r="N501" t="s">
        <v>15</v>
      </c>
    </row>
    <row r="502" spans="1:14" x14ac:dyDescent="0.35">
      <c r="A502" t="s">
        <v>1304</v>
      </c>
      <c r="B502">
        <v>53</v>
      </c>
      <c r="C502" t="s">
        <v>1592</v>
      </c>
      <c r="D502" t="s">
        <v>20</v>
      </c>
      <c r="E502" t="s">
        <v>23</v>
      </c>
      <c r="F502" t="s">
        <v>13</v>
      </c>
      <c r="G502" s="1">
        <v>45843</v>
      </c>
      <c r="H502" t="s">
        <v>39</v>
      </c>
      <c r="I502">
        <v>9024.0923011812956</v>
      </c>
      <c r="J502">
        <v>178</v>
      </c>
      <c r="K502" t="s">
        <v>25</v>
      </c>
      <c r="L502" s="1">
        <v>45857</v>
      </c>
      <c r="M502">
        <v>14</v>
      </c>
      <c r="N502" t="s">
        <v>27</v>
      </c>
    </row>
    <row r="503" spans="1:14" x14ac:dyDescent="0.35">
      <c r="A503" t="s">
        <v>1305</v>
      </c>
      <c r="B503">
        <v>22</v>
      </c>
      <c r="C503" t="s">
        <v>1593</v>
      </c>
      <c r="D503" t="s">
        <v>11</v>
      </c>
      <c r="E503" t="s">
        <v>34</v>
      </c>
      <c r="F503" t="s">
        <v>17</v>
      </c>
      <c r="G503" s="1">
        <v>45970</v>
      </c>
      <c r="H503" t="s">
        <v>39</v>
      </c>
      <c r="I503">
        <v>37216.706496772647</v>
      </c>
      <c r="J503">
        <v>345</v>
      </c>
      <c r="K503" t="s">
        <v>25</v>
      </c>
      <c r="L503" s="1">
        <v>45977</v>
      </c>
      <c r="M503">
        <v>7</v>
      </c>
      <c r="N503" t="s">
        <v>19</v>
      </c>
    </row>
    <row r="504" spans="1:14" x14ac:dyDescent="0.35">
      <c r="A504" t="s">
        <v>1306</v>
      </c>
      <c r="B504">
        <v>81</v>
      </c>
      <c r="C504" t="s">
        <v>1591</v>
      </c>
      <c r="D504" t="s">
        <v>11</v>
      </c>
      <c r="E504" t="s">
        <v>26</v>
      </c>
      <c r="F504" t="s">
        <v>28</v>
      </c>
      <c r="G504" s="1">
        <v>45886</v>
      </c>
      <c r="H504" t="s">
        <v>36</v>
      </c>
      <c r="I504">
        <v>18283.38967311088</v>
      </c>
      <c r="J504">
        <v>153</v>
      </c>
      <c r="K504" t="s">
        <v>25</v>
      </c>
      <c r="L504" s="1">
        <v>45894</v>
      </c>
      <c r="M504">
        <v>8</v>
      </c>
      <c r="N504" t="s">
        <v>15</v>
      </c>
    </row>
    <row r="505" spans="1:14" x14ac:dyDescent="0.35">
      <c r="A505" t="s">
        <v>1307</v>
      </c>
      <c r="B505">
        <v>70</v>
      </c>
      <c r="C505" t="s">
        <v>1591</v>
      </c>
      <c r="D505" t="s">
        <v>11</v>
      </c>
      <c r="E505" t="s">
        <v>16</v>
      </c>
      <c r="F505" t="s">
        <v>28</v>
      </c>
      <c r="G505" s="1">
        <v>45944</v>
      </c>
      <c r="H505" t="s">
        <v>37</v>
      </c>
      <c r="I505">
        <v>11838.8651860794</v>
      </c>
      <c r="J505">
        <v>389</v>
      </c>
      <c r="K505" t="s">
        <v>25</v>
      </c>
      <c r="L505" s="1">
        <v>45948</v>
      </c>
      <c r="M505">
        <v>4</v>
      </c>
      <c r="N505" t="s">
        <v>31</v>
      </c>
    </row>
    <row r="506" spans="1:14" x14ac:dyDescent="0.35">
      <c r="A506" t="s">
        <v>1308</v>
      </c>
      <c r="B506">
        <v>41</v>
      </c>
      <c r="C506" t="s">
        <v>1594</v>
      </c>
      <c r="D506" t="s">
        <v>20</v>
      </c>
      <c r="E506" t="s">
        <v>12</v>
      </c>
      <c r="F506" t="s">
        <v>13</v>
      </c>
      <c r="G506" s="1">
        <v>45985</v>
      </c>
      <c r="H506" t="s">
        <v>37</v>
      </c>
      <c r="I506">
        <v>37685.2743238283</v>
      </c>
      <c r="J506">
        <v>390</v>
      </c>
      <c r="K506" t="s">
        <v>18</v>
      </c>
      <c r="L506" s="1">
        <v>45991</v>
      </c>
      <c r="M506">
        <v>6</v>
      </c>
      <c r="N506" t="s">
        <v>19</v>
      </c>
    </row>
    <row r="507" spans="1:14" x14ac:dyDescent="0.35">
      <c r="A507" t="s">
        <v>1309</v>
      </c>
      <c r="B507">
        <v>65</v>
      </c>
      <c r="C507" t="s">
        <v>1592</v>
      </c>
      <c r="D507" t="s">
        <v>20</v>
      </c>
      <c r="E507" t="s">
        <v>16</v>
      </c>
      <c r="F507" t="s">
        <v>24</v>
      </c>
      <c r="G507" s="1">
        <v>45739</v>
      </c>
      <c r="H507" t="s">
        <v>37</v>
      </c>
      <c r="I507">
        <v>19547.240509988969</v>
      </c>
      <c r="J507">
        <v>368</v>
      </c>
      <c r="K507" t="s">
        <v>18</v>
      </c>
      <c r="L507" s="1">
        <v>45741</v>
      </c>
      <c r="M507">
        <v>2</v>
      </c>
      <c r="N507" t="s">
        <v>22</v>
      </c>
    </row>
    <row r="508" spans="1:14" x14ac:dyDescent="0.35">
      <c r="A508" t="s">
        <v>1310</v>
      </c>
      <c r="B508">
        <v>76</v>
      </c>
      <c r="C508" t="s">
        <v>1591</v>
      </c>
      <c r="D508" t="s">
        <v>11</v>
      </c>
      <c r="E508" t="s">
        <v>12</v>
      </c>
      <c r="F508" t="s">
        <v>28</v>
      </c>
      <c r="G508" s="1">
        <v>45742</v>
      </c>
      <c r="H508" t="s">
        <v>36</v>
      </c>
      <c r="I508">
        <v>39557.888444639721</v>
      </c>
      <c r="J508">
        <v>179</v>
      </c>
      <c r="K508" t="s">
        <v>25</v>
      </c>
      <c r="L508" s="1">
        <v>45745</v>
      </c>
      <c r="M508">
        <v>3</v>
      </c>
      <c r="N508" t="s">
        <v>22</v>
      </c>
    </row>
    <row r="509" spans="1:14" x14ac:dyDescent="0.35">
      <c r="A509" t="s">
        <v>1311</v>
      </c>
      <c r="B509">
        <v>40</v>
      </c>
      <c r="C509" t="s">
        <v>1594</v>
      </c>
      <c r="D509" t="s">
        <v>20</v>
      </c>
      <c r="E509" t="s">
        <v>26</v>
      </c>
      <c r="F509" t="s">
        <v>24</v>
      </c>
      <c r="G509" s="1">
        <v>45668</v>
      </c>
      <c r="H509" t="s">
        <v>36</v>
      </c>
      <c r="I509">
        <v>5289.0850208270422</v>
      </c>
      <c r="J509">
        <v>310</v>
      </c>
      <c r="K509" t="s">
        <v>25</v>
      </c>
      <c r="L509" s="1">
        <v>45678</v>
      </c>
      <c r="M509">
        <v>10</v>
      </c>
      <c r="N509" t="s">
        <v>27</v>
      </c>
    </row>
    <row r="510" spans="1:14" x14ac:dyDescent="0.35">
      <c r="A510" t="s">
        <v>1312</v>
      </c>
      <c r="B510">
        <v>29</v>
      </c>
      <c r="C510" t="s">
        <v>1593</v>
      </c>
      <c r="D510" t="s">
        <v>11</v>
      </c>
      <c r="E510" t="s">
        <v>26</v>
      </c>
      <c r="F510" t="s">
        <v>28</v>
      </c>
      <c r="G510" s="1">
        <v>45721</v>
      </c>
      <c r="H510" t="s">
        <v>38</v>
      </c>
      <c r="I510">
        <v>34620.964345653912</v>
      </c>
      <c r="J510">
        <v>236</v>
      </c>
      <c r="K510" t="s">
        <v>25</v>
      </c>
      <c r="L510" s="1">
        <v>45725</v>
      </c>
      <c r="M510">
        <v>4</v>
      </c>
      <c r="N510" t="s">
        <v>19</v>
      </c>
    </row>
    <row r="511" spans="1:14" x14ac:dyDescent="0.35">
      <c r="A511" t="s">
        <v>1313</v>
      </c>
      <c r="B511">
        <v>74</v>
      </c>
      <c r="C511" t="s">
        <v>1591</v>
      </c>
      <c r="D511" t="s">
        <v>11</v>
      </c>
      <c r="E511" t="s">
        <v>16</v>
      </c>
      <c r="F511" t="s">
        <v>30</v>
      </c>
      <c r="G511" s="1">
        <v>45923</v>
      </c>
      <c r="H511" t="s">
        <v>37</v>
      </c>
      <c r="I511">
        <v>33943.91691076228</v>
      </c>
      <c r="J511">
        <v>235</v>
      </c>
      <c r="K511" t="s">
        <v>25</v>
      </c>
      <c r="L511" s="1">
        <v>45929</v>
      </c>
      <c r="M511">
        <v>6</v>
      </c>
      <c r="N511" t="s">
        <v>15</v>
      </c>
    </row>
    <row r="512" spans="1:14" x14ac:dyDescent="0.35">
      <c r="A512" t="s">
        <v>1314</v>
      </c>
      <c r="B512">
        <v>24</v>
      </c>
      <c r="C512" t="s">
        <v>1593</v>
      </c>
      <c r="D512" t="s">
        <v>20</v>
      </c>
      <c r="E512" t="s">
        <v>26</v>
      </c>
      <c r="F512" t="s">
        <v>32</v>
      </c>
      <c r="G512" s="1">
        <v>46001</v>
      </c>
      <c r="H512" t="s">
        <v>36</v>
      </c>
      <c r="I512">
        <v>18953.795430566559</v>
      </c>
      <c r="J512">
        <v>387</v>
      </c>
      <c r="K512" t="s">
        <v>25</v>
      </c>
      <c r="L512" s="1">
        <v>46010</v>
      </c>
      <c r="M512">
        <v>9</v>
      </c>
      <c r="N512" t="s">
        <v>15</v>
      </c>
    </row>
    <row r="513" spans="1:14" x14ac:dyDescent="0.35">
      <c r="A513" t="s">
        <v>1315</v>
      </c>
      <c r="B513">
        <v>77</v>
      </c>
      <c r="C513" t="s">
        <v>1591</v>
      </c>
      <c r="D513" t="s">
        <v>20</v>
      </c>
      <c r="E513" t="s">
        <v>21</v>
      </c>
      <c r="F513" t="s">
        <v>17</v>
      </c>
      <c r="G513" s="1">
        <v>45785</v>
      </c>
      <c r="H513" t="s">
        <v>37</v>
      </c>
      <c r="I513">
        <v>19342.070888497139</v>
      </c>
      <c r="J513">
        <v>202</v>
      </c>
      <c r="K513" t="s">
        <v>18</v>
      </c>
      <c r="L513" s="1">
        <v>45790</v>
      </c>
      <c r="M513">
        <v>5</v>
      </c>
      <c r="N513" t="s">
        <v>22</v>
      </c>
    </row>
    <row r="514" spans="1:14" x14ac:dyDescent="0.35">
      <c r="A514" t="s">
        <v>1316</v>
      </c>
      <c r="B514">
        <v>61</v>
      </c>
      <c r="C514" t="s">
        <v>1592</v>
      </c>
      <c r="D514" t="s">
        <v>20</v>
      </c>
      <c r="E514" t="s">
        <v>21</v>
      </c>
      <c r="F514" t="s">
        <v>24</v>
      </c>
      <c r="G514" s="1">
        <v>45932</v>
      </c>
      <c r="H514" t="s">
        <v>37</v>
      </c>
      <c r="I514">
        <v>48736.150361556472</v>
      </c>
      <c r="J514">
        <v>191</v>
      </c>
      <c r="K514" t="s">
        <v>18</v>
      </c>
      <c r="L514" s="1">
        <v>45934</v>
      </c>
      <c r="M514">
        <v>2</v>
      </c>
      <c r="N514" t="s">
        <v>27</v>
      </c>
    </row>
    <row r="515" spans="1:14" x14ac:dyDescent="0.35">
      <c r="A515" t="s">
        <v>1317</v>
      </c>
      <c r="B515">
        <v>80</v>
      </c>
      <c r="C515" t="s">
        <v>1591</v>
      </c>
      <c r="D515" t="s">
        <v>20</v>
      </c>
      <c r="E515" t="s">
        <v>33</v>
      </c>
      <c r="F515" t="s">
        <v>24</v>
      </c>
      <c r="G515" s="1">
        <v>45865</v>
      </c>
      <c r="H515" t="s">
        <v>38</v>
      </c>
      <c r="I515">
        <v>48000.228030288097</v>
      </c>
      <c r="J515">
        <v>427</v>
      </c>
      <c r="K515" t="s">
        <v>18</v>
      </c>
      <c r="L515" s="1">
        <v>45869</v>
      </c>
      <c r="M515">
        <v>4</v>
      </c>
      <c r="N515" t="s">
        <v>27</v>
      </c>
    </row>
    <row r="516" spans="1:14" x14ac:dyDescent="0.35">
      <c r="A516" t="s">
        <v>1318</v>
      </c>
      <c r="B516">
        <v>71</v>
      </c>
      <c r="C516" t="s">
        <v>1591</v>
      </c>
      <c r="D516" t="s">
        <v>11</v>
      </c>
      <c r="E516" t="s">
        <v>34</v>
      </c>
      <c r="F516" t="s">
        <v>30</v>
      </c>
      <c r="G516" s="1">
        <v>45769</v>
      </c>
      <c r="H516" t="s">
        <v>38</v>
      </c>
      <c r="I516">
        <v>10755.694254043219</v>
      </c>
      <c r="J516">
        <v>190</v>
      </c>
      <c r="K516" t="s">
        <v>18</v>
      </c>
      <c r="L516" s="1">
        <v>45770</v>
      </c>
      <c r="M516">
        <v>1</v>
      </c>
      <c r="N516" t="s">
        <v>22</v>
      </c>
    </row>
    <row r="517" spans="1:14" x14ac:dyDescent="0.35">
      <c r="A517" t="s">
        <v>1319</v>
      </c>
      <c r="B517">
        <v>23</v>
      </c>
      <c r="C517" t="s">
        <v>1593</v>
      </c>
      <c r="D517" t="s">
        <v>20</v>
      </c>
      <c r="E517" t="s">
        <v>34</v>
      </c>
      <c r="F517" t="s">
        <v>30</v>
      </c>
      <c r="G517" s="1">
        <v>45809</v>
      </c>
      <c r="H517" t="s">
        <v>39</v>
      </c>
      <c r="I517">
        <v>14231.06502369</v>
      </c>
      <c r="J517">
        <v>295</v>
      </c>
      <c r="K517" t="s">
        <v>25</v>
      </c>
      <c r="L517" s="1">
        <v>45810</v>
      </c>
      <c r="M517">
        <v>1</v>
      </c>
      <c r="N517" t="s">
        <v>19</v>
      </c>
    </row>
    <row r="518" spans="1:14" x14ac:dyDescent="0.35">
      <c r="A518" t="s">
        <v>1320</v>
      </c>
      <c r="B518">
        <v>46</v>
      </c>
      <c r="C518" t="s">
        <v>1594</v>
      </c>
      <c r="D518" t="s">
        <v>20</v>
      </c>
      <c r="E518" t="s">
        <v>33</v>
      </c>
      <c r="F518" t="s">
        <v>28</v>
      </c>
      <c r="G518" s="1">
        <v>45845</v>
      </c>
      <c r="H518" t="s">
        <v>36</v>
      </c>
      <c r="I518">
        <v>19046.741220692809</v>
      </c>
      <c r="J518">
        <v>160</v>
      </c>
      <c r="K518" t="s">
        <v>25</v>
      </c>
      <c r="L518" s="1">
        <v>45854</v>
      </c>
      <c r="M518">
        <v>9</v>
      </c>
      <c r="N518" t="s">
        <v>27</v>
      </c>
    </row>
    <row r="519" spans="1:14" x14ac:dyDescent="0.35">
      <c r="A519" t="s">
        <v>1321</v>
      </c>
      <c r="B519">
        <v>35</v>
      </c>
      <c r="C519" t="s">
        <v>1593</v>
      </c>
      <c r="D519" t="s">
        <v>11</v>
      </c>
      <c r="E519" t="s">
        <v>34</v>
      </c>
      <c r="F519" t="s">
        <v>13</v>
      </c>
      <c r="G519" s="1">
        <v>45952</v>
      </c>
      <c r="H519" t="s">
        <v>38</v>
      </c>
      <c r="I519">
        <v>12892.54632248917</v>
      </c>
      <c r="J519">
        <v>134</v>
      </c>
      <c r="K519" t="s">
        <v>25</v>
      </c>
      <c r="L519" s="1">
        <v>45960</v>
      </c>
      <c r="M519">
        <v>8</v>
      </c>
      <c r="N519" t="s">
        <v>31</v>
      </c>
    </row>
    <row r="520" spans="1:14" x14ac:dyDescent="0.35">
      <c r="A520" t="s">
        <v>1322</v>
      </c>
      <c r="B520">
        <v>23</v>
      </c>
      <c r="C520" t="s">
        <v>1593</v>
      </c>
      <c r="D520" t="s">
        <v>20</v>
      </c>
      <c r="E520" t="s">
        <v>26</v>
      </c>
      <c r="F520" t="s">
        <v>28</v>
      </c>
      <c r="G520" s="1">
        <v>45688</v>
      </c>
      <c r="H520" t="s">
        <v>37</v>
      </c>
      <c r="I520">
        <v>2495.8063392700892</v>
      </c>
      <c r="J520">
        <v>152</v>
      </c>
      <c r="K520" t="s">
        <v>18</v>
      </c>
      <c r="L520" s="1">
        <v>45702</v>
      </c>
      <c r="M520">
        <v>14</v>
      </c>
      <c r="N520" t="s">
        <v>19</v>
      </c>
    </row>
    <row r="521" spans="1:14" x14ac:dyDescent="0.35">
      <c r="A521" t="s">
        <v>1323</v>
      </c>
      <c r="B521">
        <v>69</v>
      </c>
      <c r="C521" t="s">
        <v>1591</v>
      </c>
      <c r="D521" t="s">
        <v>11</v>
      </c>
      <c r="E521" t="s">
        <v>12</v>
      </c>
      <c r="F521" t="s">
        <v>28</v>
      </c>
      <c r="G521" s="1">
        <v>45759</v>
      </c>
      <c r="H521" t="s">
        <v>36</v>
      </c>
      <c r="I521">
        <v>45401.047898034172</v>
      </c>
      <c r="J521">
        <v>472</v>
      </c>
      <c r="K521" t="s">
        <v>18</v>
      </c>
      <c r="L521" s="1">
        <v>45763</v>
      </c>
      <c r="M521">
        <v>4</v>
      </c>
      <c r="N521" t="s">
        <v>31</v>
      </c>
    </row>
    <row r="522" spans="1:14" x14ac:dyDescent="0.35">
      <c r="A522" t="s">
        <v>1324</v>
      </c>
      <c r="B522">
        <v>47</v>
      </c>
      <c r="C522" t="s">
        <v>1594</v>
      </c>
      <c r="D522" t="s">
        <v>11</v>
      </c>
      <c r="E522" t="s">
        <v>29</v>
      </c>
      <c r="F522" t="s">
        <v>32</v>
      </c>
      <c r="G522" s="1">
        <v>45700</v>
      </c>
      <c r="H522" t="s">
        <v>39</v>
      </c>
      <c r="I522">
        <v>31701.70498771557</v>
      </c>
      <c r="J522">
        <v>284</v>
      </c>
      <c r="K522" t="s">
        <v>18</v>
      </c>
      <c r="L522" s="1">
        <v>45712</v>
      </c>
      <c r="M522">
        <v>12</v>
      </c>
      <c r="N522" t="s">
        <v>19</v>
      </c>
    </row>
    <row r="523" spans="1:14" x14ac:dyDescent="0.35">
      <c r="A523" t="s">
        <v>1325</v>
      </c>
      <c r="B523">
        <v>81</v>
      </c>
      <c r="C523" t="s">
        <v>1591</v>
      </c>
      <c r="D523" t="s">
        <v>20</v>
      </c>
      <c r="E523" t="s">
        <v>29</v>
      </c>
      <c r="F523" t="s">
        <v>17</v>
      </c>
      <c r="G523" s="1">
        <v>45963</v>
      </c>
      <c r="H523" t="s">
        <v>38</v>
      </c>
      <c r="I523">
        <v>29884.027060680899</v>
      </c>
      <c r="J523">
        <v>152</v>
      </c>
      <c r="K523" t="s">
        <v>25</v>
      </c>
      <c r="L523" s="1">
        <v>45968</v>
      </c>
      <c r="M523">
        <v>5</v>
      </c>
      <c r="N523" t="s">
        <v>27</v>
      </c>
    </row>
    <row r="524" spans="1:14" x14ac:dyDescent="0.35">
      <c r="A524" t="s">
        <v>1326</v>
      </c>
      <c r="B524">
        <v>51</v>
      </c>
      <c r="C524" t="s">
        <v>1592</v>
      </c>
      <c r="D524" t="s">
        <v>20</v>
      </c>
      <c r="E524" t="s">
        <v>21</v>
      </c>
      <c r="F524" t="s">
        <v>13</v>
      </c>
      <c r="G524" s="1">
        <v>45768</v>
      </c>
      <c r="H524" t="s">
        <v>37</v>
      </c>
      <c r="I524">
        <v>45283.309272957827</v>
      </c>
      <c r="J524">
        <v>434</v>
      </c>
      <c r="K524" t="s">
        <v>25</v>
      </c>
      <c r="L524" s="1">
        <v>45781</v>
      </c>
      <c r="M524">
        <v>13</v>
      </c>
      <c r="N524" t="s">
        <v>19</v>
      </c>
    </row>
    <row r="525" spans="1:14" x14ac:dyDescent="0.35">
      <c r="A525" t="s">
        <v>1327</v>
      </c>
      <c r="B525">
        <v>85</v>
      </c>
      <c r="C525" t="s">
        <v>1591</v>
      </c>
      <c r="D525" t="s">
        <v>11</v>
      </c>
      <c r="E525" t="s">
        <v>26</v>
      </c>
      <c r="F525" t="s">
        <v>13</v>
      </c>
      <c r="G525" s="1">
        <v>45857</v>
      </c>
      <c r="H525" t="s">
        <v>39</v>
      </c>
      <c r="I525">
        <v>14510.743800196589</v>
      </c>
      <c r="J525">
        <v>159</v>
      </c>
      <c r="K525" t="s">
        <v>25</v>
      </c>
      <c r="L525" s="1">
        <v>45866</v>
      </c>
      <c r="M525">
        <v>9</v>
      </c>
      <c r="N525" t="s">
        <v>19</v>
      </c>
    </row>
    <row r="526" spans="1:14" x14ac:dyDescent="0.35">
      <c r="A526" t="s">
        <v>1328</v>
      </c>
      <c r="B526">
        <v>34</v>
      </c>
      <c r="C526" t="s">
        <v>1593</v>
      </c>
      <c r="D526" t="s">
        <v>20</v>
      </c>
      <c r="E526" t="s">
        <v>26</v>
      </c>
      <c r="F526" t="s">
        <v>30</v>
      </c>
      <c r="G526" s="1">
        <v>45911</v>
      </c>
      <c r="H526" t="s">
        <v>39</v>
      </c>
      <c r="I526">
        <v>42567.943520048182</v>
      </c>
      <c r="J526">
        <v>452</v>
      </c>
      <c r="K526" t="s">
        <v>25</v>
      </c>
      <c r="L526" s="1">
        <v>45913</v>
      </c>
      <c r="M526">
        <v>2</v>
      </c>
      <c r="N526" t="s">
        <v>27</v>
      </c>
    </row>
    <row r="527" spans="1:14" x14ac:dyDescent="0.35">
      <c r="A527" t="s">
        <v>1329</v>
      </c>
      <c r="B527">
        <v>59</v>
      </c>
      <c r="C527" t="s">
        <v>1592</v>
      </c>
      <c r="D527" t="s">
        <v>11</v>
      </c>
      <c r="E527" t="s">
        <v>12</v>
      </c>
      <c r="F527" t="s">
        <v>32</v>
      </c>
      <c r="G527" s="1">
        <v>45751</v>
      </c>
      <c r="H527" t="s">
        <v>37</v>
      </c>
      <c r="I527">
        <v>32709.614939156188</v>
      </c>
      <c r="J527">
        <v>242</v>
      </c>
      <c r="K527" t="s">
        <v>18</v>
      </c>
      <c r="L527" s="1">
        <v>45752</v>
      </c>
      <c r="M527">
        <v>1</v>
      </c>
      <c r="N527" t="s">
        <v>15</v>
      </c>
    </row>
    <row r="528" spans="1:14" x14ac:dyDescent="0.35">
      <c r="A528" t="s">
        <v>1330</v>
      </c>
      <c r="B528">
        <v>25</v>
      </c>
      <c r="C528" t="s">
        <v>1593</v>
      </c>
      <c r="D528" t="s">
        <v>11</v>
      </c>
      <c r="E528" t="s">
        <v>16</v>
      </c>
      <c r="F528" t="s">
        <v>17</v>
      </c>
      <c r="G528" s="1">
        <v>45827</v>
      </c>
      <c r="H528" t="s">
        <v>38</v>
      </c>
      <c r="I528">
        <v>2743.4503859077349</v>
      </c>
      <c r="J528">
        <v>362</v>
      </c>
      <c r="K528" t="s">
        <v>18</v>
      </c>
      <c r="L528" s="1">
        <v>45836</v>
      </c>
      <c r="M528">
        <v>9</v>
      </c>
      <c r="N528" t="s">
        <v>19</v>
      </c>
    </row>
    <row r="529" spans="1:14" x14ac:dyDescent="0.35">
      <c r="A529" t="s">
        <v>1331</v>
      </c>
      <c r="B529">
        <v>29</v>
      </c>
      <c r="C529" t="s">
        <v>1593</v>
      </c>
      <c r="D529" t="s">
        <v>20</v>
      </c>
      <c r="E529" t="s">
        <v>21</v>
      </c>
      <c r="F529" t="s">
        <v>32</v>
      </c>
      <c r="G529" s="1">
        <v>45798</v>
      </c>
      <c r="H529" t="s">
        <v>37</v>
      </c>
      <c r="I529">
        <v>44993.92747759894</v>
      </c>
      <c r="J529">
        <v>220</v>
      </c>
      <c r="K529" t="s">
        <v>25</v>
      </c>
      <c r="L529" s="1">
        <v>45810</v>
      </c>
      <c r="M529">
        <v>12</v>
      </c>
      <c r="N529" t="s">
        <v>19</v>
      </c>
    </row>
    <row r="530" spans="1:14" x14ac:dyDescent="0.35">
      <c r="A530" t="s">
        <v>1332</v>
      </c>
      <c r="B530">
        <v>24</v>
      </c>
      <c r="C530" t="s">
        <v>1593</v>
      </c>
      <c r="D530" t="s">
        <v>20</v>
      </c>
      <c r="E530" t="s">
        <v>33</v>
      </c>
      <c r="F530" t="s">
        <v>28</v>
      </c>
      <c r="G530" s="1">
        <v>45899</v>
      </c>
      <c r="H530" t="s">
        <v>36</v>
      </c>
      <c r="I530">
        <v>47252.258265964563</v>
      </c>
      <c r="J530">
        <v>335</v>
      </c>
      <c r="K530" t="s">
        <v>18</v>
      </c>
      <c r="L530" s="1">
        <v>45911</v>
      </c>
      <c r="M530">
        <v>12</v>
      </c>
      <c r="N530" t="s">
        <v>22</v>
      </c>
    </row>
    <row r="531" spans="1:14" x14ac:dyDescent="0.35">
      <c r="A531" t="s">
        <v>1333</v>
      </c>
      <c r="B531">
        <v>58</v>
      </c>
      <c r="C531" t="s">
        <v>1592</v>
      </c>
      <c r="D531" t="s">
        <v>11</v>
      </c>
      <c r="E531" t="s">
        <v>34</v>
      </c>
      <c r="F531" t="s">
        <v>32</v>
      </c>
      <c r="G531" s="1">
        <v>45793</v>
      </c>
      <c r="H531" t="s">
        <v>36</v>
      </c>
      <c r="I531">
        <v>49427.876079684313</v>
      </c>
      <c r="J531">
        <v>425</v>
      </c>
      <c r="K531" t="s">
        <v>25</v>
      </c>
      <c r="L531" s="1">
        <v>45796</v>
      </c>
      <c r="M531">
        <v>3</v>
      </c>
      <c r="N531" t="s">
        <v>31</v>
      </c>
    </row>
    <row r="532" spans="1:14" x14ac:dyDescent="0.35">
      <c r="A532" t="s">
        <v>1334</v>
      </c>
      <c r="B532">
        <v>42</v>
      </c>
      <c r="C532" t="s">
        <v>1594</v>
      </c>
      <c r="D532" t="s">
        <v>20</v>
      </c>
      <c r="E532" t="s">
        <v>29</v>
      </c>
      <c r="F532" t="s">
        <v>32</v>
      </c>
      <c r="G532" s="1">
        <v>45707</v>
      </c>
      <c r="H532" t="s">
        <v>39</v>
      </c>
      <c r="I532">
        <v>44417.248286585622</v>
      </c>
      <c r="J532">
        <v>243</v>
      </c>
      <c r="K532" t="s">
        <v>18</v>
      </c>
      <c r="L532" s="1">
        <v>45716</v>
      </c>
      <c r="M532">
        <v>9</v>
      </c>
      <c r="N532" t="s">
        <v>27</v>
      </c>
    </row>
    <row r="533" spans="1:14" x14ac:dyDescent="0.35">
      <c r="A533" t="s">
        <v>1335</v>
      </c>
      <c r="B533">
        <v>37</v>
      </c>
      <c r="C533" t="s">
        <v>1594</v>
      </c>
      <c r="D533" t="s">
        <v>11</v>
      </c>
      <c r="E533" t="s">
        <v>23</v>
      </c>
      <c r="F533" t="s">
        <v>28</v>
      </c>
      <c r="G533" s="1">
        <v>45958</v>
      </c>
      <c r="H533" t="s">
        <v>38</v>
      </c>
      <c r="I533">
        <v>11654.15302417734</v>
      </c>
      <c r="J533">
        <v>180</v>
      </c>
      <c r="K533" t="s">
        <v>25</v>
      </c>
      <c r="L533" s="1">
        <v>45963</v>
      </c>
      <c r="M533">
        <v>5</v>
      </c>
      <c r="N533" t="s">
        <v>31</v>
      </c>
    </row>
    <row r="534" spans="1:14" x14ac:dyDescent="0.35">
      <c r="A534" t="s">
        <v>1336</v>
      </c>
      <c r="B534">
        <v>76</v>
      </c>
      <c r="C534" t="s">
        <v>1591</v>
      </c>
      <c r="D534" t="s">
        <v>20</v>
      </c>
      <c r="E534" t="s">
        <v>29</v>
      </c>
      <c r="F534" t="s">
        <v>17</v>
      </c>
      <c r="G534" s="1">
        <v>45720</v>
      </c>
      <c r="H534" t="s">
        <v>39</v>
      </c>
      <c r="I534">
        <v>23100.647818580728</v>
      </c>
      <c r="J534">
        <v>206</v>
      </c>
      <c r="K534" t="s">
        <v>25</v>
      </c>
      <c r="L534" s="1">
        <v>45721</v>
      </c>
      <c r="M534">
        <v>1</v>
      </c>
      <c r="N534" t="s">
        <v>31</v>
      </c>
    </row>
    <row r="535" spans="1:14" x14ac:dyDescent="0.35">
      <c r="A535" t="s">
        <v>1337</v>
      </c>
      <c r="B535">
        <v>68</v>
      </c>
      <c r="C535" t="s">
        <v>1591</v>
      </c>
      <c r="D535" t="s">
        <v>20</v>
      </c>
      <c r="E535" t="s">
        <v>26</v>
      </c>
      <c r="F535" t="s">
        <v>28</v>
      </c>
      <c r="G535" s="1">
        <v>45989</v>
      </c>
      <c r="H535" t="s">
        <v>39</v>
      </c>
      <c r="I535">
        <v>48038.814758062603</v>
      </c>
      <c r="J535">
        <v>488</v>
      </c>
      <c r="K535" t="s">
        <v>18</v>
      </c>
      <c r="L535" s="1">
        <v>45998</v>
      </c>
      <c r="M535">
        <v>9</v>
      </c>
      <c r="N535" t="s">
        <v>19</v>
      </c>
    </row>
    <row r="536" spans="1:14" x14ac:dyDescent="0.35">
      <c r="A536" t="s">
        <v>938</v>
      </c>
      <c r="B536">
        <v>82</v>
      </c>
      <c r="C536" t="s">
        <v>1591</v>
      </c>
      <c r="D536" t="s">
        <v>20</v>
      </c>
      <c r="E536" t="s">
        <v>26</v>
      </c>
      <c r="F536" t="s">
        <v>17</v>
      </c>
      <c r="G536" s="1">
        <v>45687</v>
      </c>
      <c r="H536" t="s">
        <v>38</v>
      </c>
      <c r="I536">
        <v>29629.085786086911</v>
      </c>
      <c r="J536">
        <v>165</v>
      </c>
      <c r="K536" t="s">
        <v>18</v>
      </c>
      <c r="L536" s="1">
        <v>45700</v>
      </c>
      <c r="M536">
        <v>13</v>
      </c>
      <c r="N536" t="s">
        <v>19</v>
      </c>
    </row>
    <row r="537" spans="1:14" x14ac:dyDescent="0.35">
      <c r="A537" t="s">
        <v>1338</v>
      </c>
      <c r="B537">
        <v>70</v>
      </c>
      <c r="C537" t="s">
        <v>1591</v>
      </c>
      <c r="D537" t="s">
        <v>20</v>
      </c>
      <c r="E537" t="s">
        <v>29</v>
      </c>
      <c r="F537" t="s">
        <v>30</v>
      </c>
      <c r="G537" s="1">
        <v>45809</v>
      </c>
      <c r="H537" t="s">
        <v>37</v>
      </c>
      <c r="I537">
        <v>47372.796713348907</v>
      </c>
      <c r="J537">
        <v>373</v>
      </c>
      <c r="K537" t="s">
        <v>25</v>
      </c>
      <c r="L537" s="1">
        <v>45811</v>
      </c>
      <c r="M537">
        <v>2</v>
      </c>
      <c r="N537" t="s">
        <v>31</v>
      </c>
    </row>
    <row r="538" spans="1:14" x14ac:dyDescent="0.35">
      <c r="A538" t="s">
        <v>1339</v>
      </c>
      <c r="B538">
        <v>69</v>
      </c>
      <c r="C538" t="s">
        <v>1591</v>
      </c>
      <c r="D538" t="s">
        <v>11</v>
      </c>
      <c r="E538" t="s">
        <v>26</v>
      </c>
      <c r="F538" t="s">
        <v>13</v>
      </c>
      <c r="G538" s="1">
        <v>45873</v>
      </c>
      <c r="H538" t="s">
        <v>38</v>
      </c>
      <c r="I538">
        <v>18896.14754558813</v>
      </c>
      <c r="J538">
        <v>142</v>
      </c>
      <c r="K538" t="s">
        <v>18</v>
      </c>
      <c r="L538" s="1">
        <v>45887</v>
      </c>
      <c r="M538">
        <v>14</v>
      </c>
      <c r="N538" t="s">
        <v>22</v>
      </c>
    </row>
    <row r="539" spans="1:14" x14ac:dyDescent="0.35">
      <c r="A539" t="s">
        <v>1340</v>
      </c>
      <c r="B539">
        <v>60</v>
      </c>
      <c r="C539" t="s">
        <v>1592</v>
      </c>
      <c r="D539" t="s">
        <v>20</v>
      </c>
      <c r="E539" t="s">
        <v>33</v>
      </c>
      <c r="F539" t="s">
        <v>17</v>
      </c>
      <c r="G539" s="1">
        <v>46016</v>
      </c>
      <c r="H539" t="s">
        <v>38</v>
      </c>
      <c r="I539">
        <v>45918.942611012681</v>
      </c>
      <c r="J539">
        <v>456</v>
      </c>
      <c r="K539" t="s">
        <v>25</v>
      </c>
      <c r="L539" s="1">
        <v>46022</v>
      </c>
      <c r="M539">
        <v>6</v>
      </c>
      <c r="N539" t="s">
        <v>22</v>
      </c>
    </row>
    <row r="540" spans="1:14" x14ac:dyDescent="0.35">
      <c r="A540" t="s">
        <v>1341</v>
      </c>
      <c r="B540">
        <v>38</v>
      </c>
      <c r="C540" t="s">
        <v>1594</v>
      </c>
      <c r="D540" t="s">
        <v>20</v>
      </c>
      <c r="E540" t="s">
        <v>21</v>
      </c>
      <c r="F540" t="s">
        <v>28</v>
      </c>
      <c r="G540" s="1">
        <v>45889</v>
      </c>
      <c r="H540" t="s">
        <v>37</v>
      </c>
      <c r="I540">
        <v>41094.480242013517</v>
      </c>
      <c r="J540">
        <v>245</v>
      </c>
      <c r="K540" t="s">
        <v>25</v>
      </c>
      <c r="L540" s="1">
        <v>45890</v>
      </c>
      <c r="M540">
        <v>1</v>
      </c>
      <c r="N540" t="s">
        <v>27</v>
      </c>
    </row>
    <row r="541" spans="1:14" x14ac:dyDescent="0.35">
      <c r="A541" t="s">
        <v>1342</v>
      </c>
      <c r="B541">
        <v>43</v>
      </c>
      <c r="C541" t="s">
        <v>1594</v>
      </c>
      <c r="D541" t="s">
        <v>11</v>
      </c>
      <c r="E541" t="s">
        <v>16</v>
      </c>
      <c r="F541" t="s">
        <v>24</v>
      </c>
      <c r="G541" s="1">
        <v>46010</v>
      </c>
      <c r="H541" t="s">
        <v>37</v>
      </c>
      <c r="I541">
        <v>43303.42575209507</v>
      </c>
      <c r="J541">
        <v>366</v>
      </c>
      <c r="K541" t="s">
        <v>18</v>
      </c>
      <c r="L541" s="1">
        <v>46019</v>
      </c>
      <c r="M541">
        <v>9</v>
      </c>
      <c r="N541" t="s">
        <v>15</v>
      </c>
    </row>
    <row r="542" spans="1:14" x14ac:dyDescent="0.35">
      <c r="A542" t="s">
        <v>1343</v>
      </c>
      <c r="B542">
        <v>55</v>
      </c>
      <c r="C542" t="s">
        <v>1592</v>
      </c>
      <c r="D542" t="s">
        <v>20</v>
      </c>
      <c r="E542" t="s">
        <v>33</v>
      </c>
      <c r="F542" t="s">
        <v>28</v>
      </c>
      <c r="G542" s="1">
        <v>45940</v>
      </c>
      <c r="H542" t="s">
        <v>36</v>
      </c>
      <c r="I542">
        <v>8249.5050133652348</v>
      </c>
      <c r="J542">
        <v>339</v>
      </c>
      <c r="K542" t="s">
        <v>18</v>
      </c>
      <c r="L542" s="1">
        <v>45949</v>
      </c>
      <c r="M542">
        <v>9</v>
      </c>
      <c r="N542" t="s">
        <v>27</v>
      </c>
    </row>
    <row r="543" spans="1:14" x14ac:dyDescent="0.35">
      <c r="A543" t="s">
        <v>1344</v>
      </c>
      <c r="B543">
        <v>84</v>
      </c>
      <c r="C543" t="s">
        <v>1591</v>
      </c>
      <c r="D543" t="s">
        <v>20</v>
      </c>
      <c r="E543" t="s">
        <v>34</v>
      </c>
      <c r="F543" t="s">
        <v>24</v>
      </c>
      <c r="G543" s="1">
        <v>45805</v>
      </c>
      <c r="H543" t="s">
        <v>36</v>
      </c>
      <c r="I543">
        <v>-279.84240514028443</v>
      </c>
      <c r="J543">
        <v>142</v>
      </c>
      <c r="K543" t="s">
        <v>18</v>
      </c>
      <c r="L543" s="1">
        <v>45809</v>
      </c>
      <c r="M543">
        <v>4</v>
      </c>
      <c r="N543" t="s">
        <v>27</v>
      </c>
    </row>
    <row r="544" spans="1:14" x14ac:dyDescent="0.35">
      <c r="A544" t="s">
        <v>1345</v>
      </c>
      <c r="B544">
        <v>47</v>
      </c>
      <c r="C544" t="s">
        <v>1594</v>
      </c>
      <c r="D544" t="s">
        <v>11</v>
      </c>
      <c r="E544" t="s">
        <v>21</v>
      </c>
      <c r="F544" t="s">
        <v>28</v>
      </c>
      <c r="G544" s="1">
        <v>45817</v>
      </c>
      <c r="H544" t="s">
        <v>36</v>
      </c>
      <c r="I544">
        <v>2487.9448234187912</v>
      </c>
      <c r="J544">
        <v>161</v>
      </c>
      <c r="K544" t="s">
        <v>25</v>
      </c>
      <c r="L544" s="1">
        <v>45831</v>
      </c>
      <c r="M544">
        <v>14</v>
      </c>
      <c r="N544" t="s">
        <v>27</v>
      </c>
    </row>
    <row r="545" spans="1:14" x14ac:dyDescent="0.35">
      <c r="A545" t="s">
        <v>1346</v>
      </c>
      <c r="B545">
        <v>70</v>
      </c>
      <c r="C545" t="s">
        <v>1591</v>
      </c>
      <c r="D545" t="s">
        <v>20</v>
      </c>
      <c r="E545" t="s">
        <v>23</v>
      </c>
      <c r="F545" t="s">
        <v>30</v>
      </c>
      <c r="G545" s="1">
        <v>45745</v>
      </c>
      <c r="H545" t="s">
        <v>39</v>
      </c>
      <c r="I545">
        <v>49752.20321753715</v>
      </c>
      <c r="J545">
        <v>321</v>
      </c>
      <c r="K545" t="s">
        <v>18</v>
      </c>
      <c r="L545" s="1">
        <v>45751</v>
      </c>
      <c r="M545">
        <v>6</v>
      </c>
      <c r="N545" t="s">
        <v>19</v>
      </c>
    </row>
    <row r="546" spans="1:14" x14ac:dyDescent="0.35">
      <c r="A546" t="s">
        <v>1347</v>
      </c>
      <c r="B546">
        <v>67</v>
      </c>
      <c r="C546" t="s">
        <v>1591</v>
      </c>
      <c r="D546" t="s">
        <v>20</v>
      </c>
      <c r="E546" t="s">
        <v>29</v>
      </c>
      <c r="F546" t="s">
        <v>28</v>
      </c>
      <c r="G546" s="1">
        <v>45882</v>
      </c>
      <c r="H546" t="s">
        <v>39</v>
      </c>
      <c r="I546">
        <v>20977.576735744839</v>
      </c>
      <c r="J546">
        <v>279</v>
      </c>
      <c r="K546" t="s">
        <v>25</v>
      </c>
      <c r="L546" s="1">
        <v>45885</v>
      </c>
      <c r="M546">
        <v>3</v>
      </c>
      <c r="N546" t="s">
        <v>27</v>
      </c>
    </row>
    <row r="547" spans="1:14" x14ac:dyDescent="0.35">
      <c r="A547" t="s">
        <v>1348</v>
      </c>
      <c r="B547">
        <v>40</v>
      </c>
      <c r="C547" t="s">
        <v>1594</v>
      </c>
      <c r="D547" t="s">
        <v>20</v>
      </c>
      <c r="E547" t="s">
        <v>16</v>
      </c>
      <c r="F547" t="s">
        <v>13</v>
      </c>
      <c r="G547" s="1">
        <v>45947</v>
      </c>
      <c r="H547" t="s">
        <v>38</v>
      </c>
      <c r="I547">
        <v>-226.38112001165999</v>
      </c>
      <c r="J547">
        <v>132</v>
      </c>
      <c r="K547" t="s">
        <v>18</v>
      </c>
      <c r="L547" s="1">
        <v>45958</v>
      </c>
      <c r="M547">
        <v>11</v>
      </c>
      <c r="N547" t="s">
        <v>31</v>
      </c>
    </row>
    <row r="548" spans="1:14" x14ac:dyDescent="0.35">
      <c r="A548" t="s">
        <v>1349</v>
      </c>
      <c r="B548">
        <v>29</v>
      </c>
      <c r="C548" t="s">
        <v>1593</v>
      </c>
      <c r="D548" t="s">
        <v>11</v>
      </c>
      <c r="E548" t="s">
        <v>21</v>
      </c>
      <c r="F548" t="s">
        <v>13</v>
      </c>
      <c r="G548" s="1">
        <v>45952</v>
      </c>
      <c r="H548" t="s">
        <v>37</v>
      </c>
      <c r="I548">
        <v>16529.141476231842</v>
      </c>
      <c r="J548">
        <v>124</v>
      </c>
      <c r="K548" t="s">
        <v>25</v>
      </c>
      <c r="L548" s="1">
        <v>45955</v>
      </c>
      <c r="M548">
        <v>3</v>
      </c>
      <c r="N548" t="s">
        <v>15</v>
      </c>
    </row>
    <row r="549" spans="1:14" x14ac:dyDescent="0.35">
      <c r="A549" t="s">
        <v>1350</v>
      </c>
      <c r="B549">
        <v>62</v>
      </c>
      <c r="C549" t="s">
        <v>1592</v>
      </c>
      <c r="D549" t="s">
        <v>20</v>
      </c>
      <c r="E549" t="s">
        <v>34</v>
      </c>
      <c r="F549" t="s">
        <v>28</v>
      </c>
      <c r="G549" s="1">
        <v>45791</v>
      </c>
      <c r="H549" t="s">
        <v>39</v>
      </c>
      <c r="I549">
        <v>30201.88160980419</v>
      </c>
      <c r="J549">
        <v>326</v>
      </c>
      <c r="K549" t="s">
        <v>25</v>
      </c>
      <c r="L549" s="1">
        <v>45795</v>
      </c>
      <c r="M549">
        <v>4</v>
      </c>
      <c r="N549" t="s">
        <v>22</v>
      </c>
    </row>
    <row r="550" spans="1:14" x14ac:dyDescent="0.35">
      <c r="A550" t="s">
        <v>1351</v>
      </c>
      <c r="B550">
        <v>83</v>
      </c>
      <c r="C550" t="s">
        <v>1591</v>
      </c>
      <c r="D550" t="s">
        <v>20</v>
      </c>
      <c r="E550" t="s">
        <v>21</v>
      </c>
      <c r="F550" t="s">
        <v>30</v>
      </c>
      <c r="G550" s="1">
        <v>45698</v>
      </c>
      <c r="H550" t="s">
        <v>38</v>
      </c>
      <c r="I550">
        <v>1656.984539695495</v>
      </c>
      <c r="J550">
        <v>367</v>
      </c>
      <c r="K550" t="s">
        <v>18</v>
      </c>
      <c r="L550" s="1">
        <v>45700</v>
      </c>
      <c r="M550">
        <v>2</v>
      </c>
      <c r="N550" t="s">
        <v>15</v>
      </c>
    </row>
    <row r="551" spans="1:14" x14ac:dyDescent="0.35">
      <c r="A551" t="s">
        <v>1352</v>
      </c>
      <c r="B551">
        <v>25</v>
      </c>
      <c r="C551" t="s">
        <v>1593</v>
      </c>
      <c r="D551" t="s">
        <v>20</v>
      </c>
      <c r="E551" t="s">
        <v>29</v>
      </c>
      <c r="F551" t="s">
        <v>24</v>
      </c>
      <c r="G551" s="1">
        <v>45773</v>
      </c>
      <c r="H551" t="s">
        <v>38</v>
      </c>
      <c r="I551">
        <v>2135.456534255889</v>
      </c>
      <c r="J551">
        <v>486</v>
      </c>
      <c r="K551" t="s">
        <v>25</v>
      </c>
      <c r="L551" s="1">
        <v>45781</v>
      </c>
      <c r="M551">
        <v>8</v>
      </c>
      <c r="N551" t="s">
        <v>19</v>
      </c>
    </row>
    <row r="552" spans="1:14" x14ac:dyDescent="0.35">
      <c r="A552" t="s">
        <v>1353</v>
      </c>
      <c r="B552">
        <v>30</v>
      </c>
      <c r="C552" t="s">
        <v>1593</v>
      </c>
      <c r="D552" t="s">
        <v>20</v>
      </c>
      <c r="E552" t="s">
        <v>23</v>
      </c>
      <c r="F552" t="s">
        <v>24</v>
      </c>
      <c r="G552" s="1">
        <v>45781</v>
      </c>
      <c r="H552" t="s">
        <v>37</v>
      </c>
      <c r="I552">
        <v>11973.08970789012</v>
      </c>
      <c r="J552">
        <v>338</v>
      </c>
      <c r="K552" t="s">
        <v>25</v>
      </c>
      <c r="L552" s="1">
        <v>45792</v>
      </c>
      <c r="M552">
        <v>11</v>
      </c>
      <c r="N552" t="s">
        <v>27</v>
      </c>
    </row>
    <row r="553" spans="1:14" x14ac:dyDescent="0.35">
      <c r="A553" t="s">
        <v>1354</v>
      </c>
      <c r="B553">
        <v>20</v>
      </c>
      <c r="C553" t="s">
        <v>1593</v>
      </c>
      <c r="D553" t="s">
        <v>20</v>
      </c>
      <c r="E553" t="s">
        <v>23</v>
      </c>
      <c r="F553" t="s">
        <v>30</v>
      </c>
      <c r="G553" s="1">
        <v>45970</v>
      </c>
      <c r="H553" t="s">
        <v>38</v>
      </c>
      <c r="I553">
        <v>14355.883678685181</v>
      </c>
      <c r="J553">
        <v>155</v>
      </c>
      <c r="K553" t="s">
        <v>18</v>
      </c>
      <c r="L553" s="1">
        <v>45977</v>
      </c>
      <c r="M553">
        <v>7</v>
      </c>
      <c r="N553" t="s">
        <v>31</v>
      </c>
    </row>
    <row r="554" spans="1:14" x14ac:dyDescent="0.35">
      <c r="A554" t="s">
        <v>1355</v>
      </c>
      <c r="B554">
        <v>52</v>
      </c>
      <c r="C554" t="s">
        <v>1592</v>
      </c>
      <c r="D554" t="s">
        <v>20</v>
      </c>
      <c r="E554" t="s">
        <v>33</v>
      </c>
      <c r="F554" t="s">
        <v>32</v>
      </c>
      <c r="G554" s="1">
        <v>46013</v>
      </c>
      <c r="H554" t="s">
        <v>39</v>
      </c>
      <c r="I554">
        <v>28277.808970906681</v>
      </c>
      <c r="J554">
        <v>121</v>
      </c>
      <c r="K554" t="s">
        <v>25</v>
      </c>
      <c r="L554" s="1">
        <v>46015</v>
      </c>
      <c r="M554">
        <v>2</v>
      </c>
      <c r="N554" t="s">
        <v>19</v>
      </c>
    </row>
    <row r="555" spans="1:14" x14ac:dyDescent="0.35">
      <c r="A555" t="s">
        <v>1356</v>
      </c>
      <c r="B555">
        <v>33</v>
      </c>
      <c r="C555" t="s">
        <v>1593</v>
      </c>
      <c r="D555" t="s">
        <v>20</v>
      </c>
      <c r="E555" t="s">
        <v>33</v>
      </c>
      <c r="F555" t="s">
        <v>28</v>
      </c>
      <c r="G555" s="1">
        <v>45989</v>
      </c>
      <c r="H555" t="s">
        <v>39</v>
      </c>
      <c r="I555">
        <v>44773.49236376601</v>
      </c>
      <c r="J555">
        <v>313</v>
      </c>
      <c r="K555" t="s">
        <v>25</v>
      </c>
      <c r="L555" s="1">
        <v>45999</v>
      </c>
      <c r="M555">
        <v>10</v>
      </c>
      <c r="N555" t="s">
        <v>22</v>
      </c>
    </row>
    <row r="556" spans="1:14" x14ac:dyDescent="0.35">
      <c r="A556" t="s">
        <v>1357</v>
      </c>
      <c r="B556">
        <v>54</v>
      </c>
      <c r="C556" t="s">
        <v>1592</v>
      </c>
      <c r="D556" t="s">
        <v>20</v>
      </c>
      <c r="E556" t="s">
        <v>34</v>
      </c>
      <c r="F556" t="s">
        <v>30</v>
      </c>
      <c r="G556" s="1">
        <v>45684</v>
      </c>
      <c r="H556" t="s">
        <v>38</v>
      </c>
      <c r="I556">
        <v>33486.781640950598</v>
      </c>
      <c r="J556">
        <v>442</v>
      </c>
      <c r="K556" t="s">
        <v>25</v>
      </c>
      <c r="L556" s="1">
        <v>45695</v>
      </c>
      <c r="M556">
        <v>11</v>
      </c>
      <c r="N556" t="s">
        <v>19</v>
      </c>
    </row>
    <row r="557" spans="1:14" x14ac:dyDescent="0.35">
      <c r="A557" t="s">
        <v>1358</v>
      </c>
      <c r="B557">
        <v>81</v>
      </c>
      <c r="C557" t="s">
        <v>1591</v>
      </c>
      <c r="D557" t="s">
        <v>11</v>
      </c>
      <c r="E557" t="s">
        <v>34</v>
      </c>
      <c r="F557" t="s">
        <v>32</v>
      </c>
      <c r="G557" s="1">
        <v>45991</v>
      </c>
      <c r="H557" t="s">
        <v>36</v>
      </c>
      <c r="I557">
        <v>42433.930010047763</v>
      </c>
      <c r="J557">
        <v>206</v>
      </c>
      <c r="K557" t="s">
        <v>25</v>
      </c>
      <c r="L557" s="1">
        <v>45996</v>
      </c>
      <c r="M557">
        <v>5</v>
      </c>
      <c r="N557" t="s">
        <v>22</v>
      </c>
    </row>
    <row r="558" spans="1:14" x14ac:dyDescent="0.35">
      <c r="A558" t="s">
        <v>1359</v>
      </c>
      <c r="B558">
        <v>35</v>
      </c>
      <c r="C558" t="s">
        <v>1593</v>
      </c>
      <c r="D558" t="s">
        <v>20</v>
      </c>
      <c r="E558" t="s">
        <v>12</v>
      </c>
      <c r="F558" t="s">
        <v>24</v>
      </c>
      <c r="G558" s="1">
        <v>45834</v>
      </c>
      <c r="H558" t="s">
        <v>37</v>
      </c>
      <c r="I558">
        <v>46446.293078557857</v>
      </c>
      <c r="J558">
        <v>115</v>
      </c>
      <c r="K558" t="s">
        <v>18</v>
      </c>
      <c r="L558" s="1">
        <v>45844</v>
      </c>
      <c r="M558">
        <v>10</v>
      </c>
      <c r="N558" t="s">
        <v>22</v>
      </c>
    </row>
    <row r="559" spans="1:14" x14ac:dyDescent="0.35">
      <c r="A559" t="s">
        <v>1360</v>
      </c>
      <c r="B559">
        <v>44</v>
      </c>
      <c r="C559" t="s">
        <v>1594</v>
      </c>
      <c r="D559" t="s">
        <v>11</v>
      </c>
      <c r="E559" t="s">
        <v>33</v>
      </c>
      <c r="F559" t="s">
        <v>13</v>
      </c>
      <c r="G559" s="1">
        <v>45668</v>
      </c>
      <c r="H559" t="s">
        <v>37</v>
      </c>
      <c r="I559">
        <v>12795.19969223959</v>
      </c>
      <c r="J559">
        <v>335</v>
      </c>
      <c r="K559" t="s">
        <v>18</v>
      </c>
      <c r="L559" s="1">
        <v>45681</v>
      </c>
      <c r="M559">
        <v>13</v>
      </c>
      <c r="N559" t="s">
        <v>15</v>
      </c>
    </row>
    <row r="560" spans="1:14" x14ac:dyDescent="0.35">
      <c r="A560" t="s">
        <v>1361</v>
      </c>
      <c r="B560">
        <v>41</v>
      </c>
      <c r="C560" t="s">
        <v>1594</v>
      </c>
      <c r="D560" t="s">
        <v>20</v>
      </c>
      <c r="E560" t="s">
        <v>21</v>
      </c>
      <c r="F560" t="s">
        <v>30</v>
      </c>
      <c r="G560" s="1">
        <v>45936</v>
      </c>
      <c r="H560" t="s">
        <v>36</v>
      </c>
      <c r="I560">
        <v>36111.965511571383</v>
      </c>
      <c r="J560">
        <v>251</v>
      </c>
      <c r="K560" t="s">
        <v>25</v>
      </c>
      <c r="L560" s="1">
        <v>45939</v>
      </c>
      <c r="M560">
        <v>3</v>
      </c>
      <c r="N560" t="s">
        <v>27</v>
      </c>
    </row>
    <row r="561" spans="1:14" x14ac:dyDescent="0.35">
      <c r="A561" t="s">
        <v>1362</v>
      </c>
      <c r="B561">
        <v>68</v>
      </c>
      <c r="C561" t="s">
        <v>1591</v>
      </c>
      <c r="D561" t="s">
        <v>20</v>
      </c>
      <c r="E561" t="s">
        <v>34</v>
      </c>
      <c r="F561" t="s">
        <v>13</v>
      </c>
      <c r="G561" s="1">
        <v>46014</v>
      </c>
      <c r="H561" t="s">
        <v>36</v>
      </c>
      <c r="I561">
        <v>42254.535773507443</v>
      </c>
      <c r="J561">
        <v>120</v>
      </c>
      <c r="K561" t="s">
        <v>25</v>
      </c>
      <c r="L561" s="1">
        <v>46020</v>
      </c>
      <c r="M561">
        <v>6</v>
      </c>
      <c r="N561" t="s">
        <v>22</v>
      </c>
    </row>
    <row r="562" spans="1:14" x14ac:dyDescent="0.35">
      <c r="A562" t="s">
        <v>1363</v>
      </c>
      <c r="B562">
        <v>65</v>
      </c>
      <c r="C562" t="s">
        <v>1592</v>
      </c>
      <c r="D562" t="s">
        <v>20</v>
      </c>
      <c r="E562" t="s">
        <v>34</v>
      </c>
      <c r="F562" t="s">
        <v>13</v>
      </c>
      <c r="G562" s="1">
        <v>45851</v>
      </c>
      <c r="H562" t="s">
        <v>38</v>
      </c>
      <c r="I562">
        <v>22936.48498082588</v>
      </c>
      <c r="J562">
        <v>463</v>
      </c>
      <c r="K562" t="s">
        <v>18</v>
      </c>
      <c r="L562" s="1">
        <v>45864</v>
      </c>
      <c r="M562">
        <v>13</v>
      </c>
      <c r="N562" t="s">
        <v>27</v>
      </c>
    </row>
    <row r="563" spans="1:14" x14ac:dyDescent="0.35">
      <c r="A563" t="s">
        <v>1364</v>
      </c>
      <c r="B563">
        <v>77</v>
      </c>
      <c r="C563" t="s">
        <v>1591</v>
      </c>
      <c r="D563" t="s">
        <v>20</v>
      </c>
      <c r="E563" t="s">
        <v>26</v>
      </c>
      <c r="F563" t="s">
        <v>28</v>
      </c>
      <c r="G563" s="1">
        <v>45840</v>
      </c>
      <c r="H563" t="s">
        <v>38</v>
      </c>
      <c r="I563">
        <v>13083.092792171539</v>
      </c>
      <c r="J563">
        <v>341</v>
      </c>
      <c r="K563" t="s">
        <v>25</v>
      </c>
      <c r="L563" s="1">
        <v>45843</v>
      </c>
      <c r="M563">
        <v>3</v>
      </c>
      <c r="N563" t="s">
        <v>31</v>
      </c>
    </row>
    <row r="564" spans="1:14" x14ac:dyDescent="0.35">
      <c r="A564" t="s">
        <v>1365</v>
      </c>
      <c r="B564">
        <v>63</v>
      </c>
      <c r="C564" t="s">
        <v>1592</v>
      </c>
      <c r="D564" t="s">
        <v>11</v>
      </c>
      <c r="E564" t="s">
        <v>29</v>
      </c>
      <c r="F564" t="s">
        <v>28</v>
      </c>
      <c r="G564" s="1">
        <v>45734</v>
      </c>
      <c r="H564" t="s">
        <v>36</v>
      </c>
      <c r="I564">
        <v>1403.4570133972611</v>
      </c>
      <c r="J564">
        <v>170</v>
      </c>
      <c r="K564" t="s">
        <v>25</v>
      </c>
      <c r="L564" s="1">
        <v>45741</v>
      </c>
      <c r="M564">
        <v>7</v>
      </c>
      <c r="N564" t="s">
        <v>27</v>
      </c>
    </row>
    <row r="565" spans="1:14" x14ac:dyDescent="0.35">
      <c r="A565" t="s">
        <v>1366</v>
      </c>
      <c r="B565">
        <v>56</v>
      </c>
      <c r="C565" t="s">
        <v>1592</v>
      </c>
      <c r="D565" t="s">
        <v>11</v>
      </c>
      <c r="E565" t="s">
        <v>23</v>
      </c>
      <c r="F565" t="s">
        <v>32</v>
      </c>
      <c r="G565" s="1">
        <v>45817</v>
      </c>
      <c r="H565" t="s">
        <v>36</v>
      </c>
      <c r="I565">
        <v>41653.615771023593</v>
      </c>
      <c r="J565">
        <v>405</v>
      </c>
      <c r="K565" t="s">
        <v>18</v>
      </c>
      <c r="L565" s="1">
        <v>45821</v>
      </c>
      <c r="M565">
        <v>4</v>
      </c>
      <c r="N565" t="s">
        <v>22</v>
      </c>
    </row>
    <row r="566" spans="1:14" x14ac:dyDescent="0.35">
      <c r="A566" t="s">
        <v>1367</v>
      </c>
      <c r="B566">
        <v>35</v>
      </c>
      <c r="C566" t="s">
        <v>1593</v>
      </c>
      <c r="D566" t="s">
        <v>11</v>
      </c>
      <c r="E566" t="s">
        <v>29</v>
      </c>
      <c r="F566" t="s">
        <v>13</v>
      </c>
      <c r="G566" s="1">
        <v>45677</v>
      </c>
      <c r="H566" t="s">
        <v>37</v>
      </c>
      <c r="I566">
        <v>40081.25165425329</v>
      </c>
      <c r="J566">
        <v>345</v>
      </c>
      <c r="K566" t="s">
        <v>18</v>
      </c>
      <c r="L566" s="1">
        <v>45681</v>
      </c>
      <c r="M566">
        <v>4</v>
      </c>
      <c r="N566" t="s">
        <v>19</v>
      </c>
    </row>
    <row r="567" spans="1:14" x14ac:dyDescent="0.35">
      <c r="A567" t="s">
        <v>1368</v>
      </c>
      <c r="B567">
        <v>61</v>
      </c>
      <c r="C567" t="s">
        <v>1592</v>
      </c>
      <c r="D567" t="s">
        <v>20</v>
      </c>
      <c r="E567" t="s">
        <v>21</v>
      </c>
      <c r="F567" t="s">
        <v>28</v>
      </c>
      <c r="G567" s="1">
        <v>45982</v>
      </c>
      <c r="H567" t="s">
        <v>37</v>
      </c>
      <c r="I567">
        <v>14819.455728022651</v>
      </c>
      <c r="J567">
        <v>234</v>
      </c>
      <c r="K567" t="s">
        <v>18</v>
      </c>
      <c r="L567" s="1">
        <v>45995</v>
      </c>
      <c r="M567">
        <v>13</v>
      </c>
      <c r="N567" t="s">
        <v>31</v>
      </c>
    </row>
    <row r="568" spans="1:14" x14ac:dyDescent="0.35">
      <c r="A568" t="s">
        <v>1369</v>
      </c>
      <c r="B568">
        <v>35</v>
      </c>
      <c r="C568" t="s">
        <v>1593</v>
      </c>
      <c r="D568" t="s">
        <v>11</v>
      </c>
      <c r="E568" t="s">
        <v>33</v>
      </c>
      <c r="F568" t="s">
        <v>30</v>
      </c>
      <c r="G568" s="1">
        <v>46013</v>
      </c>
      <c r="H568" t="s">
        <v>36</v>
      </c>
      <c r="I568">
        <v>22490.443614569431</v>
      </c>
      <c r="J568">
        <v>399</v>
      </c>
      <c r="K568" t="s">
        <v>25</v>
      </c>
      <c r="L568" s="1">
        <v>46015</v>
      </c>
      <c r="M568">
        <v>2</v>
      </c>
      <c r="N568" t="s">
        <v>22</v>
      </c>
    </row>
    <row r="569" spans="1:14" x14ac:dyDescent="0.35">
      <c r="A569" t="s">
        <v>1370</v>
      </c>
      <c r="B569">
        <v>64</v>
      </c>
      <c r="C569" t="s">
        <v>1592</v>
      </c>
      <c r="D569" t="s">
        <v>20</v>
      </c>
      <c r="E569" t="s">
        <v>34</v>
      </c>
      <c r="F569" t="s">
        <v>13</v>
      </c>
      <c r="G569" s="1">
        <v>46013</v>
      </c>
      <c r="H569" t="s">
        <v>37</v>
      </c>
      <c r="I569">
        <v>12749.99392567508</v>
      </c>
      <c r="J569">
        <v>497</v>
      </c>
      <c r="K569" t="s">
        <v>18</v>
      </c>
      <c r="L569" s="1">
        <v>46018</v>
      </c>
      <c r="M569">
        <v>5</v>
      </c>
      <c r="N569" t="s">
        <v>31</v>
      </c>
    </row>
    <row r="570" spans="1:14" x14ac:dyDescent="0.35">
      <c r="A570" t="s">
        <v>1371</v>
      </c>
      <c r="B570">
        <v>35</v>
      </c>
      <c r="C570" t="s">
        <v>1593</v>
      </c>
      <c r="D570" t="s">
        <v>20</v>
      </c>
      <c r="E570" t="s">
        <v>12</v>
      </c>
      <c r="F570" t="s">
        <v>28</v>
      </c>
      <c r="G570" s="1">
        <v>45749</v>
      </c>
      <c r="H570" t="s">
        <v>39</v>
      </c>
      <c r="I570">
        <v>27213.482705259241</v>
      </c>
      <c r="J570">
        <v>342</v>
      </c>
      <c r="K570" t="s">
        <v>18</v>
      </c>
      <c r="L570" s="1">
        <v>45760</v>
      </c>
      <c r="M570">
        <v>11</v>
      </c>
      <c r="N570" t="s">
        <v>31</v>
      </c>
    </row>
    <row r="571" spans="1:14" x14ac:dyDescent="0.35">
      <c r="A571" t="s">
        <v>1372</v>
      </c>
      <c r="B571">
        <v>44</v>
      </c>
      <c r="C571" t="s">
        <v>1594</v>
      </c>
      <c r="D571" t="s">
        <v>11</v>
      </c>
      <c r="E571" t="s">
        <v>33</v>
      </c>
      <c r="F571" t="s">
        <v>28</v>
      </c>
      <c r="G571" s="1">
        <v>45974</v>
      </c>
      <c r="H571" t="s">
        <v>39</v>
      </c>
      <c r="I571">
        <v>13127.33995354016</v>
      </c>
      <c r="J571">
        <v>436</v>
      </c>
      <c r="K571" t="s">
        <v>25</v>
      </c>
      <c r="L571" s="1">
        <v>45985</v>
      </c>
      <c r="M571">
        <v>11</v>
      </c>
      <c r="N571" t="s">
        <v>22</v>
      </c>
    </row>
    <row r="572" spans="1:14" x14ac:dyDescent="0.35">
      <c r="A572" t="s">
        <v>1373</v>
      </c>
      <c r="B572">
        <v>35</v>
      </c>
      <c r="C572" t="s">
        <v>1593</v>
      </c>
      <c r="D572" t="s">
        <v>11</v>
      </c>
      <c r="E572" t="s">
        <v>16</v>
      </c>
      <c r="F572" t="s">
        <v>32</v>
      </c>
      <c r="G572" s="1">
        <v>45802</v>
      </c>
      <c r="H572" t="s">
        <v>38</v>
      </c>
      <c r="I572">
        <v>43821.631937736551</v>
      </c>
      <c r="J572">
        <v>466</v>
      </c>
      <c r="K572" t="s">
        <v>25</v>
      </c>
      <c r="L572" s="1">
        <v>45813</v>
      </c>
      <c r="M572">
        <v>11</v>
      </c>
      <c r="N572" t="s">
        <v>31</v>
      </c>
    </row>
    <row r="573" spans="1:14" x14ac:dyDescent="0.35">
      <c r="A573" t="s">
        <v>1374</v>
      </c>
      <c r="B573">
        <v>20</v>
      </c>
      <c r="C573" t="s">
        <v>1593</v>
      </c>
      <c r="D573" t="s">
        <v>20</v>
      </c>
      <c r="E573" t="s">
        <v>21</v>
      </c>
      <c r="F573" t="s">
        <v>28</v>
      </c>
      <c r="G573" s="1">
        <v>46006</v>
      </c>
      <c r="H573" t="s">
        <v>37</v>
      </c>
      <c r="I573">
        <v>18891.088709599069</v>
      </c>
      <c r="J573">
        <v>122</v>
      </c>
      <c r="K573" t="s">
        <v>18</v>
      </c>
      <c r="L573" s="1">
        <v>46019</v>
      </c>
      <c r="M573">
        <v>13</v>
      </c>
      <c r="N573" t="s">
        <v>19</v>
      </c>
    </row>
    <row r="574" spans="1:14" x14ac:dyDescent="0.35">
      <c r="A574" t="s">
        <v>1375</v>
      </c>
      <c r="B574">
        <v>85</v>
      </c>
      <c r="C574" t="s">
        <v>1591</v>
      </c>
      <c r="D574" t="s">
        <v>11</v>
      </c>
      <c r="E574" t="s">
        <v>23</v>
      </c>
      <c r="F574" t="s">
        <v>30</v>
      </c>
      <c r="G574" s="1">
        <v>45713</v>
      </c>
      <c r="H574" t="s">
        <v>38</v>
      </c>
      <c r="I574">
        <v>44113.542332439327</v>
      </c>
      <c r="J574">
        <v>295</v>
      </c>
      <c r="K574" t="s">
        <v>18</v>
      </c>
      <c r="L574" s="1">
        <v>45727</v>
      </c>
      <c r="M574">
        <v>14</v>
      </c>
      <c r="N574" t="s">
        <v>15</v>
      </c>
    </row>
    <row r="575" spans="1:14" x14ac:dyDescent="0.35">
      <c r="A575" t="s">
        <v>1376</v>
      </c>
      <c r="B575">
        <v>37</v>
      </c>
      <c r="C575" t="s">
        <v>1594</v>
      </c>
      <c r="D575" t="s">
        <v>11</v>
      </c>
      <c r="E575" t="s">
        <v>21</v>
      </c>
      <c r="F575" t="s">
        <v>24</v>
      </c>
      <c r="G575" s="1">
        <v>45788</v>
      </c>
      <c r="H575" t="s">
        <v>36</v>
      </c>
      <c r="I575">
        <v>34184.981114590068</v>
      </c>
      <c r="J575">
        <v>126</v>
      </c>
      <c r="K575" t="s">
        <v>18</v>
      </c>
      <c r="L575" s="1">
        <v>45790</v>
      </c>
      <c r="M575">
        <v>2</v>
      </c>
      <c r="N575" t="s">
        <v>27</v>
      </c>
    </row>
    <row r="576" spans="1:14" x14ac:dyDescent="0.35">
      <c r="A576" t="s">
        <v>1377</v>
      </c>
      <c r="B576">
        <v>53</v>
      </c>
      <c r="C576" t="s">
        <v>1592</v>
      </c>
      <c r="D576" t="s">
        <v>20</v>
      </c>
      <c r="E576" t="s">
        <v>33</v>
      </c>
      <c r="F576" t="s">
        <v>24</v>
      </c>
      <c r="G576" s="1">
        <v>45851</v>
      </c>
      <c r="H576" t="s">
        <v>37</v>
      </c>
      <c r="I576">
        <v>44741.122118980064</v>
      </c>
      <c r="J576">
        <v>136</v>
      </c>
      <c r="K576" t="s">
        <v>18</v>
      </c>
      <c r="L576" s="1">
        <v>45865</v>
      </c>
      <c r="M576">
        <v>14</v>
      </c>
      <c r="N576" t="s">
        <v>15</v>
      </c>
    </row>
    <row r="577" spans="1:14" x14ac:dyDescent="0.35">
      <c r="A577" t="s">
        <v>1378</v>
      </c>
      <c r="B577">
        <v>33</v>
      </c>
      <c r="C577" t="s">
        <v>1593</v>
      </c>
      <c r="D577" t="s">
        <v>20</v>
      </c>
      <c r="E577" t="s">
        <v>26</v>
      </c>
      <c r="F577" t="s">
        <v>28</v>
      </c>
      <c r="G577" s="1">
        <v>45712</v>
      </c>
      <c r="H577" t="s">
        <v>39</v>
      </c>
      <c r="I577">
        <v>4251.265728776385</v>
      </c>
      <c r="J577">
        <v>273</v>
      </c>
      <c r="K577" t="s">
        <v>25</v>
      </c>
      <c r="L577" s="1">
        <v>45723</v>
      </c>
      <c r="M577">
        <v>11</v>
      </c>
      <c r="N577" t="s">
        <v>27</v>
      </c>
    </row>
    <row r="578" spans="1:14" x14ac:dyDescent="0.35">
      <c r="A578" t="s">
        <v>1379</v>
      </c>
      <c r="B578">
        <v>44</v>
      </c>
      <c r="C578" t="s">
        <v>1594</v>
      </c>
      <c r="D578" t="s">
        <v>20</v>
      </c>
      <c r="E578" t="s">
        <v>34</v>
      </c>
      <c r="F578" t="s">
        <v>32</v>
      </c>
      <c r="G578" s="1">
        <v>45694</v>
      </c>
      <c r="H578" t="s">
        <v>39</v>
      </c>
      <c r="I578">
        <v>29650.509595166601</v>
      </c>
      <c r="J578">
        <v>366</v>
      </c>
      <c r="K578" t="s">
        <v>18</v>
      </c>
      <c r="L578" s="1">
        <v>45703</v>
      </c>
      <c r="M578">
        <v>9</v>
      </c>
      <c r="N578" t="s">
        <v>22</v>
      </c>
    </row>
    <row r="579" spans="1:14" x14ac:dyDescent="0.35">
      <c r="A579" t="s">
        <v>1380</v>
      </c>
      <c r="B579">
        <v>46</v>
      </c>
      <c r="C579" t="s">
        <v>1594</v>
      </c>
      <c r="D579" t="s">
        <v>20</v>
      </c>
      <c r="E579" t="s">
        <v>21</v>
      </c>
      <c r="F579" t="s">
        <v>24</v>
      </c>
      <c r="G579" s="1">
        <v>45673</v>
      </c>
      <c r="H579" t="s">
        <v>36</v>
      </c>
      <c r="I579">
        <v>2127.0706645975911</v>
      </c>
      <c r="J579">
        <v>192</v>
      </c>
      <c r="K579" t="s">
        <v>18</v>
      </c>
      <c r="L579" s="1">
        <v>45680</v>
      </c>
      <c r="M579">
        <v>7</v>
      </c>
      <c r="N579" t="s">
        <v>31</v>
      </c>
    </row>
    <row r="580" spans="1:14" x14ac:dyDescent="0.35">
      <c r="A580" t="s">
        <v>1381</v>
      </c>
      <c r="B580">
        <v>71</v>
      </c>
      <c r="C580" t="s">
        <v>1591</v>
      </c>
      <c r="D580" t="s">
        <v>11</v>
      </c>
      <c r="E580" t="s">
        <v>12</v>
      </c>
      <c r="F580" t="s">
        <v>32</v>
      </c>
      <c r="G580" s="1">
        <v>45778</v>
      </c>
      <c r="H580" t="s">
        <v>37</v>
      </c>
      <c r="I580">
        <v>6383.7029427345324</v>
      </c>
      <c r="J580">
        <v>258</v>
      </c>
      <c r="K580" t="s">
        <v>18</v>
      </c>
      <c r="L580" s="1">
        <v>45786</v>
      </c>
      <c r="M580">
        <v>8</v>
      </c>
      <c r="N580" t="s">
        <v>15</v>
      </c>
    </row>
    <row r="581" spans="1:14" x14ac:dyDescent="0.35">
      <c r="A581" t="s">
        <v>1382</v>
      </c>
      <c r="B581">
        <v>78</v>
      </c>
      <c r="C581" t="s">
        <v>1591</v>
      </c>
      <c r="D581" t="s">
        <v>11</v>
      </c>
      <c r="E581" t="s">
        <v>29</v>
      </c>
      <c r="F581" t="s">
        <v>13</v>
      </c>
      <c r="G581" s="1">
        <v>45892</v>
      </c>
      <c r="H581" t="s">
        <v>37</v>
      </c>
      <c r="I581">
        <v>19579.865985069111</v>
      </c>
      <c r="J581">
        <v>349</v>
      </c>
      <c r="K581" t="s">
        <v>18</v>
      </c>
      <c r="L581" s="1">
        <v>45903</v>
      </c>
      <c r="M581">
        <v>11</v>
      </c>
      <c r="N581" t="s">
        <v>31</v>
      </c>
    </row>
    <row r="582" spans="1:14" x14ac:dyDescent="0.35">
      <c r="A582" t="s">
        <v>1383</v>
      </c>
      <c r="B582">
        <v>44</v>
      </c>
      <c r="C582" t="s">
        <v>1594</v>
      </c>
      <c r="D582" t="s">
        <v>20</v>
      </c>
      <c r="E582" t="s">
        <v>16</v>
      </c>
      <c r="F582" t="s">
        <v>30</v>
      </c>
      <c r="G582" s="1">
        <v>45762</v>
      </c>
      <c r="H582" t="s">
        <v>38</v>
      </c>
      <c r="I582">
        <v>10597.064848362539</v>
      </c>
      <c r="J582">
        <v>438</v>
      </c>
      <c r="K582" t="s">
        <v>18</v>
      </c>
      <c r="L582" s="1">
        <v>45769</v>
      </c>
      <c r="M582">
        <v>7</v>
      </c>
      <c r="N582" t="s">
        <v>15</v>
      </c>
    </row>
    <row r="583" spans="1:14" x14ac:dyDescent="0.35">
      <c r="A583" t="s">
        <v>1384</v>
      </c>
      <c r="B583">
        <v>43</v>
      </c>
      <c r="C583" t="s">
        <v>1594</v>
      </c>
      <c r="D583" t="s">
        <v>11</v>
      </c>
      <c r="E583" t="s">
        <v>12</v>
      </c>
      <c r="F583" t="s">
        <v>17</v>
      </c>
      <c r="G583" s="1">
        <v>45869</v>
      </c>
      <c r="H583" t="s">
        <v>38</v>
      </c>
      <c r="I583">
        <v>25682.536853059471</v>
      </c>
      <c r="J583">
        <v>487</v>
      </c>
      <c r="K583" t="s">
        <v>18</v>
      </c>
      <c r="L583" s="1">
        <v>45874</v>
      </c>
      <c r="M583">
        <v>5</v>
      </c>
      <c r="N583" t="s">
        <v>22</v>
      </c>
    </row>
    <row r="584" spans="1:14" x14ac:dyDescent="0.35">
      <c r="A584" t="s">
        <v>1385</v>
      </c>
      <c r="B584">
        <v>67</v>
      </c>
      <c r="C584" t="s">
        <v>1591</v>
      </c>
      <c r="D584" t="s">
        <v>20</v>
      </c>
      <c r="E584" t="s">
        <v>26</v>
      </c>
      <c r="F584" t="s">
        <v>13</v>
      </c>
      <c r="G584" s="1">
        <v>45891</v>
      </c>
      <c r="H584" t="s">
        <v>36</v>
      </c>
      <c r="I584">
        <v>46303.091871558187</v>
      </c>
      <c r="J584">
        <v>449</v>
      </c>
      <c r="K584" t="s">
        <v>25</v>
      </c>
      <c r="L584" s="1">
        <v>45900</v>
      </c>
      <c r="M584">
        <v>9</v>
      </c>
      <c r="N584" t="s">
        <v>31</v>
      </c>
    </row>
    <row r="585" spans="1:14" x14ac:dyDescent="0.35">
      <c r="A585" t="s">
        <v>1386</v>
      </c>
      <c r="B585">
        <v>24</v>
      </c>
      <c r="C585" t="s">
        <v>1593</v>
      </c>
      <c r="D585" t="s">
        <v>20</v>
      </c>
      <c r="E585" t="s">
        <v>12</v>
      </c>
      <c r="F585" t="s">
        <v>28</v>
      </c>
      <c r="G585" s="1">
        <v>45690</v>
      </c>
      <c r="H585" t="s">
        <v>39</v>
      </c>
      <c r="I585">
        <v>21303.314228117561</v>
      </c>
      <c r="J585">
        <v>435</v>
      </c>
      <c r="K585" t="s">
        <v>18</v>
      </c>
      <c r="L585" s="1">
        <v>45703</v>
      </c>
      <c r="M585">
        <v>13</v>
      </c>
      <c r="N585" t="s">
        <v>31</v>
      </c>
    </row>
    <row r="586" spans="1:14" x14ac:dyDescent="0.35">
      <c r="A586" t="s">
        <v>1387</v>
      </c>
      <c r="B586">
        <v>74</v>
      </c>
      <c r="C586" t="s">
        <v>1591</v>
      </c>
      <c r="D586" t="s">
        <v>20</v>
      </c>
      <c r="E586" t="s">
        <v>33</v>
      </c>
      <c r="F586" t="s">
        <v>17</v>
      </c>
      <c r="G586" s="1">
        <v>45904</v>
      </c>
      <c r="H586" t="s">
        <v>36</v>
      </c>
      <c r="I586">
        <v>38654.187027127351</v>
      </c>
      <c r="J586">
        <v>437</v>
      </c>
      <c r="K586" t="s">
        <v>18</v>
      </c>
      <c r="L586" s="1">
        <v>45914</v>
      </c>
      <c r="M586">
        <v>10</v>
      </c>
      <c r="N586" t="s">
        <v>31</v>
      </c>
    </row>
    <row r="587" spans="1:14" x14ac:dyDescent="0.35">
      <c r="A587" t="s">
        <v>1388</v>
      </c>
      <c r="B587">
        <v>64</v>
      </c>
      <c r="C587" t="s">
        <v>1592</v>
      </c>
      <c r="D587" t="s">
        <v>11</v>
      </c>
      <c r="E587" t="s">
        <v>34</v>
      </c>
      <c r="F587" t="s">
        <v>28</v>
      </c>
      <c r="G587" s="1">
        <v>45819</v>
      </c>
      <c r="H587" t="s">
        <v>36</v>
      </c>
      <c r="I587">
        <v>15518.597601422371</v>
      </c>
      <c r="J587">
        <v>172</v>
      </c>
      <c r="K587" t="s">
        <v>25</v>
      </c>
      <c r="L587" s="1">
        <v>45830</v>
      </c>
      <c r="M587">
        <v>11</v>
      </c>
      <c r="N587" t="s">
        <v>22</v>
      </c>
    </row>
    <row r="588" spans="1:14" x14ac:dyDescent="0.35">
      <c r="A588" t="s">
        <v>1389</v>
      </c>
      <c r="B588">
        <v>51</v>
      </c>
      <c r="C588" t="s">
        <v>1592</v>
      </c>
      <c r="D588" t="s">
        <v>11</v>
      </c>
      <c r="E588" t="s">
        <v>12</v>
      </c>
      <c r="F588" t="s">
        <v>17</v>
      </c>
      <c r="G588" s="1">
        <v>45782</v>
      </c>
      <c r="H588" t="s">
        <v>36</v>
      </c>
      <c r="I588">
        <v>44110.873238509434</v>
      </c>
      <c r="J588">
        <v>493</v>
      </c>
      <c r="K588" t="s">
        <v>18</v>
      </c>
      <c r="L588" s="1">
        <v>45783</v>
      </c>
      <c r="M588">
        <v>1</v>
      </c>
      <c r="N588" t="s">
        <v>15</v>
      </c>
    </row>
    <row r="589" spans="1:14" x14ac:dyDescent="0.35">
      <c r="A589" t="s">
        <v>1390</v>
      </c>
      <c r="B589">
        <v>33</v>
      </c>
      <c r="C589" t="s">
        <v>1593</v>
      </c>
      <c r="D589" t="s">
        <v>20</v>
      </c>
      <c r="E589" t="s">
        <v>23</v>
      </c>
      <c r="F589" t="s">
        <v>30</v>
      </c>
      <c r="G589" s="1">
        <v>45993</v>
      </c>
      <c r="H589" t="s">
        <v>39</v>
      </c>
      <c r="I589">
        <v>29713.25089335323</v>
      </c>
      <c r="J589">
        <v>471</v>
      </c>
      <c r="K589" t="s">
        <v>18</v>
      </c>
      <c r="L589" s="1">
        <v>46002</v>
      </c>
      <c r="M589">
        <v>9</v>
      </c>
      <c r="N589" t="s">
        <v>22</v>
      </c>
    </row>
    <row r="590" spans="1:14" x14ac:dyDescent="0.35">
      <c r="A590" t="s">
        <v>1391</v>
      </c>
      <c r="B590">
        <v>53</v>
      </c>
      <c r="C590" t="s">
        <v>1592</v>
      </c>
      <c r="D590" t="s">
        <v>11</v>
      </c>
      <c r="E590" t="s">
        <v>26</v>
      </c>
      <c r="F590" t="s">
        <v>28</v>
      </c>
      <c r="G590" s="1">
        <v>45844</v>
      </c>
      <c r="H590" t="s">
        <v>37</v>
      </c>
      <c r="I590">
        <v>20557.41140520417</v>
      </c>
      <c r="J590">
        <v>177</v>
      </c>
      <c r="K590" t="s">
        <v>25</v>
      </c>
      <c r="L590" s="1">
        <v>45857</v>
      </c>
      <c r="M590">
        <v>13</v>
      </c>
      <c r="N590" t="s">
        <v>31</v>
      </c>
    </row>
    <row r="591" spans="1:14" x14ac:dyDescent="0.35">
      <c r="A591" t="s">
        <v>1392</v>
      </c>
      <c r="B591">
        <v>42</v>
      </c>
      <c r="C591" t="s">
        <v>1594</v>
      </c>
      <c r="D591" t="s">
        <v>11</v>
      </c>
      <c r="E591" t="s">
        <v>12</v>
      </c>
      <c r="F591" t="s">
        <v>30</v>
      </c>
      <c r="G591" s="1">
        <v>45730</v>
      </c>
      <c r="H591" t="s">
        <v>36</v>
      </c>
      <c r="I591">
        <v>19473.808688760972</v>
      </c>
      <c r="J591">
        <v>147</v>
      </c>
      <c r="K591" t="s">
        <v>25</v>
      </c>
      <c r="L591" s="1">
        <v>45739</v>
      </c>
      <c r="M591">
        <v>9</v>
      </c>
      <c r="N591" t="s">
        <v>27</v>
      </c>
    </row>
    <row r="592" spans="1:14" x14ac:dyDescent="0.35">
      <c r="A592" t="s">
        <v>1393</v>
      </c>
      <c r="B592">
        <v>42</v>
      </c>
      <c r="C592" t="s">
        <v>1594</v>
      </c>
      <c r="D592" t="s">
        <v>20</v>
      </c>
      <c r="E592" t="s">
        <v>26</v>
      </c>
      <c r="F592" t="s">
        <v>13</v>
      </c>
      <c r="G592" s="1">
        <v>45877</v>
      </c>
      <c r="H592" t="s">
        <v>36</v>
      </c>
      <c r="I592">
        <v>363.66620013158041</v>
      </c>
      <c r="J592">
        <v>192</v>
      </c>
      <c r="K592" t="s">
        <v>25</v>
      </c>
      <c r="L592" s="1">
        <v>45878</v>
      </c>
      <c r="M592">
        <v>1</v>
      </c>
      <c r="N592" t="s">
        <v>27</v>
      </c>
    </row>
    <row r="593" spans="1:14" x14ac:dyDescent="0.35">
      <c r="A593" t="s">
        <v>1394</v>
      </c>
      <c r="B593">
        <v>53</v>
      </c>
      <c r="C593" t="s">
        <v>1592</v>
      </c>
      <c r="D593" t="s">
        <v>11</v>
      </c>
      <c r="E593" t="s">
        <v>21</v>
      </c>
      <c r="F593" t="s">
        <v>17</v>
      </c>
      <c r="G593" s="1">
        <v>45938</v>
      </c>
      <c r="H593" t="s">
        <v>37</v>
      </c>
      <c r="I593">
        <v>27489.87656181342</v>
      </c>
      <c r="J593">
        <v>180</v>
      </c>
      <c r="K593" t="s">
        <v>25</v>
      </c>
      <c r="L593" s="1">
        <v>45942</v>
      </c>
      <c r="M593">
        <v>4</v>
      </c>
      <c r="N593" t="s">
        <v>31</v>
      </c>
    </row>
    <row r="594" spans="1:14" x14ac:dyDescent="0.35">
      <c r="A594" t="s">
        <v>1395</v>
      </c>
      <c r="B594">
        <v>56</v>
      </c>
      <c r="C594" t="s">
        <v>1592</v>
      </c>
      <c r="D594" t="s">
        <v>20</v>
      </c>
      <c r="E594" t="s">
        <v>33</v>
      </c>
      <c r="F594" t="s">
        <v>30</v>
      </c>
      <c r="G594" s="1">
        <v>45729</v>
      </c>
      <c r="H594" t="s">
        <v>38</v>
      </c>
      <c r="I594">
        <v>17703.719017962259</v>
      </c>
      <c r="J594">
        <v>208</v>
      </c>
      <c r="K594" t="s">
        <v>18</v>
      </c>
      <c r="L594" s="1">
        <v>45741</v>
      </c>
      <c r="M594">
        <v>12</v>
      </c>
      <c r="N594" t="s">
        <v>31</v>
      </c>
    </row>
    <row r="595" spans="1:14" x14ac:dyDescent="0.35">
      <c r="A595" t="s">
        <v>1396</v>
      </c>
      <c r="B595">
        <v>57</v>
      </c>
      <c r="C595" t="s">
        <v>1592</v>
      </c>
      <c r="D595" t="s">
        <v>11</v>
      </c>
      <c r="E595" t="s">
        <v>34</v>
      </c>
      <c r="F595" t="s">
        <v>32</v>
      </c>
      <c r="G595" s="1">
        <v>46015</v>
      </c>
      <c r="H595" t="s">
        <v>36</v>
      </c>
      <c r="I595">
        <v>14798.174842239039</v>
      </c>
      <c r="J595">
        <v>178</v>
      </c>
      <c r="K595" t="s">
        <v>25</v>
      </c>
      <c r="L595" s="1">
        <v>46016</v>
      </c>
      <c r="M595">
        <v>1</v>
      </c>
      <c r="N595" t="s">
        <v>22</v>
      </c>
    </row>
    <row r="596" spans="1:14" x14ac:dyDescent="0.35">
      <c r="A596" t="s">
        <v>1397</v>
      </c>
      <c r="B596">
        <v>19</v>
      </c>
      <c r="C596" t="s">
        <v>1593</v>
      </c>
      <c r="D596" t="s">
        <v>20</v>
      </c>
      <c r="E596" t="s">
        <v>12</v>
      </c>
      <c r="F596" t="s">
        <v>32</v>
      </c>
      <c r="G596" s="1">
        <v>45780</v>
      </c>
      <c r="H596" t="s">
        <v>39</v>
      </c>
      <c r="I596">
        <v>22119.901903087619</v>
      </c>
      <c r="J596">
        <v>327</v>
      </c>
      <c r="K596" t="s">
        <v>25</v>
      </c>
      <c r="L596" s="1">
        <v>45793</v>
      </c>
      <c r="M596">
        <v>13</v>
      </c>
      <c r="N596" t="s">
        <v>19</v>
      </c>
    </row>
    <row r="597" spans="1:14" x14ac:dyDescent="0.35">
      <c r="A597" t="s">
        <v>1398</v>
      </c>
      <c r="B597">
        <v>33</v>
      </c>
      <c r="C597" t="s">
        <v>1593</v>
      </c>
      <c r="D597" t="s">
        <v>11</v>
      </c>
      <c r="E597" t="s">
        <v>33</v>
      </c>
      <c r="F597" t="s">
        <v>17</v>
      </c>
      <c r="G597" s="1">
        <v>45677</v>
      </c>
      <c r="H597" t="s">
        <v>38</v>
      </c>
      <c r="I597">
        <v>19878.299876819729</v>
      </c>
      <c r="J597">
        <v>455</v>
      </c>
      <c r="K597" t="s">
        <v>25</v>
      </c>
      <c r="L597" s="1">
        <v>45683</v>
      </c>
      <c r="M597">
        <v>6</v>
      </c>
      <c r="N597" t="s">
        <v>15</v>
      </c>
    </row>
    <row r="598" spans="1:14" x14ac:dyDescent="0.35">
      <c r="A598" t="s">
        <v>1399</v>
      </c>
      <c r="B598">
        <v>18</v>
      </c>
      <c r="C598" t="s">
        <v>1595</v>
      </c>
      <c r="D598" t="s">
        <v>11</v>
      </c>
      <c r="E598" t="s">
        <v>23</v>
      </c>
      <c r="F598" t="s">
        <v>30</v>
      </c>
      <c r="G598" s="1">
        <v>45961</v>
      </c>
      <c r="H598" t="s">
        <v>39</v>
      </c>
      <c r="I598">
        <v>46012.01986013665</v>
      </c>
      <c r="J598">
        <v>369</v>
      </c>
      <c r="K598" t="s">
        <v>25</v>
      </c>
      <c r="L598" s="1">
        <v>45974</v>
      </c>
      <c r="M598">
        <v>13</v>
      </c>
      <c r="N598" t="s">
        <v>31</v>
      </c>
    </row>
    <row r="599" spans="1:14" x14ac:dyDescent="0.35">
      <c r="A599" t="s">
        <v>1400</v>
      </c>
      <c r="B599">
        <v>71</v>
      </c>
      <c r="C599" t="s">
        <v>1591</v>
      </c>
      <c r="D599" t="s">
        <v>20</v>
      </c>
      <c r="E599" t="s">
        <v>21</v>
      </c>
      <c r="F599" t="s">
        <v>24</v>
      </c>
      <c r="G599" s="1">
        <v>45708</v>
      </c>
      <c r="H599" t="s">
        <v>39</v>
      </c>
      <c r="I599">
        <v>27510.319278890322</v>
      </c>
      <c r="J599">
        <v>163</v>
      </c>
      <c r="K599" t="s">
        <v>18</v>
      </c>
      <c r="L599" s="1">
        <v>45713</v>
      </c>
      <c r="M599">
        <v>5</v>
      </c>
      <c r="N599" t="s">
        <v>31</v>
      </c>
    </row>
    <row r="600" spans="1:14" x14ac:dyDescent="0.35">
      <c r="A600" t="s">
        <v>1401</v>
      </c>
      <c r="B600">
        <v>43</v>
      </c>
      <c r="C600" t="s">
        <v>1594</v>
      </c>
      <c r="D600" t="s">
        <v>20</v>
      </c>
      <c r="E600" t="s">
        <v>34</v>
      </c>
      <c r="F600" t="s">
        <v>13</v>
      </c>
      <c r="G600" s="1">
        <v>45775</v>
      </c>
      <c r="H600" t="s">
        <v>36</v>
      </c>
      <c r="I600">
        <v>32068.047250062089</v>
      </c>
      <c r="J600">
        <v>161</v>
      </c>
      <c r="K600" t="s">
        <v>18</v>
      </c>
      <c r="L600" s="1">
        <v>45781</v>
      </c>
      <c r="M600">
        <v>6</v>
      </c>
      <c r="N600" t="s">
        <v>27</v>
      </c>
    </row>
    <row r="601" spans="1:14" x14ac:dyDescent="0.35">
      <c r="A601" t="s">
        <v>1402</v>
      </c>
      <c r="B601">
        <v>47</v>
      </c>
      <c r="C601" t="s">
        <v>1594</v>
      </c>
      <c r="D601" t="s">
        <v>11</v>
      </c>
      <c r="E601" t="s">
        <v>23</v>
      </c>
      <c r="F601" t="s">
        <v>30</v>
      </c>
      <c r="G601" s="1">
        <v>45885</v>
      </c>
      <c r="H601" t="s">
        <v>36</v>
      </c>
      <c r="I601">
        <v>13519.77433735948</v>
      </c>
      <c r="J601">
        <v>436</v>
      </c>
      <c r="K601" t="s">
        <v>18</v>
      </c>
      <c r="L601" s="1">
        <v>45899</v>
      </c>
      <c r="M601">
        <v>14</v>
      </c>
      <c r="N601" t="s">
        <v>19</v>
      </c>
    </row>
    <row r="602" spans="1:14" x14ac:dyDescent="0.35">
      <c r="A602" t="s">
        <v>1403</v>
      </c>
      <c r="B602">
        <v>57</v>
      </c>
      <c r="C602" t="s">
        <v>1592</v>
      </c>
      <c r="D602" t="s">
        <v>11</v>
      </c>
      <c r="E602" t="s">
        <v>23</v>
      </c>
      <c r="F602" t="s">
        <v>32</v>
      </c>
      <c r="G602" s="1">
        <v>45940</v>
      </c>
      <c r="H602" t="s">
        <v>36</v>
      </c>
      <c r="I602">
        <v>42056.044881278911</v>
      </c>
      <c r="J602">
        <v>277</v>
      </c>
      <c r="K602" t="s">
        <v>18</v>
      </c>
      <c r="L602" s="1">
        <v>45942</v>
      </c>
      <c r="M602">
        <v>2</v>
      </c>
      <c r="N602" t="s">
        <v>15</v>
      </c>
    </row>
    <row r="603" spans="1:14" x14ac:dyDescent="0.35">
      <c r="A603" t="s">
        <v>1404</v>
      </c>
      <c r="B603">
        <v>26</v>
      </c>
      <c r="C603" t="s">
        <v>1593</v>
      </c>
      <c r="D603" t="s">
        <v>20</v>
      </c>
      <c r="E603" t="s">
        <v>21</v>
      </c>
      <c r="F603" t="s">
        <v>32</v>
      </c>
      <c r="G603" s="1">
        <v>45672</v>
      </c>
      <c r="H603" t="s">
        <v>36</v>
      </c>
      <c r="I603">
        <v>39655.140227197291</v>
      </c>
      <c r="J603">
        <v>444</v>
      </c>
      <c r="K603" t="s">
        <v>25</v>
      </c>
      <c r="L603" s="1">
        <v>45685</v>
      </c>
      <c r="M603">
        <v>13</v>
      </c>
      <c r="N603" t="s">
        <v>19</v>
      </c>
    </row>
    <row r="604" spans="1:14" x14ac:dyDescent="0.35">
      <c r="A604" t="s">
        <v>1405</v>
      </c>
      <c r="B604">
        <v>67</v>
      </c>
      <c r="C604" t="s">
        <v>1591</v>
      </c>
      <c r="D604" t="s">
        <v>11</v>
      </c>
      <c r="E604" t="s">
        <v>12</v>
      </c>
      <c r="F604" t="s">
        <v>24</v>
      </c>
      <c r="G604" s="1">
        <v>45845</v>
      </c>
      <c r="H604" t="s">
        <v>38</v>
      </c>
      <c r="I604">
        <v>10210.304434653381</v>
      </c>
      <c r="J604">
        <v>207</v>
      </c>
      <c r="K604" t="s">
        <v>25</v>
      </c>
      <c r="L604" s="1">
        <v>45859</v>
      </c>
      <c r="M604">
        <v>14</v>
      </c>
      <c r="N604" t="s">
        <v>19</v>
      </c>
    </row>
    <row r="605" spans="1:14" x14ac:dyDescent="0.35">
      <c r="A605" t="s">
        <v>1406</v>
      </c>
      <c r="B605">
        <v>52</v>
      </c>
      <c r="C605" t="s">
        <v>1592</v>
      </c>
      <c r="D605" t="s">
        <v>20</v>
      </c>
      <c r="E605" t="s">
        <v>34</v>
      </c>
      <c r="F605" t="s">
        <v>13</v>
      </c>
      <c r="G605" s="1">
        <v>45891</v>
      </c>
      <c r="H605" t="s">
        <v>37</v>
      </c>
      <c r="I605">
        <v>18173.153656373452</v>
      </c>
      <c r="J605">
        <v>332</v>
      </c>
      <c r="K605" t="s">
        <v>25</v>
      </c>
      <c r="L605" s="1">
        <v>45900</v>
      </c>
      <c r="M605">
        <v>9</v>
      </c>
      <c r="N605" t="s">
        <v>22</v>
      </c>
    </row>
    <row r="606" spans="1:14" x14ac:dyDescent="0.35">
      <c r="A606" t="s">
        <v>1407</v>
      </c>
      <c r="B606">
        <v>67</v>
      </c>
      <c r="C606" t="s">
        <v>1591</v>
      </c>
      <c r="D606" t="s">
        <v>20</v>
      </c>
      <c r="E606" t="s">
        <v>33</v>
      </c>
      <c r="F606" t="s">
        <v>17</v>
      </c>
      <c r="G606" s="1">
        <v>45890</v>
      </c>
      <c r="H606" t="s">
        <v>36</v>
      </c>
      <c r="I606">
        <v>41829.772450793709</v>
      </c>
      <c r="J606">
        <v>422</v>
      </c>
      <c r="K606" t="s">
        <v>25</v>
      </c>
      <c r="L606" s="1">
        <v>45904</v>
      </c>
      <c r="M606">
        <v>14</v>
      </c>
      <c r="N606" t="s">
        <v>19</v>
      </c>
    </row>
    <row r="607" spans="1:14" x14ac:dyDescent="0.35">
      <c r="A607" t="s">
        <v>1408</v>
      </c>
      <c r="B607">
        <v>66</v>
      </c>
      <c r="C607" t="s">
        <v>1591</v>
      </c>
      <c r="D607" t="s">
        <v>20</v>
      </c>
      <c r="E607" t="s">
        <v>26</v>
      </c>
      <c r="F607" t="s">
        <v>24</v>
      </c>
      <c r="G607" s="1">
        <v>45708</v>
      </c>
      <c r="H607" t="s">
        <v>39</v>
      </c>
      <c r="I607">
        <v>35775.587444921221</v>
      </c>
      <c r="J607">
        <v>221</v>
      </c>
      <c r="K607" t="s">
        <v>18</v>
      </c>
      <c r="L607" s="1">
        <v>45713</v>
      </c>
      <c r="M607">
        <v>5</v>
      </c>
      <c r="N607" t="s">
        <v>27</v>
      </c>
    </row>
    <row r="608" spans="1:14" x14ac:dyDescent="0.35">
      <c r="A608" t="s">
        <v>1409</v>
      </c>
      <c r="B608">
        <v>64</v>
      </c>
      <c r="C608" t="s">
        <v>1592</v>
      </c>
      <c r="D608" t="s">
        <v>20</v>
      </c>
      <c r="E608" t="s">
        <v>34</v>
      </c>
      <c r="F608" t="s">
        <v>13</v>
      </c>
      <c r="G608" s="1">
        <v>45724</v>
      </c>
      <c r="H608" t="s">
        <v>38</v>
      </c>
      <c r="I608">
        <v>40217.369222765068</v>
      </c>
      <c r="J608">
        <v>118</v>
      </c>
      <c r="K608" t="s">
        <v>25</v>
      </c>
      <c r="L608" s="1">
        <v>45735</v>
      </c>
      <c r="M608">
        <v>11</v>
      </c>
      <c r="N608" t="s">
        <v>22</v>
      </c>
    </row>
    <row r="609" spans="1:14" x14ac:dyDescent="0.35">
      <c r="A609" t="s">
        <v>1410</v>
      </c>
      <c r="B609">
        <v>54</v>
      </c>
      <c r="C609" t="s">
        <v>1592</v>
      </c>
      <c r="D609" t="s">
        <v>11</v>
      </c>
      <c r="E609" t="s">
        <v>34</v>
      </c>
      <c r="F609" t="s">
        <v>28</v>
      </c>
      <c r="G609" s="1">
        <v>45808</v>
      </c>
      <c r="H609" t="s">
        <v>37</v>
      </c>
      <c r="I609">
        <v>49665.830077794708</v>
      </c>
      <c r="J609">
        <v>377</v>
      </c>
      <c r="K609" t="s">
        <v>25</v>
      </c>
      <c r="L609" s="1">
        <v>45814</v>
      </c>
      <c r="M609">
        <v>6</v>
      </c>
      <c r="N609" t="s">
        <v>27</v>
      </c>
    </row>
    <row r="610" spans="1:14" x14ac:dyDescent="0.35">
      <c r="A610" t="s">
        <v>1411</v>
      </c>
      <c r="B610">
        <v>31</v>
      </c>
      <c r="C610" t="s">
        <v>1593</v>
      </c>
      <c r="D610" t="s">
        <v>11</v>
      </c>
      <c r="E610" t="s">
        <v>26</v>
      </c>
      <c r="F610" t="s">
        <v>24</v>
      </c>
      <c r="G610" s="1">
        <v>45789</v>
      </c>
      <c r="H610" t="s">
        <v>38</v>
      </c>
      <c r="I610">
        <v>17266.018881045591</v>
      </c>
      <c r="J610">
        <v>307</v>
      </c>
      <c r="K610" t="s">
        <v>25</v>
      </c>
      <c r="L610" s="1">
        <v>45798</v>
      </c>
      <c r="M610">
        <v>9</v>
      </c>
      <c r="N610" t="s">
        <v>19</v>
      </c>
    </row>
    <row r="611" spans="1:14" x14ac:dyDescent="0.35">
      <c r="A611" t="s">
        <v>1412</v>
      </c>
      <c r="B611">
        <v>73</v>
      </c>
      <c r="C611" t="s">
        <v>1591</v>
      </c>
      <c r="D611" t="s">
        <v>20</v>
      </c>
      <c r="E611" t="s">
        <v>33</v>
      </c>
      <c r="F611" t="s">
        <v>28</v>
      </c>
      <c r="G611" s="1">
        <v>45807</v>
      </c>
      <c r="H611" t="s">
        <v>37</v>
      </c>
      <c r="I611">
        <v>16009.554042263349</v>
      </c>
      <c r="J611">
        <v>388</v>
      </c>
      <c r="K611" t="s">
        <v>18</v>
      </c>
      <c r="L611" s="1">
        <v>45813</v>
      </c>
      <c r="M611">
        <v>6</v>
      </c>
      <c r="N611" t="s">
        <v>31</v>
      </c>
    </row>
    <row r="612" spans="1:14" x14ac:dyDescent="0.35">
      <c r="A612" t="s">
        <v>1413</v>
      </c>
      <c r="B612">
        <v>62</v>
      </c>
      <c r="C612" t="s">
        <v>1592</v>
      </c>
      <c r="D612" t="s">
        <v>11</v>
      </c>
      <c r="E612" t="s">
        <v>12</v>
      </c>
      <c r="F612" t="s">
        <v>17</v>
      </c>
      <c r="G612" s="1">
        <v>45877</v>
      </c>
      <c r="H612" t="s">
        <v>39</v>
      </c>
      <c r="I612">
        <v>40643.906033414278</v>
      </c>
      <c r="J612">
        <v>140</v>
      </c>
      <c r="K612" t="s">
        <v>18</v>
      </c>
      <c r="L612" s="1">
        <v>45885</v>
      </c>
      <c r="M612">
        <v>8</v>
      </c>
      <c r="N612" t="s">
        <v>19</v>
      </c>
    </row>
    <row r="613" spans="1:14" x14ac:dyDescent="0.35">
      <c r="A613" t="s">
        <v>1414</v>
      </c>
      <c r="B613">
        <v>20</v>
      </c>
      <c r="C613" t="s">
        <v>1593</v>
      </c>
      <c r="D613" t="s">
        <v>11</v>
      </c>
      <c r="E613" t="s">
        <v>29</v>
      </c>
      <c r="F613" t="s">
        <v>30</v>
      </c>
      <c r="G613" s="1">
        <v>45774</v>
      </c>
      <c r="H613" t="s">
        <v>38</v>
      </c>
      <c r="I613">
        <v>22180.713230583551</v>
      </c>
      <c r="J613">
        <v>434</v>
      </c>
      <c r="K613" t="s">
        <v>18</v>
      </c>
      <c r="L613" s="1">
        <v>45786</v>
      </c>
      <c r="M613">
        <v>12</v>
      </c>
      <c r="N613" t="s">
        <v>27</v>
      </c>
    </row>
    <row r="614" spans="1:14" x14ac:dyDescent="0.35">
      <c r="A614" t="s">
        <v>1415</v>
      </c>
      <c r="B614">
        <v>58</v>
      </c>
      <c r="C614" t="s">
        <v>1592</v>
      </c>
      <c r="D614" t="s">
        <v>20</v>
      </c>
      <c r="E614" t="s">
        <v>29</v>
      </c>
      <c r="F614" t="s">
        <v>13</v>
      </c>
      <c r="G614" s="1">
        <v>45898</v>
      </c>
      <c r="H614" t="s">
        <v>36</v>
      </c>
      <c r="I614">
        <v>28597.694636428962</v>
      </c>
      <c r="J614">
        <v>364</v>
      </c>
      <c r="K614" t="s">
        <v>18</v>
      </c>
      <c r="L614" s="1">
        <v>45899</v>
      </c>
      <c r="M614">
        <v>1</v>
      </c>
      <c r="N614" t="s">
        <v>19</v>
      </c>
    </row>
    <row r="615" spans="1:14" x14ac:dyDescent="0.35">
      <c r="A615" t="s">
        <v>1416</v>
      </c>
      <c r="B615">
        <v>19</v>
      </c>
      <c r="C615" t="s">
        <v>1593</v>
      </c>
      <c r="D615" t="s">
        <v>20</v>
      </c>
      <c r="E615" t="s">
        <v>34</v>
      </c>
      <c r="F615" t="s">
        <v>17</v>
      </c>
      <c r="G615" s="1">
        <v>45811</v>
      </c>
      <c r="H615" t="s">
        <v>37</v>
      </c>
      <c r="I615">
        <v>46258.618479093457</v>
      </c>
      <c r="J615">
        <v>108</v>
      </c>
      <c r="K615" t="s">
        <v>18</v>
      </c>
      <c r="L615" s="1">
        <v>45820</v>
      </c>
      <c r="M615">
        <v>9</v>
      </c>
      <c r="N615" t="s">
        <v>31</v>
      </c>
    </row>
    <row r="616" spans="1:14" x14ac:dyDescent="0.35">
      <c r="A616" t="s">
        <v>1417</v>
      </c>
      <c r="B616">
        <v>72</v>
      </c>
      <c r="C616" t="s">
        <v>1591</v>
      </c>
      <c r="D616" t="s">
        <v>11</v>
      </c>
      <c r="E616" t="s">
        <v>21</v>
      </c>
      <c r="F616" t="s">
        <v>32</v>
      </c>
      <c r="G616" s="1">
        <v>45889</v>
      </c>
      <c r="H616" t="s">
        <v>38</v>
      </c>
      <c r="I616">
        <v>44748.521243369833</v>
      </c>
      <c r="J616">
        <v>151</v>
      </c>
      <c r="K616" t="s">
        <v>18</v>
      </c>
      <c r="L616" s="1">
        <v>45897</v>
      </c>
      <c r="M616">
        <v>8</v>
      </c>
      <c r="N616" t="s">
        <v>22</v>
      </c>
    </row>
    <row r="617" spans="1:14" x14ac:dyDescent="0.35">
      <c r="A617" t="s">
        <v>1418</v>
      </c>
      <c r="B617">
        <v>78</v>
      </c>
      <c r="C617" t="s">
        <v>1591</v>
      </c>
      <c r="D617" t="s">
        <v>20</v>
      </c>
      <c r="E617" t="s">
        <v>12</v>
      </c>
      <c r="F617" t="s">
        <v>32</v>
      </c>
      <c r="G617" s="1">
        <v>45981</v>
      </c>
      <c r="H617" t="s">
        <v>38</v>
      </c>
      <c r="I617">
        <v>38367.474403362343</v>
      </c>
      <c r="J617">
        <v>159</v>
      </c>
      <c r="K617" t="s">
        <v>25</v>
      </c>
      <c r="L617" s="1">
        <v>45995</v>
      </c>
      <c r="M617">
        <v>14</v>
      </c>
      <c r="N617" t="s">
        <v>22</v>
      </c>
    </row>
    <row r="618" spans="1:14" x14ac:dyDescent="0.35">
      <c r="A618" t="s">
        <v>1419</v>
      </c>
      <c r="B618">
        <v>25</v>
      </c>
      <c r="C618" t="s">
        <v>1593</v>
      </c>
      <c r="D618" t="s">
        <v>11</v>
      </c>
      <c r="E618" t="s">
        <v>29</v>
      </c>
      <c r="F618" t="s">
        <v>30</v>
      </c>
      <c r="G618" s="1">
        <v>45921</v>
      </c>
      <c r="H618" t="s">
        <v>38</v>
      </c>
      <c r="I618">
        <v>43735.184369034207</v>
      </c>
      <c r="J618">
        <v>379</v>
      </c>
      <c r="K618" t="s">
        <v>25</v>
      </c>
      <c r="L618" s="1">
        <v>45925</v>
      </c>
      <c r="M618">
        <v>4</v>
      </c>
      <c r="N618" t="s">
        <v>15</v>
      </c>
    </row>
    <row r="619" spans="1:14" x14ac:dyDescent="0.35">
      <c r="A619" t="s">
        <v>1420</v>
      </c>
      <c r="B619">
        <v>50</v>
      </c>
      <c r="C619" t="s">
        <v>1594</v>
      </c>
      <c r="D619" t="s">
        <v>20</v>
      </c>
      <c r="E619" t="s">
        <v>23</v>
      </c>
      <c r="F619" t="s">
        <v>28</v>
      </c>
      <c r="G619" s="1">
        <v>45745</v>
      </c>
      <c r="H619" t="s">
        <v>36</v>
      </c>
      <c r="I619">
        <v>37989.117592141723</v>
      </c>
      <c r="J619">
        <v>291</v>
      </c>
      <c r="K619" t="s">
        <v>25</v>
      </c>
      <c r="L619" s="1">
        <v>45747</v>
      </c>
      <c r="M619">
        <v>2</v>
      </c>
      <c r="N619" t="s">
        <v>22</v>
      </c>
    </row>
    <row r="620" spans="1:14" x14ac:dyDescent="0.35">
      <c r="A620" t="s">
        <v>1421</v>
      </c>
      <c r="B620">
        <v>49</v>
      </c>
      <c r="C620" t="s">
        <v>1594</v>
      </c>
      <c r="D620" t="s">
        <v>20</v>
      </c>
      <c r="E620" t="s">
        <v>21</v>
      </c>
      <c r="F620" t="s">
        <v>13</v>
      </c>
      <c r="G620" s="1">
        <v>45748</v>
      </c>
      <c r="H620" t="s">
        <v>37</v>
      </c>
      <c r="I620">
        <v>2327.4287417176638</v>
      </c>
      <c r="J620">
        <v>132</v>
      </c>
      <c r="K620" t="s">
        <v>25</v>
      </c>
      <c r="L620" s="1">
        <v>45755</v>
      </c>
      <c r="M620">
        <v>7</v>
      </c>
      <c r="N620" t="s">
        <v>15</v>
      </c>
    </row>
    <row r="621" spans="1:14" x14ac:dyDescent="0.35">
      <c r="A621" t="s">
        <v>1422</v>
      </c>
      <c r="B621">
        <v>67</v>
      </c>
      <c r="C621" t="s">
        <v>1591</v>
      </c>
      <c r="D621" t="s">
        <v>11</v>
      </c>
      <c r="E621" t="s">
        <v>23</v>
      </c>
      <c r="F621" t="s">
        <v>17</v>
      </c>
      <c r="G621" s="1">
        <v>45851</v>
      </c>
      <c r="H621" t="s">
        <v>38</v>
      </c>
      <c r="I621">
        <v>8466.001486340263</v>
      </c>
      <c r="J621">
        <v>178</v>
      </c>
      <c r="K621" t="s">
        <v>25</v>
      </c>
      <c r="L621" s="1">
        <v>45865</v>
      </c>
      <c r="M621">
        <v>14</v>
      </c>
      <c r="N621" t="s">
        <v>15</v>
      </c>
    </row>
    <row r="622" spans="1:14" x14ac:dyDescent="0.35">
      <c r="A622" t="s">
        <v>1423</v>
      </c>
      <c r="B622">
        <v>23</v>
      </c>
      <c r="C622" t="s">
        <v>1593</v>
      </c>
      <c r="D622" t="s">
        <v>11</v>
      </c>
      <c r="E622" t="s">
        <v>29</v>
      </c>
      <c r="F622" t="s">
        <v>17</v>
      </c>
      <c r="G622" s="1">
        <v>45983</v>
      </c>
      <c r="H622" t="s">
        <v>38</v>
      </c>
      <c r="I622">
        <v>46909.010369823904</v>
      </c>
      <c r="J622">
        <v>498</v>
      </c>
      <c r="K622" t="s">
        <v>18</v>
      </c>
      <c r="L622" s="1">
        <v>45984</v>
      </c>
      <c r="M622">
        <v>1</v>
      </c>
      <c r="N622" t="s">
        <v>27</v>
      </c>
    </row>
    <row r="623" spans="1:14" x14ac:dyDescent="0.35">
      <c r="A623" t="s">
        <v>1424</v>
      </c>
      <c r="B623">
        <v>51</v>
      </c>
      <c r="C623" t="s">
        <v>1592</v>
      </c>
      <c r="D623" t="s">
        <v>20</v>
      </c>
      <c r="E623" t="s">
        <v>34</v>
      </c>
      <c r="F623" t="s">
        <v>28</v>
      </c>
      <c r="G623" s="1">
        <v>45845</v>
      </c>
      <c r="H623" t="s">
        <v>39</v>
      </c>
      <c r="I623">
        <v>15968.90145697251</v>
      </c>
      <c r="J623">
        <v>337</v>
      </c>
      <c r="K623" t="s">
        <v>18</v>
      </c>
      <c r="L623" s="1">
        <v>45850</v>
      </c>
      <c r="M623">
        <v>5</v>
      </c>
      <c r="N623" t="s">
        <v>31</v>
      </c>
    </row>
    <row r="624" spans="1:14" x14ac:dyDescent="0.35">
      <c r="A624" t="s">
        <v>1425</v>
      </c>
      <c r="B624">
        <v>48</v>
      </c>
      <c r="C624" t="s">
        <v>1594</v>
      </c>
      <c r="D624" t="s">
        <v>11</v>
      </c>
      <c r="E624" t="s">
        <v>21</v>
      </c>
      <c r="F624" t="s">
        <v>30</v>
      </c>
      <c r="G624" s="1">
        <v>45934</v>
      </c>
      <c r="H624" t="s">
        <v>37</v>
      </c>
      <c r="I624">
        <v>20513.421361748511</v>
      </c>
      <c r="J624">
        <v>317</v>
      </c>
      <c r="K624" t="s">
        <v>18</v>
      </c>
      <c r="L624" s="1">
        <v>45938</v>
      </c>
      <c r="M624">
        <v>4</v>
      </c>
      <c r="N624" t="s">
        <v>19</v>
      </c>
    </row>
    <row r="625" spans="1:14" x14ac:dyDescent="0.35">
      <c r="A625" t="s">
        <v>1426</v>
      </c>
      <c r="B625">
        <v>36</v>
      </c>
      <c r="C625" t="s">
        <v>1594</v>
      </c>
      <c r="D625" t="s">
        <v>20</v>
      </c>
      <c r="E625" t="s">
        <v>12</v>
      </c>
      <c r="F625" t="s">
        <v>13</v>
      </c>
      <c r="G625" s="1">
        <v>45669</v>
      </c>
      <c r="H625" t="s">
        <v>39</v>
      </c>
      <c r="I625">
        <v>22754.692130789739</v>
      </c>
      <c r="J625">
        <v>247</v>
      </c>
      <c r="K625" t="s">
        <v>25</v>
      </c>
      <c r="L625" s="1">
        <v>45682</v>
      </c>
      <c r="M625">
        <v>13</v>
      </c>
      <c r="N625" t="s">
        <v>19</v>
      </c>
    </row>
    <row r="626" spans="1:14" x14ac:dyDescent="0.35">
      <c r="A626" t="s">
        <v>1427</v>
      </c>
      <c r="B626">
        <v>54</v>
      </c>
      <c r="C626" t="s">
        <v>1592</v>
      </c>
      <c r="D626" t="s">
        <v>20</v>
      </c>
      <c r="E626" t="s">
        <v>16</v>
      </c>
      <c r="F626" t="s">
        <v>28</v>
      </c>
      <c r="G626" s="1">
        <v>45859</v>
      </c>
      <c r="H626" t="s">
        <v>36</v>
      </c>
      <c r="I626">
        <v>14915.627165902781</v>
      </c>
      <c r="J626">
        <v>114</v>
      </c>
      <c r="K626" t="s">
        <v>25</v>
      </c>
      <c r="L626" s="1">
        <v>45860</v>
      </c>
      <c r="M626">
        <v>1</v>
      </c>
      <c r="N626" t="s">
        <v>19</v>
      </c>
    </row>
    <row r="627" spans="1:14" x14ac:dyDescent="0.35">
      <c r="A627" t="s">
        <v>1428</v>
      </c>
      <c r="B627">
        <v>84</v>
      </c>
      <c r="C627" t="s">
        <v>1591</v>
      </c>
      <c r="D627" t="s">
        <v>20</v>
      </c>
      <c r="E627" t="s">
        <v>23</v>
      </c>
      <c r="F627" t="s">
        <v>30</v>
      </c>
      <c r="G627" s="1">
        <v>45915</v>
      </c>
      <c r="H627" t="s">
        <v>36</v>
      </c>
      <c r="I627">
        <v>24198.412246997399</v>
      </c>
      <c r="J627">
        <v>287</v>
      </c>
      <c r="K627" t="s">
        <v>25</v>
      </c>
      <c r="L627" s="1">
        <v>45919</v>
      </c>
      <c r="M627">
        <v>4</v>
      </c>
      <c r="N627" t="s">
        <v>31</v>
      </c>
    </row>
    <row r="628" spans="1:14" x14ac:dyDescent="0.35">
      <c r="A628" t="s">
        <v>1429</v>
      </c>
      <c r="B628">
        <v>58</v>
      </c>
      <c r="C628" t="s">
        <v>1592</v>
      </c>
      <c r="D628" t="s">
        <v>20</v>
      </c>
      <c r="E628" t="s">
        <v>16</v>
      </c>
      <c r="F628" t="s">
        <v>24</v>
      </c>
      <c r="G628" s="1">
        <v>45742</v>
      </c>
      <c r="H628" t="s">
        <v>36</v>
      </c>
      <c r="I628">
        <v>22596.010738295041</v>
      </c>
      <c r="J628">
        <v>342</v>
      </c>
      <c r="K628" t="s">
        <v>25</v>
      </c>
      <c r="L628" s="1">
        <v>45744</v>
      </c>
      <c r="M628">
        <v>2</v>
      </c>
      <c r="N628" t="s">
        <v>22</v>
      </c>
    </row>
    <row r="629" spans="1:14" x14ac:dyDescent="0.35">
      <c r="A629" t="s">
        <v>1430</v>
      </c>
      <c r="B629">
        <v>69</v>
      </c>
      <c r="C629" t="s">
        <v>1591</v>
      </c>
      <c r="D629" t="s">
        <v>20</v>
      </c>
      <c r="E629" t="s">
        <v>21</v>
      </c>
      <c r="F629" t="s">
        <v>13</v>
      </c>
      <c r="G629" s="1">
        <v>45869</v>
      </c>
      <c r="H629" t="s">
        <v>37</v>
      </c>
      <c r="I629">
        <v>10359.89855802125</v>
      </c>
      <c r="J629">
        <v>356</v>
      </c>
      <c r="K629" t="s">
        <v>25</v>
      </c>
      <c r="L629" s="1">
        <v>45878</v>
      </c>
      <c r="M629">
        <v>9</v>
      </c>
      <c r="N629" t="s">
        <v>31</v>
      </c>
    </row>
    <row r="630" spans="1:14" x14ac:dyDescent="0.35">
      <c r="A630" t="s">
        <v>1431</v>
      </c>
      <c r="B630">
        <v>79</v>
      </c>
      <c r="C630" t="s">
        <v>1591</v>
      </c>
      <c r="D630" t="s">
        <v>11</v>
      </c>
      <c r="E630" t="s">
        <v>33</v>
      </c>
      <c r="F630" t="s">
        <v>17</v>
      </c>
      <c r="G630" s="1">
        <v>45765</v>
      </c>
      <c r="H630" t="s">
        <v>36</v>
      </c>
      <c r="I630">
        <v>10966.5202270478</v>
      </c>
      <c r="J630">
        <v>372</v>
      </c>
      <c r="K630" t="s">
        <v>18</v>
      </c>
      <c r="L630" s="1">
        <v>45772</v>
      </c>
      <c r="M630">
        <v>7</v>
      </c>
      <c r="N630" t="s">
        <v>22</v>
      </c>
    </row>
    <row r="631" spans="1:14" x14ac:dyDescent="0.35">
      <c r="A631" t="s">
        <v>1432</v>
      </c>
      <c r="B631">
        <v>62</v>
      </c>
      <c r="C631" t="s">
        <v>1592</v>
      </c>
      <c r="D631" t="s">
        <v>11</v>
      </c>
      <c r="E631" t="s">
        <v>33</v>
      </c>
      <c r="F631" t="s">
        <v>17</v>
      </c>
      <c r="G631" s="1">
        <v>45973</v>
      </c>
      <c r="H631" t="s">
        <v>37</v>
      </c>
      <c r="I631">
        <v>44233.158119878542</v>
      </c>
      <c r="J631">
        <v>147</v>
      </c>
      <c r="K631" t="s">
        <v>25</v>
      </c>
      <c r="L631" s="1">
        <v>45975</v>
      </c>
      <c r="M631">
        <v>2</v>
      </c>
      <c r="N631" t="s">
        <v>27</v>
      </c>
    </row>
    <row r="632" spans="1:14" x14ac:dyDescent="0.35">
      <c r="A632" t="s">
        <v>1433</v>
      </c>
      <c r="B632">
        <v>73</v>
      </c>
      <c r="C632" t="s">
        <v>1591</v>
      </c>
      <c r="D632" t="s">
        <v>20</v>
      </c>
      <c r="E632" t="s">
        <v>16</v>
      </c>
      <c r="F632" t="s">
        <v>30</v>
      </c>
      <c r="G632" s="1">
        <v>45708</v>
      </c>
      <c r="H632" t="s">
        <v>39</v>
      </c>
      <c r="I632">
        <v>48146.269036041587</v>
      </c>
      <c r="J632">
        <v>267</v>
      </c>
      <c r="K632" t="s">
        <v>18</v>
      </c>
      <c r="L632" s="1">
        <v>45712</v>
      </c>
      <c r="M632">
        <v>4</v>
      </c>
      <c r="N632" t="s">
        <v>31</v>
      </c>
    </row>
    <row r="633" spans="1:14" x14ac:dyDescent="0.35">
      <c r="A633" t="s">
        <v>1434</v>
      </c>
      <c r="B633">
        <v>30</v>
      </c>
      <c r="C633" t="s">
        <v>1593</v>
      </c>
      <c r="D633" t="s">
        <v>11</v>
      </c>
      <c r="E633" t="s">
        <v>33</v>
      </c>
      <c r="F633" t="s">
        <v>24</v>
      </c>
      <c r="G633" s="1">
        <v>45757</v>
      </c>
      <c r="H633" t="s">
        <v>39</v>
      </c>
      <c r="I633">
        <v>43600.867480755311</v>
      </c>
      <c r="J633">
        <v>295</v>
      </c>
      <c r="K633" t="s">
        <v>18</v>
      </c>
      <c r="L633" s="1">
        <v>45764</v>
      </c>
      <c r="M633">
        <v>7</v>
      </c>
      <c r="N633" t="s">
        <v>19</v>
      </c>
    </row>
    <row r="634" spans="1:14" x14ac:dyDescent="0.35">
      <c r="A634" t="s">
        <v>1435</v>
      </c>
      <c r="B634">
        <v>73</v>
      </c>
      <c r="C634" t="s">
        <v>1591</v>
      </c>
      <c r="D634" t="s">
        <v>11</v>
      </c>
      <c r="E634" t="s">
        <v>33</v>
      </c>
      <c r="F634" t="s">
        <v>13</v>
      </c>
      <c r="G634" s="1">
        <v>45960</v>
      </c>
      <c r="H634" t="s">
        <v>39</v>
      </c>
      <c r="I634">
        <v>44996.709814628157</v>
      </c>
      <c r="J634">
        <v>469</v>
      </c>
      <c r="K634" t="s">
        <v>18</v>
      </c>
      <c r="L634" s="1">
        <v>45965</v>
      </c>
      <c r="M634">
        <v>5</v>
      </c>
      <c r="N634" t="s">
        <v>22</v>
      </c>
    </row>
    <row r="635" spans="1:14" x14ac:dyDescent="0.35">
      <c r="A635" t="s">
        <v>1436</v>
      </c>
      <c r="B635">
        <v>19</v>
      </c>
      <c r="C635" t="s">
        <v>1593</v>
      </c>
      <c r="D635" t="s">
        <v>11</v>
      </c>
      <c r="E635" t="s">
        <v>26</v>
      </c>
      <c r="F635" t="s">
        <v>13</v>
      </c>
      <c r="G635" s="1">
        <v>45962</v>
      </c>
      <c r="H635" t="s">
        <v>38</v>
      </c>
      <c r="I635">
        <v>43520.710164871489</v>
      </c>
      <c r="J635">
        <v>403</v>
      </c>
      <c r="K635" t="s">
        <v>25</v>
      </c>
      <c r="L635" s="1">
        <v>45966</v>
      </c>
      <c r="M635">
        <v>4</v>
      </c>
      <c r="N635" t="s">
        <v>31</v>
      </c>
    </row>
    <row r="636" spans="1:14" x14ac:dyDescent="0.35">
      <c r="A636" t="s">
        <v>1437</v>
      </c>
      <c r="B636">
        <v>49</v>
      </c>
      <c r="C636" t="s">
        <v>1594</v>
      </c>
      <c r="D636" t="s">
        <v>20</v>
      </c>
      <c r="E636" t="s">
        <v>34</v>
      </c>
      <c r="F636" t="s">
        <v>28</v>
      </c>
      <c r="G636" s="1">
        <v>45905</v>
      </c>
      <c r="H636" t="s">
        <v>36</v>
      </c>
      <c r="I636">
        <v>32768.001852210407</v>
      </c>
      <c r="J636">
        <v>473</v>
      </c>
      <c r="K636" t="s">
        <v>25</v>
      </c>
      <c r="L636" s="1">
        <v>45918</v>
      </c>
      <c r="M636">
        <v>13</v>
      </c>
      <c r="N636" t="s">
        <v>27</v>
      </c>
    </row>
    <row r="637" spans="1:14" x14ac:dyDescent="0.35">
      <c r="A637" t="s">
        <v>1438</v>
      </c>
      <c r="B637">
        <v>19</v>
      </c>
      <c r="C637" t="s">
        <v>1593</v>
      </c>
      <c r="D637" t="s">
        <v>20</v>
      </c>
      <c r="E637" t="s">
        <v>33</v>
      </c>
      <c r="F637" t="s">
        <v>13</v>
      </c>
      <c r="G637" s="1">
        <v>45890</v>
      </c>
      <c r="H637" t="s">
        <v>36</v>
      </c>
      <c r="I637">
        <v>19653.186377381291</v>
      </c>
      <c r="J637">
        <v>139</v>
      </c>
      <c r="K637" t="s">
        <v>25</v>
      </c>
      <c r="L637" s="1">
        <v>45901</v>
      </c>
      <c r="M637">
        <v>11</v>
      </c>
      <c r="N637" t="s">
        <v>31</v>
      </c>
    </row>
    <row r="638" spans="1:14" x14ac:dyDescent="0.35">
      <c r="A638" t="s">
        <v>1439</v>
      </c>
      <c r="B638">
        <v>66</v>
      </c>
      <c r="C638" t="s">
        <v>1591</v>
      </c>
      <c r="D638" t="s">
        <v>20</v>
      </c>
      <c r="E638" t="s">
        <v>34</v>
      </c>
      <c r="F638" t="s">
        <v>17</v>
      </c>
      <c r="G638" s="1">
        <v>45847</v>
      </c>
      <c r="H638" t="s">
        <v>37</v>
      </c>
      <c r="I638">
        <v>2072.7798459727569</v>
      </c>
      <c r="J638">
        <v>438</v>
      </c>
      <c r="K638" t="s">
        <v>18</v>
      </c>
      <c r="L638" s="1">
        <v>45848</v>
      </c>
      <c r="M638">
        <v>1</v>
      </c>
      <c r="N638" t="s">
        <v>15</v>
      </c>
    </row>
    <row r="639" spans="1:14" x14ac:dyDescent="0.35">
      <c r="A639" t="s">
        <v>1440</v>
      </c>
      <c r="B639">
        <v>67</v>
      </c>
      <c r="C639" t="s">
        <v>1591</v>
      </c>
      <c r="D639" t="s">
        <v>20</v>
      </c>
      <c r="E639" t="s">
        <v>34</v>
      </c>
      <c r="F639" t="s">
        <v>24</v>
      </c>
      <c r="G639" s="1">
        <v>45904</v>
      </c>
      <c r="H639" t="s">
        <v>36</v>
      </c>
      <c r="I639">
        <v>44440.733587436887</v>
      </c>
      <c r="J639">
        <v>212</v>
      </c>
      <c r="K639" t="s">
        <v>18</v>
      </c>
      <c r="L639" s="1">
        <v>45918</v>
      </c>
      <c r="M639">
        <v>14</v>
      </c>
      <c r="N639" t="s">
        <v>22</v>
      </c>
    </row>
    <row r="640" spans="1:14" x14ac:dyDescent="0.35">
      <c r="A640" t="s">
        <v>1441</v>
      </c>
      <c r="B640">
        <v>71</v>
      </c>
      <c r="C640" t="s">
        <v>1591</v>
      </c>
      <c r="D640" t="s">
        <v>11</v>
      </c>
      <c r="E640" t="s">
        <v>21</v>
      </c>
      <c r="F640" t="s">
        <v>32</v>
      </c>
      <c r="G640" s="1">
        <v>45834</v>
      </c>
      <c r="H640" t="s">
        <v>36</v>
      </c>
      <c r="I640">
        <v>39598.995351721467</v>
      </c>
      <c r="J640">
        <v>165</v>
      </c>
      <c r="K640" t="s">
        <v>25</v>
      </c>
      <c r="L640" s="1">
        <v>45847</v>
      </c>
      <c r="M640">
        <v>13</v>
      </c>
      <c r="N640" t="s">
        <v>22</v>
      </c>
    </row>
    <row r="641" spans="1:14" x14ac:dyDescent="0.35">
      <c r="A641" t="s">
        <v>1442</v>
      </c>
      <c r="B641">
        <v>72</v>
      </c>
      <c r="C641" t="s">
        <v>1591</v>
      </c>
      <c r="D641" t="s">
        <v>20</v>
      </c>
      <c r="E641" t="s">
        <v>21</v>
      </c>
      <c r="F641" t="s">
        <v>28</v>
      </c>
      <c r="G641" s="1">
        <v>45894</v>
      </c>
      <c r="H641" t="s">
        <v>36</v>
      </c>
      <c r="I641">
        <v>27035.605351924591</v>
      </c>
      <c r="J641">
        <v>211</v>
      </c>
      <c r="K641" t="s">
        <v>25</v>
      </c>
      <c r="L641" s="1">
        <v>45895</v>
      </c>
      <c r="M641">
        <v>1</v>
      </c>
      <c r="N641" t="s">
        <v>15</v>
      </c>
    </row>
    <row r="642" spans="1:14" x14ac:dyDescent="0.35">
      <c r="A642" t="s">
        <v>1443</v>
      </c>
      <c r="B642">
        <v>56</v>
      </c>
      <c r="C642" t="s">
        <v>1592</v>
      </c>
      <c r="D642" t="s">
        <v>11</v>
      </c>
      <c r="E642" t="s">
        <v>26</v>
      </c>
      <c r="F642" t="s">
        <v>28</v>
      </c>
      <c r="G642" s="1">
        <v>45861</v>
      </c>
      <c r="H642" t="s">
        <v>37</v>
      </c>
      <c r="I642">
        <v>31157.06001253258</v>
      </c>
      <c r="J642">
        <v>480</v>
      </c>
      <c r="K642" t="s">
        <v>25</v>
      </c>
      <c r="L642" s="1">
        <v>45867</v>
      </c>
      <c r="M642">
        <v>6</v>
      </c>
      <c r="N642" t="s">
        <v>15</v>
      </c>
    </row>
    <row r="643" spans="1:14" x14ac:dyDescent="0.35">
      <c r="A643" t="s">
        <v>1444</v>
      </c>
      <c r="B643">
        <v>35</v>
      </c>
      <c r="C643" t="s">
        <v>1593</v>
      </c>
      <c r="D643" t="s">
        <v>11</v>
      </c>
      <c r="E643" t="s">
        <v>26</v>
      </c>
      <c r="F643" t="s">
        <v>13</v>
      </c>
      <c r="G643" s="1">
        <v>46016</v>
      </c>
      <c r="H643" t="s">
        <v>39</v>
      </c>
      <c r="I643">
        <v>40062.968097949641</v>
      </c>
      <c r="J643">
        <v>251</v>
      </c>
      <c r="K643" t="s">
        <v>25</v>
      </c>
      <c r="L643" s="1">
        <v>46021</v>
      </c>
      <c r="M643">
        <v>5</v>
      </c>
      <c r="N643" t="s">
        <v>15</v>
      </c>
    </row>
    <row r="644" spans="1:14" x14ac:dyDescent="0.35">
      <c r="A644" t="s">
        <v>1445</v>
      </c>
      <c r="B644">
        <v>79</v>
      </c>
      <c r="C644" t="s">
        <v>1591</v>
      </c>
      <c r="D644" t="s">
        <v>11</v>
      </c>
      <c r="E644" t="s">
        <v>33</v>
      </c>
      <c r="F644" t="s">
        <v>32</v>
      </c>
      <c r="G644" s="1">
        <v>45758</v>
      </c>
      <c r="H644" t="s">
        <v>36</v>
      </c>
      <c r="I644">
        <v>18901.863520805429</v>
      </c>
      <c r="J644">
        <v>172</v>
      </c>
      <c r="K644" t="s">
        <v>25</v>
      </c>
      <c r="L644" s="1">
        <v>45761</v>
      </c>
      <c r="M644">
        <v>3</v>
      </c>
      <c r="N644" t="s">
        <v>27</v>
      </c>
    </row>
    <row r="645" spans="1:14" x14ac:dyDescent="0.35">
      <c r="A645" t="s">
        <v>1446</v>
      </c>
      <c r="B645">
        <v>22</v>
      </c>
      <c r="C645" t="s">
        <v>1593</v>
      </c>
      <c r="D645" t="s">
        <v>11</v>
      </c>
      <c r="E645" t="s">
        <v>29</v>
      </c>
      <c r="F645" t="s">
        <v>24</v>
      </c>
      <c r="G645" s="1">
        <v>45701</v>
      </c>
      <c r="H645" t="s">
        <v>39</v>
      </c>
      <c r="I645">
        <v>47379.28184792339</v>
      </c>
      <c r="J645">
        <v>165</v>
      </c>
      <c r="K645" t="s">
        <v>18</v>
      </c>
      <c r="L645" s="1">
        <v>45715</v>
      </c>
      <c r="M645">
        <v>14</v>
      </c>
      <c r="N645" t="s">
        <v>27</v>
      </c>
    </row>
    <row r="646" spans="1:14" x14ac:dyDescent="0.35">
      <c r="A646" t="s">
        <v>1447</v>
      </c>
      <c r="B646">
        <v>33</v>
      </c>
      <c r="C646" t="s">
        <v>1593</v>
      </c>
      <c r="D646" t="s">
        <v>20</v>
      </c>
      <c r="E646" t="s">
        <v>29</v>
      </c>
      <c r="F646" t="s">
        <v>17</v>
      </c>
      <c r="G646" s="1">
        <v>45732</v>
      </c>
      <c r="H646" t="s">
        <v>36</v>
      </c>
      <c r="I646">
        <v>47438.56084538329</v>
      </c>
      <c r="J646">
        <v>295</v>
      </c>
      <c r="K646" t="s">
        <v>18</v>
      </c>
      <c r="L646" s="1">
        <v>45738</v>
      </c>
      <c r="M646">
        <v>6</v>
      </c>
      <c r="N646" t="s">
        <v>15</v>
      </c>
    </row>
    <row r="647" spans="1:14" x14ac:dyDescent="0.35">
      <c r="A647" t="s">
        <v>1448</v>
      </c>
      <c r="B647">
        <v>18</v>
      </c>
      <c r="C647" t="s">
        <v>1595</v>
      </c>
      <c r="D647" t="s">
        <v>20</v>
      </c>
      <c r="E647" t="s">
        <v>23</v>
      </c>
      <c r="F647" t="s">
        <v>30</v>
      </c>
      <c r="G647" s="1">
        <v>45958</v>
      </c>
      <c r="H647" t="s">
        <v>38</v>
      </c>
      <c r="I647">
        <v>48947.564720670802</v>
      </c>
      <c r="J647">
        <v>350</v>
      </c>
      <c r="K647" t="s">
        <v>25</v>
      </c>
      <c r="L647" s="1">
        <v>45963</v>
      </c>
      <c r="M647">
        <v>5</v>
      </c>
      <c r="N647" t="s">
        <v>15</v>
      </c>
    </row>
    <row r="648" spans="1:14" x14ac:dyDescent="0.35">
      <c r="A648" t="s">
        <v>1449</v>
      </c>
      <c r="B648">
        <v>34</v>
      </c>
      <c r="C648" t="s">
        <v>1593</v>
      </c>
      <c r="D648" t="s">
        <v>20</v>
      </c>
      <c r="E648" t="s">
        <v>23</v>
      </c>
      <c r="F648" t="s">
        <v>17</v>
      </c>
      <c r="G648" s="1">
        <v>45885</v>
      </c>
      <c r="H648" t="s">
        <v>39</v>
      </c>
      <c r="I648">
        <v>3925.5931411910342</v>
      </c>
      <c r="J648">
        <v>380</v>
      </c>
      <c r="K648" t="s">
        <v>18</v>
      </c>
      <c r="L648" s="1">
        <v>45893</v>
      </c>
      <c r="M648">
        <v>8</v>
      </c>
      <c r="N648" t="s">
        <v>15</v>
      </c>
    </row>
    <row r="649" spans="1:14" x14ac:dyDescent="0.35">
      <c r="A649" t="s">
        <v>1450</v>
      </c>
      <c r="B649">
        <v>54</v>
      </c>
      <c r="C649" t="s">
        <v>1592</v>
      </c>
      <c r="D649" t="s">
        <v>20</v>
      </c>
      <c r="E649" t="s">
        <v>34</v>
      </c>
      <c r="F649" t="s">
        <v>32</v>
      </c>
      <c r="G649" s="1">
        <v>45803</v>
      </c>
      <c r="H649" t="s">
        <v>39</v>
      </c>
      <c r="I649">
        <v>45582.040847178061</v>
      </c>
      <c r="J649">
        <v>385</v>
      </c>
      <c r="K649" t="s">
        <v>18</v>
      </c>
      <c r="L649" s="1">
        <v>45805</v>
      </c>
      <c r="M649">
        <v>2</v>
      </c>
      <c r="N649" t="s">
        <v>31</v>
      </c>
    </row>
    <row r="650" spans="1:14" x14ac:dyDescent="0.35">
      <c r="A650" t="s">
        <v>1451</v>
      </c>
      <c r="B650">
        <v>33</v>
      </c>
      <c r="C650" t="s">
        <v>1593</v>
      </c>
      <c r="D650" t="s">
        <v>11</v>
      </c>
      <c r="E650" t="s">
        <v>33</v>
      </c>
      <c r="F650" t="s">
        <v>28</v>
      </c>
      <c r="G650" s="1">
        <v>45693</v>
      </c>
      <c r="H650" t="s">
        <v>36</v>
      </c>
      <c r="I650">
        <v>45351.534568147857</v>
      </c>
      <c r="J650">
        <v>155</v>
      </c>
      <c r="K650" t="s">
        <v>25</v>
      </c>
      <c r="L650" s="1">
        <v>45694</v>
      </c>
      <c r="M650">
        <v>1</v>
      </c>
      <c r="N650" t="s">
        <v>31</v>
      </c>
    </row>
    <row r="651" spans="1:14" x14ac:dyDescent="0.35">
      <c r="A651" t="s">
        <v>1452</v>
      </c>
      <c r="B651">
        <v>66</v>
      </c>
      <c r="C651" t="s">
        <v>1591</v>
      </c>
      <c r="D651" t="s">
        <v>20</v>
      </c>
      <c r="E651" t="s">
        <v>16</v>
      </c>
      <c r="F651" t="s">
        <v>24</v>
      </c>
      <c r="G651" s="1">
        <v>45766</v>
      </c>
      <c r="H651" t="s">
        <v>36</v>
      </c>
      <c r="I651">
        <v>8153.0681247467628</v>
      </c>
      <c r="J651">
        <v>326</v>
      </c>
      <c r="K651" t="s">
        <v>18</v>
      </c>
      <c r="L651" s="1">
        <v>45778</v>
      </c>
      <c r="M651">
        <v>12</v>
      </c>
      <c r="N651" t="s">
        <v>22</v>
      </c>
    </row>
    <row r="652" spans="1:14" x14ac:dyDescent="0.35">
      <c r="A652" t="s">
        <v>1453</v>
      </c>
      <c r="B652">
        <v>57</v>
      </c>
      <c r="C652" t="s">
        <v>1592</v>
      </c>
      <c r="D652" t="s">
        <v>20</v>
      </c>
      <c r="E652" t="s">
        <v>23</v>
      </c>
      <c r="F652" t="s">
        <v>17</v>
      </c>
      <c r="G652" s="1">
        <v>45749</v>
      </c>
      <c r="H652" t="s">
        <v>36</v>
      </c>
      <c r="I652">
        <v>31332.56587956144</v>
      </c>
      <c r="J652">
        <v>203</v>
      </c>
      <c r="K652" t="s">
        <v>25</v>
      </c>
      <c r="L652" s="1">
        <v>45750</v>
      </c>
      <c r="M652">
        <v>1</v>
      </c>
      <c r="N652" t="s">
        <v>22</v>
      </c>
    </row>
    <row r="653" spans="1:14" x14ac:dyDescent="0.35">
      <c r="A653" t="s">
        <v>1454</v>
      </c>
      <c r="B653">
        <v>21</v>
      </c>
      <c r="C653" t="s">
        <v>1593</v>
      </c>
      <c r="D653" t="s">
        <v>11</v>
      </c>
      <c r="E653" t="s">
        <v>21</v>
      </c>
      <c r="F653" t="s">
        <v>13</v>
      </c>
      <c r="G653" s="1">
        <v>45718</v>
      </c>
      <c r="H653" t="s">
        <v>38</v>
      </c>
      <c r="I653">
        <v>20616.550195486539</v>
      </c>
      <c r="J653">
        <v>426</v>
      </c>
      <c r="K653" t="s">
        <v>25</v>
      </c>
      <c r="L653" s="1">
        <v>45730</v>
      </c>
      <c r="M653">
        <v>12</v>
      </c>
      <c r="N653" t="s">
        <v>19</v>
      </c>
    </row>
    <row r="654" spans="1:14" x14ac:dyDescent="0.35">
      <c r="A654" t="s">
        <v>1455</v>
      </c>
      <c r="B654">
        <v>43</v>
      </c>
      <c r="C654" t="s">
        <v>1594</v>
      </c>
      <c r="D654" t="s">
        <v>20</v>
      </c>
      <c r="E654" t="s">
        <v>12</v>
      </c>
      <c r="F654" t="s">
        <v>13</v>
      </c>
      <c r="G654" s="1">
        <v>45694</v>
      </c>
      <c r="H654" t="s">
        <v>39</v>
      </c>
      <c r="I654">
        <v>14902.10565588612</v>
      </c>
      <c r="J654">
        <v>431</v>
      </c>
      <c r="K654" t="s">
        <v>18</v>
      </c>
      <c r="L654" s="1">
        <v>45701</v>
      </c>
      <c r="M654">
        <v>7</v>
      </c>
      <c r="N654" t="s">
        <v>31</v>
      </c>
    </row>
    <row r="655" spans="1:14" x14ac:dyDescent="0.35">
      <c r="A655" t="s">
        <v>1456</v>
      </c>
      <c r="B655">
        <v>62</v>
      </c>
      <c r="C655" t="s">
        <v>1592</v>
      </c>
      <c r="D655" t="s">
        <v>11</v>
      </c>
      <c r="E655" t="s">
        <v>33</v>
      </c>
      <c r="F655" t="s">
        <v>32</v>
      </c>
      <c r="G655" s="1">
        <v>45759</v>
      </c>
      <c r="H655" t="s">
        <v>39</v>
      </c>
      <c r="I655">
        <v>35906.188447406828</v>
      </c>
      <c r="J655">
        <v>121</v>
      </c>
      <c r="K655" t="s">
        <v>25</v>
      </c>
      <c r="L655" s="1">
        <v>45765</v>
      </c>
      <c r="M655">
        <v>6</v>
      </c>
      <c r="N655" t="s">
        <v>22</v>
      </c>
    </row>
    <row r="656" spans="1:14" x14ac:dyDescent="0.35">
      <c r="A656" t="s">
        <v>1457</v>
      </c>
      <c r="B656">
        <v>32</v>
      </c>
      <c r="C656" t="s">
        <v>1593</v>
      </c>
      <c r="D656" t="s">
        <v>11</v>
      </c>
      <c r="E656" t="s">
        <v>23</v>
      </c>
      <c r="F656" t="s">
        <v>13</v>
      </c>
      <c r="G656" s="1">
        <v>45736</v>
      </c>
      <c r="H656" t="s">
        <v>38</v>
      </c>
      <c r="I656">
        <v>36250.968878310239</v>
      </c>
      <c r="J656">
        <v>201</v>
      </c>
      <c r="K656" t="s">
        <v>25</v>
      </c>
      <c r="L656" s="1">
        <v>45748</v>
      </c>
      <c r="M656">
        <v>12</v>
      </c>
      <c r="N656" t="s">
        <v>27</v>
      </c>
    </row>
    <row r="657" spans="1:14" x14ac:dyDescent="0.35">
      <c r="A657" t="s">
        <v>1458</v>
      </c>
      <c r="B657">
        <v>39</v>
      </c>
      <c r="C657" t="s">
        <v>1594</v>
      </c>
      <c r="D657" t="s">
        <v>20</v>
      </c>
      <c r="E657" t="s">
        <v>12</v>
      </c>
      <c r="F657" t="s">
        <v>13</v>
      </c>
      <c r="G657" s="1">
        <v>45750</v>
      </c>
      <c r="H657" t="s">
        <v>36</v>
      </c>
      <c r="I657">
        <v>37685.2743238283</v>
      </c>
      <c r="J657">
        <v>390</v>
      </c>
      <c r="K657" t="s">
        <v>18</v>
      </c>
      <c r="L657" s="1">
        <v>45760</v>
      </c>
      <c r="M657">
        <v>10</v>
      </c>
      <c r="N657" t="s">
        <v>19</v>
      </c>
    </row>
    <row r="658" spans="1:14" x14ac:dyDescent="0.35">
      <c r="A658" t="s">
        <v>1459</v>
      </c>
      <c r="B658">
        <v>38</v>
      </c>
      <c r="C658" t="s">
        <v>1594</v>
      </c>
      <c r="D658" t="s">
        <v>20</v>
      </c>
      <c r="E658" t="s">
        <v>12</v>
      </c>
      <c r="F658" t="s">
        <v>17</v>
      </c>
      <c r="G658" s="1">
        <v>45787</v>
      </c>
      <c r="H658" t="s">
        <v>37</v>
      </c>
      <c r="I658">
        <v>15528.373245424589</v>
      </c>
      <c r="J658">
        <v>309</v>
      </c>
      <c r="K658" t="s">
        <v>18</v>
      </c>
      <c r="L658" s="1">
        <v>45790</v>
      </c>
      <c r="M658">
        <v>3</v>
      </c>
      <c r="N658" t="s">
        <v>27</v>
      </c>
    </row>
    <row r="659" spans="1:14" x14ac:dyDescent="0.35">
      <c r="A659" t="s">
        <v>1460</v>
      </c>
      <c r="B659">
        <v>34</v>
      </c>
      <c r="C659" t="s">
        <v>1593</v>
      </c>
      <c r="D659" t="s">
        <v>11</v>
      </c>
      <c r="E659" t="s">
        <v>33</v>
      </c>
      <c r="F659" t="s">
        <v>28</v>
      </c>
      <c r="G659" s="1">
        <v>45698</v>
      </c>
      <c r="H659" t="s">
        <v>38</v>
      </c>
      <c r="I659">
        <v>45351.534568147857</v>
      </c>
      <c r="J659">
        <v>155</v>
      </c>
      <c r="K659" t="s">
        <v>25</v>
      </c>
      <c r="L659" s="1">
        <v>45706</v>
      </c>
      <c r="M659">
        <v>8</v>
      </c>
      <c r="N659" t="s">
        <v>31</v>
      </c>
    </row>
    <row r="660" spans="1:14" x14ac:dyDescent="0.35">
      <c r="A660" t="s">
        <v>1461</v>
      </c>
      <c r="B660">
        <v>52</v>
      </c>
      <c r="C660" t="s">
        <v>1592</v>
      </c>
      <c r="D660" t="s">
        <v>11</v>
      </c>
      <c r="E660" t="s">
        <v>16</v>
      </c>
      <c r="F660" t="s">
        <v>32</v>
      </c>
      <c r="G660" s="1">
        <v>45804</v>
      </c>
      <c r="H660" t="s">
        <v>37</v>
      </c>
      <c r="I660">
        <v>42569.185316665193</v>
      </c>
      <c r="J660">
        <v>412</v>
      </c>
      <c r="K660" t="s">
        <v>25</v>
      </c>
      <c r="L660" s="1">
        <v>45813</v>
      </c>
      <c r="M660">
        <v>9</v>
      </c>
      <c r="N660" t="s">
        <v>27</v>
      </c>
    </row>
    <row r="661" spans="1:14" x14ac:dyDescent="0.35">
      <c r="A661" t="s">
        <v>1462</v>
      </c>
      <c r="B661">
        <v>68</v>
      </c>
      <c r="C661" t="s">
        <v>1591</v>
      </c>
      <c r="D661" t="s">
        <v>20</v>
      </c>
      <c r="E661" t="s">
        <v>34</v>
      </c>
      <c r="F661" t="s">
        <v>13</v>
      </c>
      <c r="G661" s="1">
        <v>45978</v>
      </c>
      <c r="H661" t="s">
        <v>36</v>
      </c>
      <c r="I661">
        <v>12749.99392567508</v>
      </c>
      <c r="J661">
        <v>497</v>
      </c>
      <c r="K661" t="s">
        <v>18</v>
      </c>
      <c r="L661" s="1">
        <v>45980</v>
      </c>
      <c r="M661">
        <v>2</v>
      </c>
      <c r="N661" t="s">
        <v>31</v>
      </c>
    </row>
    <row r="662" spans="1:14" x14ac:dyDescent="0.35">
      <c r="A662" t="s">
        <v>1463</v>
      </c>
      <c r="B662">
        <v>38</v>
      </c>
      <c r="C662" t="s">
        <v>1594</v>
      </c>
      <c r="D662" t="s">
        <v>20</v>
      </c>
      <c r="E662" t="s">
        <v>16</v>
      </c>
      <c r="F662" t="s">
        <v>32</v>
      </c>
      <c r="G662" s="1">
        <v>45777</v>
      </c>
      <c r="H662" t="s">
        <v>39</v>
      </c>
      <c r="I662">
        <v>44400.354792576378</v>
      </c>
      <c r="J662">
        <v>153</v>
      </c>
      <c r="K662" t="s">
        <v>25</v>
      </c>
      <c r="L662" s="1">
        <v>45784</v>
      </c>
      <c r="M662">
        <v>7</v>
      </c>
      <c r="N662" t="s">
        <v>19</v>
      </c>
    </row>
    <row r="663" spans="1:14" x14ac:dyDescent="0.35">
      <c r="A663" t="s">
        <v>1464</v>
      </c>
      <c r="B663">
        <v>78</v>
      </c>
      <c r="C663" t="s">
        <v>1591</v>
      </c>
      <c r="D663" t="s">
        <v>20</v>
      </c>
      <c r="E663" t="s">
        <v>34</v>
      </c>
      <c r="F663" t="s">
        <v>32</v>
      </c>
      <c r="G663" s="1">
        <v>45964</v>
      </c>
      <c r="H663" t="s">
        <v>39</v>
      </c>
      <c r="I663">
        <v>24984.323711030938</v>
      </c>
      <c r="J663">
        <v>131</v>
      </c>
      <c r="K663" t="s">
        <v>25</v>
      </c>
      <c r="L663" s="1">
        <v>45975</v>
      </c>
      <c r="M663">
        <v>11</v>
      </c>
      <c r="N663" t="s">
        <v>19</v>
      </c>
    </row>
    <row r="664" spans="1:14" x14ac:dyDescent="0.35">
      <c r="A664" t="s">
        <v>1465</v>
      </c>
      <c r="B664">
        <v>18</v>
      </c>
      <c r="C664" t="s">
        <v>1595</v>
      </c>
      <c r="D664" t="s">
        <v>11</v>
      </c>
      <c r="E664" t="s">
        <v>29</v>
      </c>
      <c r="F664" t="s">
        <v>24</v>
      </c>
      <c r="G664" s="1">
        <v>45985</v>
      </c>
      <c r="H664" t="s">
        <v>37</v>
      </c>
      <c r="I664">
        <v>41696.314514859689</v>
      </c>
      <c r="J664">
        <v>206</v>
      </c>
      <c r="K664" t="s">
        <v>25</v>
      </c>
      <c r="L664" s="1">
        <v>45999</v>
      </c>
      <c r="M664">
        <v>14</v>
      </c>
      <c r="N664" t="s">
        <v>15</v>
      </c>
    </row>
    <row r="665" spans="1:14" x14ac:dyDescent="0.35">
      <c r="A665" t="s">
        <v>1466</v>
      </c>
      <c r="B665">
        <v>29</v>
      </c>
      <c r="C665" t="s">
        <v>1593</v>
      </c>
      <c r="D665" t="s">
        <v>11</v>
      </c>
      <c r="E665" t="s">
        <v>33</v>
      </c>
      <c r="F665" t="s">
        <v>32</v>
      </c>
      <c r="G665" s="1">
        <v>45954</v>
      </c>
      <c r="H665" t="s">
        <v>37</v>
      </c>
      <c r="I665">
        <v>39895.717557411277</v>
      </c>
      <c r="J665">
        <v>309</v>
      </c>
      <c r="K665" t="s">
        <v>18</v>
      </c>
      <c r="L665" s="1">
        <v>45964</v>
      </c>
      <c r="M665">
        <v>10</v>
      </c>
      <c r="N665" t="s">
        <v>19</v>
      </c>
    </row>
    <row r="666" spans="1:14" x14ac:dyDescent="0.35">
      <c r="A666" t="s">
        <v>1467</v>
      </c>
      <c r="B666">
        <v>57</v>
      </c>
      <c r="C666" t="s">
        <v>1592</v>
      </c>
      <c r="D666" t="s">
        <v>11</v>
      </c>
      <c r="E666" t="s">
        <v>21</v>
      </c>
      <c r="F666" t="s">
        <v>32</v>
      </c>
      <c r="G666" s="1">
        <v>46021</v>
      </c>
      <c r="H666" t="s">
        <v>37</v>
      </c>
      <c r="I666">
        <v>14210.81732100748</v>
      </c>
      <c r="J666">
        <v>409</v>
      </c>
      <c r="K666" t="s">
        <v>18</v>
      </c>
      <c r="L666" s="1">
        <v>46022</v>
      </c>
      <c r="M666">
        <v>1</v>
      </c>
      <c r="N666" t="s">
        <v>19</v>
      </c>
    </row>
    <row r="667" spans="1:14" x14ac:dyDescent="0.35">
      <c r="A667" t="s">
        <v>1468</v>
      </c>
      <c r="B667">
        <v>69</v>
      </c>
      <c r="C667" t="s">
        <v>1591</v>
      </c>
      <c r="D667" t="s">
        <v>20</v>
      </c>
      <c r="E667" t="s">
        <v>33</v>
      </c>
      <c r="F667" t="s">
        <v>30</v>
      </c>
      <c r="G667" s="1">
        <v>45756</v>
      </c>
      <c r="H667" t="s">
        <v>36</v>
      </c>
      <c r="I667">
        <v>4588.7617031749778</v>
      </c>
      <c r="J667">
        <v>458</v>
      </c>
      <c r="K667" t="s">
        <v>18</v>
      </c>
      <c r="L667" s="1">
        <v>45760</v>
      </c>
      <c r="M667">
        <v>4</v>
      </c>
      <c r="N667" t="s">
        <v>31</v>
      </c>
    </row>
    <row r="668" spans="1:14" x14ac:dyDescent="0.35">
      <c r="A668" t="s">
        <v>1469</v>
      </c>
      <c r="B668">
        <v>61</v>
      </c>
      <c r="C668" t="s">
        <v>1592</v>
      </c>
      <c r="D668" t="s">
        <v>11</v>
      </c>
      <c r="E668" t="s">
        <v>23</v>
      </c>
      <c r="F668" t="s">
        <v>28</v>
      </c>
      <c r="G668" s="1">
        <v>45993</v>
      </c>
      <c r="H668" t="s">
        <v>39</v>
      </c>
      <c r="I668">
        <v>19594.935743510759</v>
      </c>
      <c r="J668">
        <v>298</v>
      </c>
      <c r="K668" t="s">
        <v>25</v>
      </c>
      <c r="L668" s="1">
        <v>45995</v>
      </c>
      <c r="M668">
        <v>2</v>
      </c>
      <c r="N668" t="s">
        <v>15</v>
      </c>
    </row>
    <row r="669" spans="1:14" x14ac:dyDescent="0.35">
      <c r="A669" t="s">
        <v>1470</v>
      </c>
      <c r="B669">
        <v>42</v>
      </c>
      <c r="C669" t="s">
        <v>1594</v>
      </c>
      <c r="D669" t="s">
        <v>11</v>
      </c>
      <c r="E669" t="s">
        <v>12</v>
      </c>
      <c r="F669" t="s">
        <v>28</v>
      </c>
      <c r="G669" s="1">
        <v>46001</v>
      </c>
      <c r="H669" t="s">
        <v>36</v>
      </c>
      <c r="I669">
        <v>6509.4034385260384</v>
      </c>
      <c r="J669">
        <v>138</v>
      </c>
      <c r="K669" t="s">
        <v>25</v>
      </c>
      <c r="L669" s="1">
        <v>46015</v>
      </c>
      <c r="M669">
        <v>14</v>
      </c>
      <c r="N669" t="s">
        <v>22</v>
      </c>
    </row>
    <row r="670" spans="1:14" x14ac:dyDescent="0.35">
      <c r="A670" t="s">
        <v>1471</v>
      </c>
      <c r="B670">
        <v>64</v>
      </c>
      <c r="C670" t="s">
        <v>1592</v>
      </c>
      <c r="D670" t="s">
        <v>11</v>
      </c>
      <c r="E670" t="s">
        <v>16</v>
      </c>
      <c r="F670" t="s">
        <v>13</v>
      </c>
      <c r="G670" s="1">
        <v>45839</v>
      </c>
      <c r="H670" t="s">
        <v>37</v>
      </c>
      <c r="I670">
        <v>10535.861576210789</v>
      </c>
      <c r="J670">
        <v>102</v>
      </c>
      <c r="K670" t="s">
        <v>25</v>
      </c>
      <c r="L670" s="1">
        <v>45841</v>
      </c>
      <c r="M670">
        <v>2</v>
      </c>
      <c r="N670" t="s">
        <v>31</v>
      </c>
    </row>
    <row r="671" spans="1:14" x14ac:dyDescent="0.35">
      <c r="A671" t="s">
        <v>1472</v>
      </c>
      <c r="B671">
        <v>64</v>
      </c>
      <c r="C671" t="s">
        <v>1592</v>
      </c>
      <c r="D671" t="s">
        <v>11</v>
      </c>
      <c r="E671" t="s">
        <v>33</v>
      </c>
      <c r="F671" t="s">
        <v>30</v>
      </c>
      <c r="G671" s="1">
        <v>45691</v>
      </c>
      <c r="H671" t="s">
        <v>36</v>
      </c>
      <c r="I671">
        <v>40981.967811910392</v>
      </c>
      <c r="J671">
        <v>443</v>
      </c>
      <c r="K671" t="s">
        <v>25</v>
      </c>
      <c r="L671" s="1">
        <v>45697</v>
      </c>
      <c r="M671">
        <v>6</v>
      </c>
      <c r="N671" t="s">
        <v>22</v>
      </c>
    </row>
    <row r="672" spans="1:14" x14ac:dyDescent="0.35">
      <c r="A672" t="s">
        <v>1473</v>
      </c>
      <c r="B672">
        <v>43</v>
      </c>
      <c r="C672" t="s">
        <v>1594</v>
      </c>
      <c r="D672" t="s">
        <v>20</v>
      </c>
      <c r="E672" t="s">
        <v>34</v>
      </c>
      <c r="F672" t="s">
        <v>32</v>
      </c>
      <c r="G672" s="1">
        <v>45716</v>
      </c>
      <c r="H672" t="s">
        <v>39</v>
      </c>
      <c r="I672">
        <v>5918.0363643174678</v>
      </c>
      <c r="J672">
        <v>317</v>
      </c>
      <c r="K672" t="s">
        <v>25</v>
      </c>
      <c r="L672" s="1">
        <v>45730</v>
      </c>
      <c r="M672">
        <v>14</v>
      </c>
      <c r="N672" t="s">
        <v>22</v>
      </c>
    </row>
    <row r="673" spans="1:14" x14ac:dyDescent="0.35">
      <c r="A673" t="s">
        <v>1474</v>
      </c>
      <c r="B673">
        <v>73</v>
      </c>
      <c r="C673" t="s">
        <v>1591</v>
      </c>
      <c r="D673" t="s">
        <v>20</v>
      </c>
      <c r="E673" t="s">
        <v>34</v>
      </c>
      <c r="F673" t="s">
        <v>24</v>
      </c>
      <c r="G673" s="1">
        <v>45760</v>
      </c>
      <c r="H673" t="s">
        <v>39</v>
      </c>
      <c r="I673">
        <v>43866.882683449403</v>
      </c>
      <c r="J673">
        <v>314</v>
      </c>
      <c r="K673" t="s">
        <v>25</v>
      </c>
      <c r="L673" s="1">
        <v>45772</v>
      </c>
      <c r="M673">
        <v>12</v>
      </c>
      <c r="N673" t="s">
        <v>27</v>
      </c>
    </row>
    <row r="674" spans="1:14" x14ac:dyDescent="0.35">
      <c r="A674" t="s">
        <v>1475</v>
      </c>
      <c r="B674">
        <v>37</v>
      </c>
      <c r="C674" t="s">
        <v>1594</v>
      </c>
      <c r="D674" t="s">
        <v>20</v>
      </c>
      <c r="E674" t="s">
        <v>23</v>
      </c>
      <c r="F674" t="s">
        <v>30</v>
      </c>
      <c r="G674" s="1">
        <v>45987</v>
      </c>
      <c r="H674" t="s">
        <v>36</v>
      </c>
      <c r="I674">
        <v>29713.25089335323</v>
      </c>
      <c r="J674">
        <v>471</v>
      </c>
      <c r="K674" t="s">
        <v>18</v>
      </c>
      <c r="L674" s="1">
        <v>45989</v>
      </c>
      <c r="M674">
        <v>2</v>
      </c>
      <c r="N674" t="s">
        <v>22</v>
      </c>
    </row>
    <row r="675" spans="1:14" x14ac:dyDescent="0.35">
      <c r="A675" t="s">
        <v>1476</v>
      </c>
      <c r="B675">
        <v>32</v>
      </c>
      <c r="C675" t="s">
        <v>1593</v>
      </c>
      <c r="D675" t="s">
        <v>20</v>
      </c>
      <c r="E675" t="s">
        <v>33</v>
      </c>
      <c r="F675" t="s">
        <v>32</v>
      </c>
      <c r="G675" s="1">
        <v>45942</v>
      </c>
      <c r="H675" t="s">
        <v>36</v>
      </c>
      <c r="I675">
        <v>27684.046934404771</v>
      </c>
      <c r="J675">
        <v>283</v>
      </c>
      <c r="K675" t="s">
        <v>18</v>
      </c>
      <c r="L675" s="1">
        <v>45952</v>
      </c>
      <c r="M675">
        <v>10</v>
      </c>
      <c r="N675" t="s">
        <v>19</v>
      </c>
    </row>
    <row r="676" spans="1:14" x14ac:dyDescent="0.35">
      <c r="A676" t="s">
        <v>1477</v>
      </c>
      <c r="B676">
        <v>21</v>
      </c>
      <c r="C676" t="s">
        <v>1593</v>
      </c>
      <c r="D676" t="s">
        <v>11</v>
      </c>
      <c r="E676" t="s">
        <v>21</v>
      </c>
      <c r="F676" t="s">
        <v>13</v>
      </c>
      <c r="G676" s="1">
        <v>45797</v>
      </c>
      <c r="H676" t="s">
        <v>38</v>
      </c>
      <c r="I676">
        <v>35709.072887239221</v>
      </c>
      <c r="J676">
        <v>284</v>
      </c>
      <c r="K676" t="s">
        <v>25</v>
      </c>
      <c r="L676" s="1">
        <v>45803</v>
      </c>
      <c r="M676">
        <v>6</v>
      </c>
      <c r="N676" t="s">
        <v>15</v>
      </c>
    </row>
    <row r="677" spans="1:14" x14ac:dyDescent="0.35">
      <c r="A677" t="s">
        <v>1478</v>
      </c>
      <c r="B677">
        <v>46</v>
      </c>
      <c r="C677" t="s">
        <v>1594</v>
      </c>
      <c r="D677" t="s">
        <v>11</v>
      </c>
      <c r="E677" t="s">
        <v>34</v>
      </c>
      <c r="F677" t="s">
        <v>13</v>
      </c>
      <c r="G677" s="1">
        <v>45735</v>
      </c>
      <c r="H677" t="s">
        <v>38</v>
      </c>
      <c r="I677">
        <v>9434.7608310983924</v>
      </c>
      <c r="J677">
        <v>372</v>
      </c>
      <c r="K677" t="s">
        <v>25</v>
      </c>
      <c r="L677" s="1">
        <v>45748</v>
      </c>
      <c r="M677">
        <v>13</v>
      </c>
      <c r="N677" t="s">
        <v>22</v>
      </c>
    </row>
    <row r="678" spans="1:14" x14ac:dyDescent="0.35">
      <c r="A678" t="s">
        <v>1479</v>
      </c>
      <c r="B678">
        <v>67</v>
      </c>
      <c r="C678" t="s">
        <v>1591</v>
      </c>
      <c r="D678" t="s">
        <v>11</v>
      </c>
      <c r="E678" t="s">
        <v>34</v>
      </c>
      <c r="F678" t="s">
        <v>30</v>
      </c>
      <c r="G678" s="1">
        <v>45996</v>
      </c>
      <c r="H678" t="s">
        <v>39</v>
      </c>
      <c r="I678">
        <v>10755.694254043219</v>
      </c>
      <c r="J678">
        <v>190</v>
      </c>
      <c r="K678" t="s">
        <v>18</v>
      </c>
      <c r="L678" s="1">
        <v>46010</v>
      </c>
      <c r="M678">
        <v>14</v>
      </c>
      <c r="N678" t="s">
        <v>22</v>
      </c>
    </row>
    <row r="679" spans="1:14" x14ac:dyDescent="0.35">
      <c r="A679" t="s">
        <v>1480</v>
      </c>
      <c r="B679">
        <v>61</v>
      </c>
      <c r="C679" t="s">
        <v>1592</v>
      </c>
      <c r="D679" t="s">
        <v>11</v>
      </c>
      <c r="E679" t="s">
        <v>26</v>
      </c>
      <c r="F679" t="s">
        <v>32</v>
      </c>
      <c r="G679" s="1">
        <v>45960</v>
      </c>
      <c r="H679" t="s">
        <v>39</v>
      </c>
      <c r="I679">
        <v>36260.227756632477</v>
      </c>
      <c r="J679">
        <v>463</v>
      </c>
      <c r="K679" t="s">
        <v>18</v>
      </c>
      <c r="L679" s="1">
        <v>45974</v>
      </c>
      <c r="M679">
        <v>14</v>
      </c>
      <c r="N679" t="s">
        <v>19</v>
      </c>
    </row>
    <row r="680" spans="1:14" x14ac:dyDescent="0.35">
      <c r="A680" t="s">
        <v>1481</v>
      </c>
      <c r="B680">
        <v>24</v>
      </c>
      <c r="C680" t="s">
        <v>1593</v>
      </c>
      <c r="D680" t="s">
        <v>11</v>
      </c>
      <c r="E680" t="s">
        <v>16</v>
      </c>
      <c r="F680" t="s">
        <v>28</v>
      </c>
      <c r="G680" s="1">
        <v>45970</v>
      </c>
      <c r="H680" t="s">
        <v>38</v>
      </c>
      <c r="I680">
        <v>36980.612257696521</v>
      </c>
      <c r="J680">
        <v>476</v>
      </c>
      <c r="K680" t="s">
        <v>18</v>
      </c>
      <c r="L680" s="1">
        <v>45979</v>
      </c>
      <c r="M680">
        <v>9</v>
      </c>
      <c r="N680" t="s">
        <v>15</v>
      </c>
    </row>
    <row r="681" spans="1:14" x14ac:dyDescent="0.35">
      <c r="A681" t="s">
        <v>1482</v>
      </c>
      <c r="B681">
        <v>19</v>
      </c>
      <c r="C681" t="s">
        <v>1593</v>
      </c>
      <c r="D681" t="s">
        <v>11</v>
      </c>
      <c r="E681" t="s">
        <v>33</v>
      </c>
      <c r="F681" t="s">
        <v>17</v>
      </c>
      <c r="G681" s="1">
        <v>45697</v>
      </c>
      <c r="H681" t="s">
        <v>38</v>
      </c>
      <c r="I681">
        <v>24251.869526322051</v>
      </c>
      <c r="J681">
        <v>170</v>
      </c>
      <c r="K681" t="s">
        <v>25</v>
      </c>
      <c r="L681" s="1">
        <v>45711</v>
      </c>
      <c r="M681">
        <v>14</v>
      </c>
      <c r="N681" t="s">
        <v>31</v>
      </c>
    </row>
    <row r="682" spans="1:14" x14ac:dyDescent="0.35">
      <c r="A682" t="s">
        <v>1483</v>
      </c>
      <c r="B682">
        <v>59</v>
      </c>
      <c r="C682" t="s">
        <v>1592</v>
      </c>
      <c r="D682" t="s">
        <v>11</v>
      </c>
      <c r="E682" t="s">
        <v>12</v>
      </c>
      <c r="F682" t="s">
        <v>13</v>
      </c>
      <c r="G682" s="1">
        <v>45727</v>
      </c>
      <c r="H682" t="s">
        <v>38</v>
      </c>
      <c r="I682">
        <v>47329.720557022083</v>
      </c>
      <c r="J682">
        <v>388</v>
      </c>
      <c r="K682" t="s">
        <v>18</v>
      </c>
      <c r="L682" s="1">
        <v>45737</v>
      </c>
      <c r="M682">
        <v>10</v>
      </c>
      <c r="N682" t="s">
        <v>19</v>
      </c>
    </row>
    <row r="683" spans="1:14" x14ac:dyDescent="0.35">
      <c r="A683" t="s">
        <v>1484</v>
      </c>
      <c r="B683">
        <v>53</v>
      </c>
      <c r="C683" t="s">
        <v>1592</v>
      </c>
      <c r="D683" t="s">
        <v>20</v>
      </c>
      <c r="E683" t="s">
        <v>23</v>
      </c>
      <c r="F683" t="s">
        <v>32</v>
      </c>
      <c r="G683" s="1">
        <v>45819</v>
      </c>
      <c r="H683" t="s">
        <v>39</v>
      </c>
      <c r="I683">
        <v>28518.913692902821</v>
      </c>
      <c r="J683">
        <v>235</v>
      </c>
      <c r="K683" t="s">
        <v>18</v>
      </c>
      <c r="L683" s="1">
        <v>45833</v>
      </c>
      <c r="M683">
        <v>14</v>
      </c>
      <c r="N683" t="s">
        <v>27</v>
      </c>
    </row>
    <row r="684" spans="1:14" x14ac:dyDescent="0.35">
      <c r="A684" t="s">
        <v>1485</v>
      </c>
      <c r="B684">
        <v>52</v>
      </c>
      <c r="C684" t="s">
        <v>1592</v>
      </c>
      <c r="D684" t="s">
        <v>20</v>
      </c>
      <c r="E684" t="s">
        <v>12</v>
      </c>
      <c r="F684" t="s">
        <v>24</v>
      </c>
      <c r="G684" s="1">
        <v>45789</v>
      </c>
      <c r="H684" t="s">
        <v>38</v>
      </c>
      <c r="I684">
        <v>2725.3809771642909</v>
      </c>
      <c r="J684">
        <v>299</v>
      </c>
      <c r="K684" t="s">
        <v>25</v>
      </c>
      <c r="L684" s="1">
        <v>45800</v>
      </c>
      <c r="M684">
        <v>11</v>
      </c>
      <c r="N684" t="s">
        <v>15</v>
      </c>
    </row>
    <row r="685" spans="1:14" x14ac:dyDescent="0.35">
      <c r="A685" t="s">
        <v>1486</v>
      </c>
      <c r="B685">
        <v>51</v>
      </c>
      <c r="C685" t="s">
        <v>1592</v>
      </c>
      <c r="D685" t="s">
        <v>20</v>
      </c>
      <c r="E685" t="s">
        <v>16</v>
      </c>
      <c r="F685" t="s">
        <v>13</v>
      </c>
      <c r="G685" s="1">
        <v>45835</v>
      </c>
      <c r="H685" t="s">
        <v>37</v>
      </c>
      <c r="I685">
        <v>6806.7415703531387</v>
      </c>
      <c r="J685">
        <v>432</v>
      </c>
      <c r="K685" t="s">
        <v>25</v>
      </c>
      <c r="L685" s="1">
        <v>45849</v>
      </c>
      <c r="M685">
        <v>14</v>
      </c>
      <c r="N685" t="s">
        <v>15</v>
      </c>
    </row>
    <row r="686" spans="1:14" x14ac:dyDescent="0.35">
      <c r="A686" t="s">
        <v>1487</v>
      </c>
      <c r="B686">
        <v>24</v>
      </c>
      <c r="C686" t="s">
        <v>1593</v>
      </c>
      <c r="D686" t="s">
        <v>11</v>
      </c>
      <c r="E686" t="s">
        <v>29</v>
      </c>
      <c r="F686" t="s">
        <v>30</v>
      </c>
      <c r="G686" s="1">
        <v>45817</v>
      </c>
      <c r="H686" t="s">
        <v>38</v>
      </c>
      <c r="I686">
        <v>43735.184369034207</v>
      </c>
      <c r="J686">
        <v>379</v>
      </c>
      <c r="K686" t="s">
        <v>25</v>
      </c>
      <c r="L686" s="1">
        <v>45827</v>
      </c>
      <c r="M686">
        <v>10</v>
      </c>
      <c r="N686" t="s">
        <v>15</v>
      </c>
    </row>
    <row r="687" spans="1:14" x14ac:dyDescent="0.35">
      <c r="A687" t="s">
        <v>1488</v>
      </c>
      <c r="B687">
        <v>33</v>
      </c>
      <c r="C687" t="s">
        <v>1593</v>
      </c>
      <c r="D687" t="s">
        <v>11</v>
      </c>
      <c r="E687" t="s">
        <v>26</v>
      </c>
      <c r="F687" t="s">
        <v>28</v>
      </c>
      <c r="G687" s="1">
        <v>45771</v>
      </c>
      <c r="H687" t="s">
        <v>38</v>
      </c>
      <c r="I687">
        <v>28990.573014721311</v>
      </c>
      <c r="J687">
        <v>286</v>
      </c>
      <c r="K687" t="s">
        <v>18</v>
      </c>
      <c r="L687" s="1">
        <v>45781</v>
      </c>
      <c r="M687">
        <v>10</v>
      </c>
      <c r="N687" t="s">
        <v>22</v>
      </c>
    </row>
    <row r="688" spans="1:14" x14ac:dyDescent="0.35">
      <c r="A688" t="s">
        <v>1489</v>
      </c>
      <c r="B688">
        <v>33</v>
      </c>
      <c r="C688" t="s">
        <v>1593</v>
      </c>
      <c r="D688" t="s">
        <v>20</v>
      </c>
      <c r="E688" t="s">
        <v>12</v>
      </c>
      <c r="F688" t="s">
        <v>17</v>
      </c>
      <c r="G688" s="1">
        <v>45734</v>
      </c>
      <c r="H688" t="s">
        <v>36</v>
      </c>
      <c r="I688">
        <v>38270.31489433883</v>
      </c>
      <c r="J688">
        <v>178</v>
      </c>
      <c r="K688" t="s">
        <v>25</v>
      </c>
      <c r="L688" s="1">
        <v>45745</v>
      </c>
      <c r="M688">
        <v>11</v>
      </c>
      <c r="N688" t="s">
        <v>19</v>
      </c>
    </row>
    <row r="689" spans="1:14" x14ac:dyDescent="0.35">
      <c r="A689" t="s">
        <v>1490</v>
      </c>
      <c r="B689">
        <v>72</v>
      </c>
      <c r="C689" t="s">
        <v>1591</v>
      </c>
      <c r="D689" t="s">
        <v>20</v>
      </c>
      <c r="E689" t="s">
        <v>29</v>
      </c>
      <c r="F689" t="s">
        <v>30</v>
      </c>
      <c r="G689" s="1">
        <v>45808</v>
      </c>
      <c r="H689" t="s">
        <v>36</v>
      </c>
      <c r="I689">
        <v>47372.796713348907</v>
      </c>
      <c r="J689">
        <v>373</v>
      </c>
      <c r="K689" t="s">
        <v>25</v>
      </c>
      <c r="L689" s="1">
        <v>45815</v>
      </c>
      <c r="M689">
        <v>7</v>
      </c>
      <c r="N689" t="s">
        <v>31</v>
      </c>
    </row>
    <row r="690" spans="1:14" x14ac:dyDescent="0.35">
      <c r="A690" t="s">
        <v>1491</v>
      </c>
      <c r="B690">
        <v>33</v>
      </c>
      <c r="C690" t="s">
        <v>1593</v>
      </c>
      <c r="D690" t="s">
        <v>11</v>
      </c>
      <c r="E690" t="s">
        <v>33</v>
      </c>
      <c r="F690" t="s">
        <v>30</v>
      </c>
      <c r="G690" s="1">
        <v>45889</v>
      </c>
      <c r="H690" t="s">
        <v>38</v>
      </c>
      <c r="I690">
        <v>36455.737490200263</v>
      </c>
      <c r="J690">
        <v>411</v>
      </c>
      <c r="K690" t="s">
        <v>18</v>
      </c>
      <c r="L690" s="1">
        <v>45891</v>
      </c>
      <c r="M690">
        <v>2</v>
      </c>
      <c r="N690" t="s">
        <v>22</v>
      </c>
    </row>
    <row r="691" spans="1:14" x14ac:dyDescent="0.35">
      <c r="A691" t="s">
        <v>1492</v>
      </c>
      <c r="B691">
        <v>24</v>
      </c>
      <c r="C691" t="s">
        <v>1593</v>
      </c>
      <c r="D691" t="s">
        <v>20</v>
      </c>
      <c r="E691" t="s">
        <v>16</v>
      </c>
      <c r="F691" t="s">
        <v>24</v>
      </c>
      <c r="G691" s="1">
        <v>45734</v>
      </c>
      <c r="H691" t="s">
        <v>38</v>
      </c>
      <c r="I691">
        <v>7297.4709818187775</v>
      </c>
      <c r="J691">
        <v>442</v>
      </c>
      <c r="K691" t="s">
        <v>18</v>
      </c>
      <c r="L691" s="1">
        <v>45747</v>
      </c>
      <c r="M691">
        <v>13</v>
      </c>
      <c r="N691" t="s">
        <v>19</v>
      </c>
    </row>
    <row r="692" spans="1:14" x14ac:dyDescent="0.35">
      <c r="A692" t="s">
        <v>1493</v>
      </c>
      <c r="B692">
        <v>37</v>
      </c>
      <c r="C692" t="s">
        <v>1594</v>
      </c>
      <c r="D692" t="s">
        <v>20</v>
      </c>
      <c r="E692" t="s">
        <v>12</v>
      </c>
      <c r="F692" t="s">
        <v>13</v>
      </c>
      <c r="G692" s="1">
        <v>45957</v>
      </c>
      <c r="H692" t="s">
        <v>39</v>
      </c>
      <c r="I692">
        <v>22754.692130789739</v>
      </c>
      <c r="J692">
        <v>247</v>
      </c>
      <c r="K692" t="s">
        <v>25</v>
      </c>
      <c r="L692" s="1">
        <v>45965</v>
      </c>
      <c r="M692">
        <v>8</v>
      </c>
      <c r="N692" t="s">
        <v>19</v>
      </c>
    </row>
    <row r="693" spans="1:14" x14ac:dyDescent="0.35">
      <c r="A693" t="s">
        <v>1494</v>
      </c>
      <c r="B693">
        <v>82</v>
      </c>
      <c r="C693" t="s">
        <v>1591</v>
      </c>
      <c r="D693" t="s">
        <v>20</v>
      </c>
      <c r="E693" t="s">
        <v>33</v>
      </c>
      <c r="F693" t="s">
        <v>13</v>
      </c>
      <c r="G693" s="1">
        <v>45973</v>
      </c>
      <c r="H693" t="s">
        <v>38</v>
      </c>
      <c r="I693">
        <v>22784.134768700638</v>
      </c>
      <c r="J693">
        <v>475</v>
      </c>
      <c r="K693" t="s">
        <v>18</v>
      </c>
      <c r="L693" s="1">
        <v>45985</v>
      </c>
      <c r="M693">
        <v>12</v>
      </c>
      <c r="N693" t="s">
        <v>19</v>
      </c>
    </row>
    <row r="694" spans="1:14" x14ac:dyDescent="0.35">
      <c r="A694" t="s">
        <v>1495</v>
      </c>
      <c r="B694">
        <v>17</v>
      </c>
      <c r="C694" t="s">
        <v>1595</v>
      </c>
      <c r="D694" t="s">
        <v>20</v>
      </c>
      <c r="E694" t="s">
        <v>21</v>
      </c>
      <c r="F694" t="s">
        <v>32</v>
      </c>
      <c r="G694" s="1">
        <v>45775</v>
      </c>
      <c r="H694" t="s">
        <v>39</v>
      </c>
      <c r="I694">
        <v>37591.085670777436</v>
      </c>
      <c r="J694">
        <v>336</v>
      </c>
      <c r="K694" t="s">
        <v>25</v>
      </c>
      <c r="L694" s="1">
        <v>45780</v>
      </c>
      <c r="M694">
        <v>5</v>
      </c>
      <c r="N694" t="s">
        <v>22</v>
      </c>
    </row>
    <row r="695" spans="1:14" x14ac:dyDescent="0.35">
      <c r="A695" t="s">
        <v>1496</v>
      </c>
      <c r="B695">
        <v>55</v>
      </c>
      <c r="C695" t="s">
        <v>1592</v>
      </c>
      <c r="D695" t="s">
        <v>20</v>
      </c>
      <c r="E695" t="s">
        <v>26</v>
      </c>
      <c r="F695" t="s">
        <v>28</v>
      </c>
      <c r="G695" s="1">
        <v>45722</v>
      </c>
      <c r="H695" t="s">
        <v>36</v>
      </c>
      <c r="I695">
        <v>44415.218284627997</v>
      </c>
      <c r="J695">
        <v>136</v>
      </c>
      <c r="K695" t="s">
        <v>18</v>
      </c>
      <c r="L695" s="1">
        <v>45727</v>
      </c>
      <c r="M695">
        <v>5</v>
      </c>
      <c r="N695" t="s">
        <v>31</v>
      </c>
    </row>
    <row r="696" spans="1:14" x14ac:dyDescent="0.35">
      <c r="A696" t="s">
        <v>1497</v>
      </c>
      <c r="B696">
        <v>46</v>
      </c>
      <c r="C696" t="s">
        <v>1594</v>
      </c>
      <c r="D696" t="s">
        <v>20</v>
      </c>
      <c r="E696" t="s">
        <v>16</v>
      </c>
      <c r="F696" t="s">
        <v>30</v>
      </c>
      <c r="G696" s="1">
        <v>45939</v>
      </c>
      <c r="H696" t="s">
        <v>37</v>
      </c>
      <c r="I696">
        <v>3350.4955204913449</v>
      </c>
      <c r="J696">
        <v>359</v>
      </c>
      <c r="K696" t="s">
        <v>25</v>
      </c>
      <c r="L696" s="1">
        <v>45949</v>
      </c>
      <c r="M696">
        <v>10</v>
      </c>
      <c r="N696" t="s">
        <v>15</v>
      </c>
    </row>
    <row r="697" spans="1:14" x14ac:dyDescent="0.35">
      <c r="A697" t="s">
        <v>1498</v>
      </c>
      <c r="B697">
        <v>37</v>
      </c>
      <c r="C697" t="s">
        <v>1594</v>
      </c>
      <c r="D697" t="s">
        <v>20</v>
      </c>
      <c r="E697" t="s">
        <v>21</v>
      </c>
      <c r="F697" t="s">
        <v>13</v>
      </c>
      <c r="G697" s="1">
        <v>45847</v>
      </c>
      <c r="H697" t="s">
        <v>39</v>
      </c>
      <c r="I697">
        <v>31446.97447647938</v>
      </c>
      <c r="J697">
        <v>357</v>
      </c>
      <c r="K697" t="s">
        <v>18</v>
      </c>
      <c r="L697" s="1">
        <v>45854</v>
      </c>
      <c r="M697">
        <v>7</v>
      </c>
      <c r="N697" t="s">
        <v>22</v>
      </c>
    </row>
    <row r="698" spans="1:14" x14ac:dyDescent="0.35">
      <c r="A698" t="s">
        <v>1499</v>
      </c>
      <c r="B698">
        <v>44</v>
      </c>
      <c r="C698" t="s">
        <v>1594</v>
      </c>
      <c r="D698" t="s">
        <v>11</v>
      </c>
      <c r="E698" t="s">
        <v>12</v>
      </c>
      <c r="F698" t="s">
        <v>17</v>
      </c>
      <c r="G698" s="1">
        <v>45804</v>
      </c>
      <c r="H698" t="s">
        <v>37</v>
      </c>
      <c r="I698">
        <v>25682.536853059471</v>
      </c>
      <c r="J698">
        <v>487</v>
      </c>
      <c r="K698" t="s">
        <v>18</v>
      </c>
      <c r="L698" s="1">
        <v>45811</v>
      </c>
      <c r="M698">
        <v>7</v>
      </c>
      <c r="N698" t="s">
        <v>22</v>
      </c>
    </row>
    <row r="699" spans="1:14" x14ac:dyDescent="0.35">
      <c r="A699" t="s">
        <v>1500</v>
      </c>
      <c r="B699">
        <v>28</v>
      </c>
      <c r="C699" t="s">
        <v>1593</v>
      </c>
      <c r="D699" t="s">
        <v>11</v>
      </c>
      <c r="E699" t="s">
        <v>23</v>
      </c>
      <c r="F699" t="s">
        <v>32</v>
      </c>
      <c r="G699" s="1">
        <v>45993</v>
      </c>
      <c r="H699" t="s">
        <v>39</v>
      </c>
      <c r="I699">
        <v>8820.6889830290002</v>
      </c>
      <c r="J699">
        <v>334</v>
      </c>
      <c r="K699" t="s">
        <v>18</v>
      </c>
      <c r="L699" s="1">
        <v>45994</v>
      </c>
      <c r="M699">
        <v>1</v>
      </c>
      <c r="N699" t="s">
        <v>15</v>
      </c>
    </row>
    <row r="700" spans="1:14" x14ac:dyDescent="0.35">
      <c r="A700" t="s">
        <v>1501</v>
      </c>
      <c r="B700">
        <v>43</v>
      </c>
      <c r="C700" t="s">
        <v>1594</v>
      </c>
      <c r="D700" t="s">
        <v>20</v>
      </c>
      <c r="E700" t="s">
        <v>21</v>
      </c>
      <c r="F700" t="s">
        <v>13</v>
      </c>
      <c r="G700" s="1">
        <v>45693</v>
      </c>
      <c r="H700" t="s">
        <v>39</v>
      </c>
      <c r="I700">
        <v>-68.319620761113356</v>
      </c>
      <c r="J700">
        <v>288</v>
      </c>
      <c r="K700" t="s">
        <v>18</v>
      </c>
      <c r="L700" s="1">
        <v>45695</v>
      </c>
      <c r="M700">
        <v>2</v>
      </c>
      <c r="N700" t="s">
        <v>19</v>
      </c>
    </row>
    <row r="701" spans="1:14" x14ac:dyDescent="0.35">
      <c r="A701" t="s">
        <v>1502</v>
      </c>
      <c r="B701">
        <v>19</v>
      </c>
      <c r="C701" t="s">
        <v>1593</v>
      </c>
      <c r="D701" t="s">
        <v>20</v>
      </c>
      <c r="E701" t="s">
        <v>23</v>
      </c>
      <c r="F701" t="s">
        <v>30</v>
      </c>
      <c r="G701" s="1">
        <v>45869</v>
      </c>
      <c r="H701" t="s">
        <v>37</v>
      </c>
      <c r="I701">
        <v>42157.22298233107</v>
      </c>
      <c r="J701">
        <v>149</v>
      </c>
      <c r="K701" t="s">
        <v>25</v>
      </c>
      <c r="L701" s="1">
        <v>45881</v>
      </c>
      <c r="M701">
        <v>12</v>
      </c>
      <c r="N701" t="s">
        <v>31</v>
      </c>
    </row>
    <row r="702" spans="1:14" x14ac:dyDescent="0.35">
      <c r="A702" t="s">
        <v>1503</v>
      </c>
      <c r="B702">
        <v>74</v>
      </c>
      <c r="C702" t="s">
        <v>1591</v>
      </c>
      <c r="D702" t="s">
        <v>11</v>
      </c>
      <c r="E702" t="s">
        <v>26</v>
      </c>
      <c r="F702" t="s">
        <v>17</v>
      </c>
      <c r="G702" s="1">
        <v>45859</v>
      </c>
      <c r="H702" t="s">
        <v>36</v>
      </c>
      <c r="I702">
        <v>-1310.272894708412</v>
      </c>
      <c r="J702">
        <v>257</v>
      </c>
      <c r="K702" t="s">
        <v>25</v>
      </c>
      <c r="L702" s="1">
        <v>45872</v>
      </c>
      <c r="M702">
        <v>13</v>
      </c>
      <c r="N702" t="s">
        <v>15</v>
      </c>
    </row>
    <row r="703" spans="1:14" x14ac:dyDescent="0.35">
      <c r="A703" t="s">
        <v>1504</v>
      </c>
      <c r="B703">
        <v>40</v>
      </c>
      <c r="C703" t="s">
        <v>1594</v>
      </c>
      <c r="D703" t="s">
        <v>20</v>
      </c>
      <c r="E703" t="s">
        <v>21</v>
      </c>
      <c r="F703" t="s">
        <v>32</v>
      </c>
      <c r="G703" s="1">
        <v>45931</v>
      </c>
      <c r="H703" t="s">
        <v>36</v>
      </c>
      <c r="I703">
        <v>4781.9446624751045</v>
      </c>
      <c r="J703">
        <v>392</v>
      </c>
      <c r="K703" t="s">
        <v>18</v>
      </c>
      <c r="L703" s="1">
        <v>45938</v>
      </c>
      <c r="M703">
        <v>7</v>
      </c>
      <c r="N703" t="s">
        <v>22</v>
      </c>
    </row>
    <row r="704" spans="1:14" x14ac:dyDescent="0.35">
      <c r="A704" t="s">
        <v>1505</v>
      </c>
      <c r="B704">
        <v>35</v>
      </c>
      <c r="C704" t="s">
        <v>1593</v>
      </c>
      <c r="D704" t="s">
        <v>11</v>
      </c>
      <c r="E704" t="s">
        <v>33</v>
      </c>
      <c r="F704" t="s">
        <v>17</v>
      </c>
      <c r="G704" s="1">
        <v>45714</v>
      </c>
      <c r="H704" t="s">
        <v>37</v>
      </c>
      <c r="I704">
        <v>12961.37254976216</v>
      </c>
      <c r="J704">
        <v>403</v>
      </c>
      <c r="K704" t="s">
        <v>18</v>
      </c>
      <c r="L704" s="1">
        <v>45718</v>
      </c>
      <c r="M704">
        <v>4</v>
      </c>
      <c r="N704" t="s">
        <v>31</v>
      </c>
    </row>
    <row r="705" spans="1:14" x14ac:dyDescent="0.35">
      <c r="A705" t="s">
        <v>1506</v>
      </c>
      <c r="B705">
        <v>64</v>
      </c>
      <c r="C705" t="s">
        <v>1592</v>
      </c>
      <c r="D705" t="s">
        <v>20</v>
      </c>
      <c r="E705" t="s">
        <v>26</v>
      </c>
      <c r="F705" t="s">
        <v>30</v>
      </c>
      <c r="G705" s="1">
        <v>45944</v>
      </c>
      <c r="H705" t="s">
        <v>37</v>
      </c>
      <c r="I705">
        <v>20577.708926659619</v>
      </c>
      <c r="J705">
        <v>387</v>
      </c>
      <c r="K705" t="s">
        <v>25</v>
      </c>
      <c r="L705" s="1">
        <v>45945</v>
      </c>
      <c r="M705">
        <v>1</v>
      </c>
      <c r="N705" t="s">
        <v>27</v>
      </c>
    </row>
    <row r="706" spans="1:14" x14ac:dyDescent="0.35">
      <c r="A706" t="s">
        <v>1507</v>
      </c>
      <c r="B706">
        <v>36</v>
      </c>
      <c r="C706" t="s">
        <v>1594</v>
      </c>
      <c r="D706" t="s">
        <v>20</v>
      </c>
      <c r="E706" t="s">
        <v>16</v>
      </c>
      <c r="F706" t="s">
        <v>28</v>
      </c>
      <c r="G706" s="1">
        <v>45876</v>
      </c>
      <c r="H706" t="s">
        <v>36</v>
      </c>
      <c r="I706">
        <v>45726.142715749193</v>
      </c>
      <c r="J706">
        <v>487</v>
      </c>
      <c r="K706" t="s">
        <v>25</v>
      </c>
      <c r="L706" s="1">
        <v>45886</v>
      </c>
      <c r="M706">
        <v>10</v>
      </c>
      <c r="N706" t="s">
        <v>27</v>
      </c>
    </row>
    <row r="707" spans="1:14" x14ac:dyDescent="0.35">
      <c r="A707" t="s">
        <v>1508</v>
      </c>
      <c r="B707">
        <v>47</v>
      </c>
      <c r="C707" t="s">
        <v>1594</v>
      </c>
      <c r="D707" t="s">
        <v>20</v>
      </c>
      <c r="E707" t="s">
        <v>34</v>
      </c>
      <c r="F707" t="s">
        <v>17</v>
      </c>
      <c r="G707" s="1">
        <v>45827</v>
      </c>
      <c r="H707" t="s">
        <v>38</v>
      </c>
      <c r="I707">
        <v>38683.446827763008</v>
      </c>
      <c r="J707">
        <v>418</v>
      </c>
      <c r="K707" t="s">
        <v>25</v>
      </c>
      <c r="L707" s="1">
        <v>45832</v>
      </c>
      <c r="M707">
        <v>5</v>
      </c>
      <c r="N707" t="s">
        <v>15</v>
      </c>
    </row>
    <row r="708" spans="1:14" x14ac:dyDescent="0.35">
      <c r="A708" t="s">
        <v>1509</v>
      </c>
      <c r="B708">
        <v>25</v>
      </c>
      <c r="C708" t="s">
        <v>1593</v>
      </c>
      <c r="D708" t="s">
        <v>20</v>
      </c>
      <c r="E708" t="s">
        <v>16</v>
      </c>
      <c r="F708" t="s">
        <v>13</v>
      </c>
      <c r="G708" s="1">
        <v>45974</v>
      </c>
      <c r="H708" t="s">
        <v>37</v>
      </c>
      <c r="I708">
        <v>25911.352007590551</v>
      </c>
      <c r="J708">
        <v>343</v>
      </c>
      <c r="K708" t="s">
        <v>18</v>
      </c>
      <c r="L708" s="1">
        <v>45984</v>
      </c>
      <c r="M708">
        <v>10</v>
      </c>
      <c r="N708" t="s">
        <v>22</v>
      </c>
    </row>
    <row r="709" spans="1:14" x14ac:dyDescent="0.35">
      <c r="A709" t="s">
        <v>1510</v>
      </c>
      <c r="B709">
        <v>33</v>
      </c>
      <c r="C709" t="s">
        <v>1593</v>
      </c>
      <c r="D709" t="s">
        <v>11</v>
      </c>
      <c r="E709" t="s">
        <v>12</v>
      </c>
      <c r="F709" t="s">
        <v>28</v>
      </c>
      <c r="G709" s="1">
        <v>45958</v>
      </c>
      <c r="H709" t="s">
        <v>37</v>
      </c>
      <c r="I709">
        <v>46504.061232192696</v>
      </c>
      <c r="J709">
        <v>433</v>
      </c>
      <c r="K709" t="s">
        <v>18</v>
      </c>
      <c r="L709" s="1">
        <v>45961</v>
      </c>
      <c r="M709">
        <v>3</v>
      </c>
      <c r="N709" t="s">
        <v>19</v>
      </c>
    </row>
    <row r="710" spans="1:14" x14ac:dyDescent="0.35">
      <c r="A710" t="s">
        <v>1511</v>
      </c>
      <c r="B710">
        <v>41</v>
      </c>
      <c r="C710" t="s">
        <v>1594</v>
      </c>
      <c r="D710" t="s">
        <v>11</v>
      </c>
      <c r="E710" t="s">
        <v>33</v>
      </c>
      <c r="F710" t="s">
        <v>28</v>
      </c>
      <c r="G710" s="1">
        <v>45724</v>
      </c>
      <c r="H710" t="s">
        <v>39</v>
      </c>
      <c r="I710">
        <v>13127.33995354016</v>
      </c>
      <c r="J710">
        <v>436</v>
      </c>
      <c r="K710" t="s">
        <v>25</v>
      </c>
      <c r="L710" s="1">
        <v>45731</v>
      </c>
      <c r="M710">
        <v>7</v>
      </c>
      <c r="N710" t="s">
        <v>22</v>
      </c>
    </row>
    <row r="711" spans="1:14" x14ac:dyDescent="0.35">
      <c r="A711" t="s">
        <v>1512</v>
      </c>
      <c r="B711">
        <v>60</v>
      </c>
      <c r="C711" t="s">
        <v>1592</v>
      </c>
      <c r="D711" t="s">
        <v>11</v>
      </c>
      <c r="E711" t="s">
        <v>12</v>
      </c>
      <c r="F711" t="s">
        <v>13</v>
      </c>
      <c r="G711" s="1">
        <v>45694</v>
      </c>
      <c r="H711" t="s">
        <v>39</v>
      </c>
      <c r="I711">
        <v>33066.42532790258</v>
      </c>
      <c r="J711">
        <v>312</v>
      </c>
      <c r="K711" t="s">
        <v>25</v>
      </c>
      <c r="L711" s="1">
        <v>45701</v>
      </c>
      <c r="M711">
        <v>7</v>
      </c>
      <c r="N711" t="s">
        <v>22</v>
      </c>
    </row>
    <row r="712" spans="1:14" x14ac:dyDescent="0.35">
      <c r="A712" t="s">
        <v>1513</v>
      </c>
      <c r="B712">
        <v>16</v>
      </c>
      <c r="C712" t="s">
        <v>1595</v>
      </c>
      <c r="D712" t="s">
        <v>11</v>
      </c>
      <c r="E712" t="s">
        <v>26</v>
      </c>
      <c r="F712" t="s">
        <v>30</v>
      </c>
      <c r="G712" s="1">
        <v>45822</v>
      </c>
      <c r="H712" t="s">
        <v>37</v>
      </c>
      <c r="I712">
        <v>2635.0093102148221</v>
      </c>
      <c r="J712">
        <v>236</v>
      </c>
      <c r="K712" t="s">
        <v>18</v>
      </c>
      <c r="L712" s="1">
        <v>45823</v>
      </c>
      <c r="M712">
        <v>1</v>
      </c>
      <c r="N712" t="s">
        <v>27</v>
      </c>
    </row>
    <row r="713" spans="1:14" x14ac:dyDescent="0.35">
      <c r="A713" t="s">
        <v>1514</v>
      </c>
      <c r="B713">
        <v>77</v>
      </c>
      <c r="C713" t="s">
        <v>1591</v>
      </c>
      <c r="D713" t="s">
        <v>11</v>
      </c>
      <c r="E713" t="s">
        <v>21</v>
      </c>
      <c r="F713" t="s">
        <v>13</v>
      </c>
      <c r="G713" s="1">
        <v>45971</v>
      </c>
      <c r="H713" t="s">
        <v>36</v>
      </c>
      <c r="I713">
        <v>43914.877994545917</v>
      </c>
      <c r="J713">
        <v>113</v>
      </c>
      <c r="K713" t="s">
        <v>18</v>
      </c>
      <c r="L713" s="1">
        <v>45977</v>
      </c>
      <c r="M713">
        <v>6</v>
      </c>
      <c r="N713" t="s">
        <v>19</v>
      </c>
    </row>
    <row r="714" spans="1:14" x14ac:dyDescent="0.35">
      <c r="A714" t="s">
        <v>1515</v>
      </c>
      <c r="B714">
        <v>61</v>
      </c>
      <c r="C714" t="s">
        <v>1592</v>
      </c>
      <c r="D714" t="s">
        <v>11</v>
      </c>
      <c r="E714" t="s">
        <v>23</v>
      </c>
      <c r="F714" t="s">
        <v>24</v>
      </c>
      <c r="G714" s="1">
        <v>45701</v>
      </c>
      <c r="H714" t="s">
        <v>39</v>
      </c>
      <c r="I714">
        <v>26184.999182599418</v>
      </c>
      <c r="J714">
        <v>428</v>
      </c>
      <c r="K714" t="s">
        <v>25</v>
      </c>
      <c r="L714" s="1">
        <v>45714</v>
      </c>
      <c r="M714">
        <v>13</v>
      </c>
      <c r="N714" t="s">
        <v>27</v>
      </c>
    </row>
    <row r="715" spans="1:14" x14ac:dyDescent="0.35">
      <c r="A715" t="s">
        <v>1516</v>
      </c>
      <c r="B715">
        <v>66</v>
      </c>
      <c r="C715" t="s">
        <v>1591</v>
      </c>
      <c r="D715" t="s">
        <v>11</v>
      </c>
      <c r="E715" t="s">
        <v>33</v>
      </c>
      <c r="F715" t="s">
        <v>24</v>
      </c>
      <c r="G715" s="1">
        <v>45691</v>
      </c>
      <c r="H715" t="s">
        <v>39</v>
      </c>
      <c r="I715">
        <v>13074.056491834801</v>
      </c>
      <c r="J715">
        <v>293</v>
      </c>
      <c r="K715" t="s">
        <v>18</v>
      </c>
      <c r="L715" s="1">
        <v>45700</v>
      </c>
      <c r="M715">
        <v>9</v>
      </c>
      <c r="N715" t="s">
        <v>22</v>
      </c>
    </row>
    <row r="716" spans="1:14" x14ac:dyDescent="0.35">
      <c r="A716" t="s">
        <v>1517</v>
      </c>
      <c r="B716">
        <v>62</v>
      </c>
      <c r="C716" t="s">
        <v>1592</v>
      </c>
      <c r="D716" t="s">
        <v>11</v>
      </c>
      <c r="E716" t="s">
        <v>12</v>
      </c>
      <c r="F716" t="s">
        <v>24</v>
      </c>
      <c r="G716" s="1">
        <v>45753</v>
      </c>
      <c r="H716" t="s">
        <v>37</v>
      </c>
      <c r="I716">
        <v>13410.78564748242</v>
      </c>
      <c r="J716">
        <v>484</v>
      </c>
      <c r="K716" t="s">
        <v>18</v>
      </c>
      <c r="L716" s="1">
        <v>45755</v>
      </c>
      <c r="M716">
        <v>2</v>
      </c>
      <c r="N716" t="s">
        <v>15</v>
      </c>
    </row>
    <row r="717" spans="1:14" x14ac:dyDescent="0.35">
      <c r="A717" t="s">
        <v>1518</v>
      </c>
      <c r="B717">
        <v>18</v>
      </c>
      <c r="C717" t="s">
        <v>1595</v>
      </c>
      <c r="D717" t="s">
        <v>11</v>
      </c>
      <c r="E717" t="s">
        <v>12</v>
      </c>
      <c r="F717" t="s">
        <v>17</v>
      </c>
      <c r="G717" s="1">
        <v>45781</v>
      </c>
      <c r="H717" t="s">
        <v>38</v>
      </c>
      <c r="I717">
        <v>45997.341582566703</v>
      </c>
      <c r="J717">
        <v>172</v>
      </c>
      <c r="K717" t="s">
        <v>25</v>
      </c>
      <c r="L717" s="1">
        <v>45791</v>
      </c>
      <c r="M717">
        <v>10</v>
      </c>
      <c r="N717" t="s">
        <v>31</v>
      </c>
    </row>
    <row r="718" spans="1:14" x14ac:dyDescent="0.35">
      <c r="A718" t="s">
        <v>1519</v>
      </c>
      <c r="B718">
        <v>86</v>
      </c>
      <c r="C718" t="s">
        <v>1591</v>
      </c>
      <c r="D718" t="s">
        <v>20</v>
      </c>
      <c r="E718" t="s">
        <v>29</v>
      </c>
      <c r="F718" t="s">
        <v>32</v>
      </c>
      <c r="G718" s="1">
        <v>45919</v>
      </c>
      <c r="H718" t="s">
        <v>39</v>
      </c>
      <c r="I718">
        <v>44447.643543331571</v>
      </c>
      <c r="J718">
        <v>405</v>
      </c>
      <c r="K718" t="s">
        <v>18</v>
      </c>
      <c r="L718" s="1">
        <v>45920</v>
      </c>
      <c r="M718">
        <v>1</v>
      </c>
      <c r="N718" t="s">
        <v>22</v>
      </c>
    </row>
    <row r="719" spans="1:14" x14ac:dyDescent="0.35">
      <c r="A719" t="s">
        <v>1520</v>
      </c>
      <c r="B719">
        <v>62</v>
      </c>
      <c r="C719" t="s">
        <v>1592</v>
      </c>
      <c r="D719" t="s">
        <v>11</v>
      </c>
      <c r="E719" t="s">
        <v>21</v>
      </c>
      <c r="F719" t="s">
        <v>32</v>
      </c>
      <c r="G719" s="1">
        <v>45932</v>
      </c>
      <c r="H719" t="s">
        <v>37</v>
      </c>
      <c r="I719">
        <v>22740.130276558069</v>
      </c>
      <c r="J719">
        <v>487</v>
      </c>
      <c r="K719" t="s">
        <v>18</v>
      </c>
      <c r="L719" s="1">
        <v>45934</v>
      </c>
      <c r="M719">
        <v>2</v>
      </c>
      <c r="N719" t="s">
        <v>31</v>
      </c>
    </row>
    <row r="720" spans="1:14" x14ac:dyDescent="0.35">
      <c r="A720" t="s">
        <v>1521</v>
      </c>
      <c r="B720">
        <v>47</v>
      </c>
      <c r="C720" t="s">
        <v>1594</v>
      </c>
      <c r="D720" t="s">
        <v>20</v>
      </c>
      <c r="E720" t="s">
        <v>34</v>
      </c>
      <c r="F720" t="s">
        <v>17</v>
      </c>
      <c r="G720" s="1">
        <v>45730</v>
      </c>
      <c r="H720" t="s">
        <v>38</v>
      </c>
      <c r="I720">
        <v>22695.732990980359</v>
      </c>
      <c r="J720">
        <v>404</v>
      </c>
      <c r="K720" t="s">
        <v>25</v>
      </c>
      <c r="L720" s="1">
        <v>45744</v>
      </c>
      <c r="M720">
        <v>14</v>
      </c>
      <c r="N720" t="s">
        <v>19</v>
      </c>
    </row>
    <row r="721" spans="1:14" x14ac:dyDescent="0.35">
      <c r="A721" t="s">
        <v>1522</v>
      </c>
      <c r="B721">
        <v>54</v>
      </c>
      <c r="C721" t="s">
        <v>1592</v>
      </c>
      <c r="D721" t="s">
        <v>20</v>
      </c>
      <c r="E721" t="s">
        <v>34</v>
      </c>
      <c r="F721" t="s">
        <v>17</v>
      </c>
      <c r="G721" s="1">
        <v>45706</v>
      </c>
      <c r="H721" t="s">
        <v>39</v>
      </c>
      <c r="I721">
        <v>39607.768279087133</v>
      </c>
      <c r="J721">
        <v>272</v>
      </c>
      <c r="K721" t="s">
        <v>25</v>
      </c>
      <c r="L721" s="1">
        <v>45720</v>
      </c>
      <c r="M721">
        <v>14</v>
      </c>
      <c r="N721" t="s">
        <v>22</v>
      </c>
    </row>
    <row r="722" spans="1:14" x14ac:dyDescent="0.35">
      <c r="A722" t="s">
        <v>1523</v>
      </c>
      <c r="B722">
        <v>37</v>
      </c>
      <c r="C722" t="s">
        <v>1594</v>
      </c>
      <c r="D722" t="s">
        <v>20</v>
      </c>
      <c r="E722" t="s">
        <v>21</v>
      </c>
      <c r="F722" t="s">
        <v>28</v>
      </c>
      <c r="G722" s="1">
        <v>45711</v>
      </c>
      <c r="H722" t="s">
        <v>38</v>
      </c>
      <c r="I722">
        <v>41094.480242013517</v>
      </c>
      <c r="J722">
        <v>245</v>
      </c>
      <c r="K722" t="s">
        <v>25</v>
      </c>
      <c r="L722" s="1">
        <v>45718</v>
      </c>
      <c r="M722">
        <v>7</v>
      </c>
      <c r="N722" t="s">
        <v>27</v>
      </c>
    </row>
    <row r="723" spans="1:14" x14ac:dyDescent="0.35">
      <c r="A723" t="s">
        <v>1524</v>
      </c>
      <c r="B723">
        <v>58</v>
      </c>
      <c r="C723" t="s">
        <v>1592</v>
      </c>
      <c r="D723" t="s">
        <v>20</v>
      </c>
      <c r="E723" t="s">
        <v>26</v>
      </c>
      <c r="F723" t="s">
        <v>17</v>
      </c>
      <c r="G723" s="1">
        <v>45755</v>
      </c>
      <c r="H723" t="s">
        <v>36</v>
      </c>
      <c r="I723">
        <v>38927.698411815007</v>
      </c>
      <c r="J723">
        <v>362</v>
      </c>
      <c r="K723" t="s">
        <v>18</v>
      </c>
      <c r="L723" s="1">
        <v>45759</v>
      </c>
      <c r="M723">
        <v>4</v>
      </c>
      <c r="N723" t="s">
        <v>27</v>
      </c>
    </row>
    <row r="724" spans="1:14" x14ac:dyDescent="0.35">
      <c r="A724" t="s">
        <v>1525</v>
      </c>
      <c r="B724">
        <v>75</v>
      </c>
      <c r="C724" t="s">
        <v>1591</v>
      </c>
      <c r="D724" t="s">
        <v>11</v>
      </c>
      <c r="E724" t="s">
        <v>12</v>
      </c>
      <c r="F724" t="s">
        <v>32</v>
      </c>
      <c r="G724" s="1">
        <v>45786</v>
      </c>
      <c r="H724" t="s">
        <v>39</v>
      </c>
      <c r="I724">
        <v>26988.097230346539</v>
      </c>
      <c r="J724">
        <v>450</v>
      </c>
      <c r="K724" t="s">
        <v>25</v>
      </c>
      <c r="L724" s="1">
        <v>45787</v>
      </c>
      <c r="M724">
        <v>1</v>
      </c>
      <c r="N724" t="s">
        <v>27</v>
      </c>
    </row>
    <row r="725" spans="1:14" x14ac:dyDescent="0.35">
      <c r="A725" t="s">
        <v>1526</v>
      </c>
      <c r="B725">
        <v>38</v>
      </c>
      <c r="C725" t="s">
        <v>1594</v>
      </c>
      <c r="D725" t="s">
        <v>11</v>
      </c>
      <c r="E725" t="s">
        <v>16</v>
      </c>
      <c r="F725" t="s">
        <v>32</v>
      </c>
      <c r="G725" s="1">
        <v>45872</v>
      </c>
      <c r="H725" t="s">
        <v>37</v>
      </c>
      <c r="I725">
        <v>10768.843093150919</v>
      </c>
      <c r="J725">
        <v>138</v>
      </c>
      <c r="K725" t="s">
        <v>18</v>
      </c>
      <c r="L725" s="1">
        <v>45883</v>
      </c>
      <c r="M725">
        <v>11</v>
      </c>
      <c r="N725" t="s">
        <v>15</v>
      </c>
    </row>
    <row r="726" spans="1:14" x14ac:dyDescent="0.35">
      <c r="A726" t="s">
        <v>1527</v>
      </c>
      <c r="B726">
        <v>83</v>
      </c>
      <c r="C726" t="s">
        <v>1591</v>
      </c>
      <c r="D726" t="s">
        <v>11</v>
      </c>
      <c r="E726" t="s">
        <v>26</v>
      </c>
      <c r="F726" t="s">
        <v>28</v>
      </c>
      <c r="G726" s="1">
        <v>45708</v>
      </c>
      <c r="H726" t="s">
        <v>39</v>
      </c>
      <c r="I726">
        <v>18283.38967311088</v>
      </c>
      <c r="J726">
        <v>153</v>
      </c>
      <c r="K726" t="s">
        <v>25</v>
      </c>
      <c r="L726" s="1">
        <v>45721</v>
      </c>
      <c r="M726">
        <v>13</v>
      </c>
      <c r="N726" t="s">
        <v>15</v>
      </c>
    </row>
    <row r="727" spans="1:14" x14ac:dyDescent="0.35">
      <c r="A727" t="s">
        <v>1528</v>
      </c>
      <c r="B727">
        <v>44</v>
      </c>
      <c r="C727" t="s">
        <v>1594</v>
      </c>
      <c r="D727" t="s">
        <v>20</v>
      </c>
      <c r="E727" t="s">
        <v>26</v>
      </c>
      <c r="F727" t="s">
        <v>30</v>
      </c>
      <c r="G727" s="1">
        <v>45683</v>
      </c>
      <c r="H727" t="s">
        <v>36</v>
      </c>
      <c r="I727">
        <v>14070.48079259527</v>
      </c>
      <c r="J727">
        <v>397</v>
      </c>
      <c r="K727" t="s">
        <v>18</v>
      </c>
      <c r="L727" s="1">
        <v>45697</v>
      </c>
      <c r="M727">
        <v>14</v>
      </c>
      <c r="N727" t="s">
        <v>15</v>
      </c>
    </row>
    <row r="728" spans="1:14" x14ac:dyDescent="0.35">
      <c r="A728" t="s">
        <v>1529</v>
      </c>
      <c r="B728">
        <v>56</v>
      </c>
      <c r="C728" t="s">
        <v>1592</v>
      </c>
      <c r="D728" t="s">
        <v>20</v>
      </c>
      <c r="E728" t="s">
        <v>12</v>
      </c>
      <c r="F728" t="s">
        <v>17</v>
      </c>
      <c r="G728" s="1">
        <v>45769</v>
      </c>
      <c r="H728" t="s">
        <v>39</v>
      </c>
      <c r="I728">
        <v>46774.834531235647</v>
      </c>
      <c r="J728">
        <v>396</v>
      </c>
      <c r="K728" t="s">
        <v>18</v>
      </c>
      <c r="L728" s="1">
        <v>45772</v>
      </c>
      <c r="M728">
        <v>3</v>
      </c>
      <c r="N728" t="s">
        <v>19</v>
      </c>
    </row>
    <row r="729" spans="1:14" x14ac:dyDescent="0.35">
      <c r="A729" t="s">
        <v>1530</v>
      </c>
      <c r="B729">
        <v>44</v>
      </c>
      <c r="C729" t="s">
        <v>1594</v>
      </c>
      <c r="D729" t="s">
        <v>11</v>
      </c>
      <c r="E729" t="s">
        <v>33</v>
      </c>
      <c r="F729" t="s">
        <v>13</v>
      </c>
      <c r="G729" s="1">
        <v>45821</v>
      </c>
      <c r="H729" t="s">
        <v>39</v>
      </c>
      <c r="I729">
        <v>12795.19969223959</v>
      </c>
      <c r="J729">
        <v>335</v>
      </c>
      <c r="K729" t="s">
        <v>18</v>
      </c>
      <c r="L729" s="1">
        <v>45826</v>
      </c>
      <c r="M729">
        <v>5</v>
      </c>
      <c r="N729" t="s">
        <v>15</v>
      </c>
    </row>
    <row r="730" spans="1:14" x14ac:dyDescent="0.35">
      <c r="A730" t="s">
        <v>1531</v>
      </c>
      <c r="B730">
        <v>24</v>
      </c>
      <c r="C730" t="s">
        <v>1593</v>
      </c>
      <c r="D730" t="s">
        <v>20</v>
      </c>
      <c r="E730" t="s">
        <v>16</v>
      </c>
      <c r="F730" t="s">
        <v>30</v>
      </c>
      <c r="G730" s="1">
        <v>45877</v>
      </c>
      <c r="H730" t="s">
        <v>39</v>
      </c>
      <c r="I730">
        <v>9662.4397668364163</v>
      </c>
      <c r="J730">
        <v>182</v>
      </c>
      <c r="K730" t="s">
        <v>18</v>
      </c>
      <c r="L730" s="1">
        <v>45883</v>
      </c>
      <c r="M730">
        <v>6</v>
      </c>
      <c r="N730" t="s">
        <v>19</v>
      </c>
    </row>
    <row r="731" spans="1:14" x14ac:dyDescent="0.35">
      <c r="A731" t="s">
        <v>1532</v>
      </c>
      <c r="B731">
        <v>64</v>
      </c>
      <c r="C731" t="s">
        <v>1592</v>
      </c>
      <c r="D731" t="s">
        <v>11</v>
      </c>
      <c r="E731" t="s">
        <v>12</v>
      </c>
      <c r="F731" t="s">
        <v>17</v>
      </c>
      <c r="G731" s="1">
        <v>45972</v>
      </c>
      <c r="H731" t="s">
        <v>38</v>
      </c>
      <c r="I731">
        <v>8245.6586280177689</v>
      </c>
      <c r="J731">
        <v>249</v>
      </c>
      <c r="K731" t="s">
        <v>25</v>
      </c>
      <c r="L731" s="1">
        <v>45982</v>
      </c>
      <c r="M731">
        <v>10</v>
      </c>
      <c r="N731" t="s">
        <v>19</v>
      </c>
    </row>
    <row r="732" spans="1:14" x14ac:dyDescent="0.35">
      <c r="A732" t="s">
        <v>1533</v>
      </c>
      <c r="B732">
        <v>19</v>
      </c>
      <c r="C732" t="s">
        <v>1593</v>
      </c>
      <c r="D732" t="s">
        <v>11</v>
      </c>
      <c r="E732" t="s">
        <v>21</v>
      </c>
      <c r="F732" t="s">
        <v>32</v>
      </c>
      <c r="G732" s="1">
        <v>45889</v>
      </c>
      <c r="H732" t="s">
        <v>37</v>
      </c>
      <c r="I732">
        <v>7192.6281782379574</v>
      </c>
      <c r="J732">
        <v>443</v>
      </c>
      <c r="K732" t="s">
        <v>18</v>
      </c>
      <c r="L732" s="1">
        <v>45898</v>
      </c>
      <c r="M732">
        <v>9</v>
      </c>
      <c r="N732" t="s">
        <v>27</v>
      </c>
    </row>
    <row r="733" spans="1:14" x14ac:dyDescent="0.35">
      <c r="A733" t="s">
        <v>1534</v>
      </c>
      <c r="B733">
        <v>19</v>
      </c>
      <c r="C733" t="s">
        <v>1593</v>
      </c>
      <c r="D733" t="s">
        <v>11</v>
      </c>
      <c r="E733" t="s">
        <v>33</v>
      </c>
      <c r="F733" t="s">
        <v>24</v>
      </c>
      <c r="G733" s="1">
        <v>45979</v>
      </c>
      <c r="H733" t="s">
        <v>37</v>
      </c>
      <c r="I733">
        <v>8537.2245416379938</v>
      </c>
      <c r="J733">
        <v>376</v>
      </c>
      <c r="K733" t="s">
        <v>25</v>
      </c>
      <c r="L733" s="1">
        <v>45983</v>
      </c>
      <c r="M733">
        <v>4</v>
      </c>
      <c r="N733" t="s">
        <v>22</v>
      </c>
    </row>
    <row r="734" spans="1:14" x14ac:dyDescent="0.35">
      <c r="A734" t="s">
        <v>1535</v>
      </c>
      <c r="B734">
        <v>60</v>
      </c>
      <c r="C734" t="s">
        <v>1592</v>
      </c>
      <c r="D734" t="s">
        <v>20</v>
      </c>
      <c r="E734" t="s">
        <v>26</v>
      </c>
      <c r="F734" t="s">
        <v>17</v>
      </c>
      <c r="G734" s="1">
        <v>45859</v>
      </c>
      <c r="H734" t="s">
        <v>39</v>
      </c>
      <c r="I734">
        <v>3827.8608580686769</v>
      </c>
      <c r="J734">
        <v>114</v>
      </c>
      <c r="K734" t="s">
        <v>18</v>
      </c>
      <c r="L734" s="1">
        <v>45868</v>
      </c>
      <c r="M734">
        <v>9</v>
      </c>
      <c r="N734" t="s">
        <v>27</v>
      </c>
    </row>
    <row r="735" spans="1:14" x14ac:dyDescent="0.35">
      <c r="A735" t="s">
        <v>1536</v>
      </c>
      <c r="B735">
        <v>49</v>
      </c>
      <c r="C735" t="s">
        <v>1594</v>
      </c>
      <c r="D735" t="s">
        <v>20</v>
      </c>
      <c r="E735" t="s">
        <v>33</v>
      </c>
      <c r="F735" t="s">
        <v>28</v>
      </c>
      <c r="G735" s="1">
        <v>45663</v>
      </c>
      <c r="H735" t="s">
        <v>37</v>
      </c>
      <c r="I735">
        <v>3437.6510668268011</v>
      </c>
      <c r="J735">
        <v>446</v>
      </c>
      <c r="K735" t="s">
        <v>25</v>
      </c>
      <c r="L735" s="1">
        <v>45665</v>
      </c>
      <c r="M735">
        <v>2</v>
      </c>
      <c r="N735" t="s">
        <v>27</v>
      </c>
    </row>
    <row r="736" spans="1:14" x14ac:dyDescent="0.35">
      <c r="A736" t="s">
        <v>1537</v>
      </c>
      <c r="B736">
        <v>83</v>
      </c>
      <c r="C736" t="s">
        <v>1591</v>
      </c>
      <c r="D736" t="s">
        <v>20</v>
      </c>
      <c r="E736" t="s">
        <v>34</v>
      </c>
      <c r="F736" t="s">
        <v>13</v>
      </c>
      <c r="G736" s="1">
        <v>45760</v>
      </c>
      <c r="H736" t="s">
        <v>39</v>
      </c>
      <c r="I736">
        <v>4993.0296470344574</v>
      </c>
      <c r="J736">
        <v>384</v>
      </c>
      <c r="K736" t="s">
        <v>25</v>
      </c>
      <c r="L736" s="1">
        <v>45766</v>
      </c>
      <c r="M736">
        <v>6</v>
      </c>
      <c r="N736" t="s">
        <v>15</v>
      </c>
    </row>
    <row r="737" spans="1:14" x14ac:dyDescent="0.35">
      <c r="A737" t="s">
        <v>1538</v>
      </c>
      <c r="B737">
        <v>69</v>
      </c>
      <c r="C737" t="s">
        <v>1591</v>
      </c>
      <c r="D737" t="s">
        <v>11</v>
      </c>
      <c r="E737" t="s">
        <v>21</v>
      </c>
      <c r="F737" t="s">
        <v>32</v>
      </c>
      <c r="G737" s="1">
        <v>45810</v>
      </c>
      <c r="H737" t="s">
        <v>38</v>
      </c>
      <c r="I737">
        <v>11230.496505544081</v>
      </c>
      <c r="J737">
        <v>150</v>
      </c>
      <c r="K737" t="s">
        <v>18</v>
      </c>
      <c r="L737" s="1">
        <v>45824</v>
      </c>
      <c r="M737">
        <v>14</v>
      </c>
      <c r="N737" t="s">
        <v>31</v>
      </c>
    </row>
    <row r="738" spans="1:14" x14ac:dyDescent="0.35">
      <c r="A738" t="s">
        <v>1539</v>
      </c>
      <c r="B738">
        <v>18</v>
      </c>
      <c r="C738" t="s">
        <v>1595</v>
      </c>
      <c r="D738" t="s">
        <v>11</v>
      </c>
      <c r="E738" t="s">
        <v>16</v>
      </c>
      <c r="F738" t="s">
        <v>30</v>
      </c>
      <c r="G738" s="1">
        <v>45835</v>
      </c>
      <c r="H738" t="s">
        <v>36</v>
      </c>
      <c r="I738">
        <v>38649.409857675171</v>
      </c>
      <c r="J738">
        <v>277</v>
      </c>
      <c r="K738" t="s">
        <v>25</v>
      </c>
      <c r="L738" s="1">
        <v>45837</v>
      </c>
      <c r="M738">
        <v>2</v>
      </c>
      <c r="N738" t="s">
        <v>15</v>
      </c>
    </row>
    <row r="739" spans="1:14" x14ac:dyDescent="0.35">
      <c r="A739" t="s">
        <v>1540</v>
      </c>
      <c r="B739">
        <v>75</v>
      </c>
      <c r="C739" t="s">
        <v>1591</v>
      </c>
      <c r="D739" t="s">
        <v>20</v>
      </c>
      <c r="E739" t="s">
        <v>33</v>
      </c>
      <c r="F739" t="s">
        <v>32</v>
      </c>
      <c r="G739" s="1">
        <v>45667</v>
      </c>
      <c r="H739" t="s">
        <v>39</v>
      </c>
      <c r="I739">
        <v>28833.58590302537</v>
      </c>
      <c r="J739">
        <v>476</v>
      </c>
      <c r="K739" t="s">
        <v>25</v>
      </c>
      <c r="L739" s="1">
        <v>45681</v>
      </c>
      <c r="M739">
        <v>14</v>
      </c>
      <c r="N739" t="s">
        <v>31</v>
      </c>
    </row>
    <row r="740" spans="1:14" x14ac:dyDescent="0.35">
      <c r="A740" t="s">
        <v>1541</v>
      </c>
      <c r="B740">
        <v>66</v>
      </c>
      <c r="C740" t="s">
        <v>1591</v>
      </c>
      <c r="D740" t="s">
        <v>20</v>
      </c>
      <c r="E740" t="s">
        <v>12</v>
      </c>
      <c r="F740" t="s">
        <v>30</v>
      </c>
      <c r="G740" s="1">
        <v>45676</v>
      </c>
      <c r="H740" t="s">
        <v>39</v>
      </c>
      <c r="I740">
        <v>35319.123324266409</v>
      </c>
      <c r="J740">
        <v>419</v>
      </c>
      <c r="K740" t="s">
        <v>25</v>
      </c>
      <c r="L740" s="1">
        <v>45685</v>
      </c>
      <c r="M740">
        <v>9</v>
      </c>
      <c r="N740" t="s">
        <v>19</v>
      </c>
    </row>
    <row r="741" spans="1:14" x14ac:dyDescent="0.35">
      <c r="A741" t="s">
        <v>1542</v>
      </c>
      <c r="B741">
        <v>81</v>
      </c>
      <c r="C741" t="s">
        <v>1591</v>
      </c>
      <c r="D741" t="s">
        <v>20</v>
      </c>
      <c r="E741" t="s">
        <v>34</v>
      </c>
      <c r="F741" t="s">
        <v>30</v>
      </c>
      <c r="G741" s="1">
        <v>45877</v>
      </c>
      <c r="H741" t="s">
        <v>39</v>
      </c>
      <c r="I741">
        <v>6175.8819934402154</v>
      </c>
      <c r="J741">
        <v>123</v>
      </c>
      <c r="K741" t="s">
        <v>18</v>
      </c>
      <c r="L741" s="1">
        <v>45888</v>
      </c>
      <c r="M741">
        <v>11</v>
      </c>
      <c r="N741" t="s">
        <v>19</v>
      </c>
    </row>
    <row r="742" spans="1:14" x14ac:dyDescent="0.35">
      <c r="A742" t="s">
        <v>1543</v>
      </c>
      <c r="B742">
        <v>22</v>
      </c>
      <c r="C742" t="s">
        <v>1593</v>
      </c>
      <c r="D742" t="s">
        <v>20</v>
      </c>
      <c r="E742" t="s">
        <v>21</v>
      </c>
      <c r="F742" t="s">
        <v>13</v>
      </c>
      <c r="G742" s="1">
        <v>45679</v>
      </c>
      <c r="H742" t="s">
        <v>37</v>
      </c>
      <c r="I742">
        <v>42214.971634745838</v>
      </c>
      <c r="J742">
        <v>120</v>
      </c>
      <c r="K742" t="s">
        <v>25</v>
      </c>
      <c r="L742" s="1">
        <v>45684</v>
      </c>
      <c r="M742">
        <v>5</v>
      </c>
      <c r="N742" t="s">
        <v>27</v>
      </c>
    </row>
    <row r="743" spans="1:14" x14ac:dyDescent="0.35">
      <c r="A743" t="s">
        <v>1544</v>
      </c>
      <c r="B743">
        <v>49</v>
      </c>
      <c r="C743" t="s">
        <v>1594</v>
      </c>
      <c r="D743" t="s">
        <v>11</v>
      </c>
      <c r="E743" t="s">
        <v>34</v>
      </c>
      <c r="F743" t="s">
        <v>17</v>
      </c>
      <c r="G743" s="1">
        <v>45975</v>
      </c>
      <c r="H743" t="s">
        <v>39</v>
      </c>
      <c r="I743">
        <v>44150.492444979573</v>
      </c>
      <c r="J743">
        <v>370</v>
      </c>
      <c r="K743" t="s">
        <v>18</v>
      </c>
      <c r="L743" s="1">
        <v>45980</v>
      </c>
      <c r="M743">
        <v>5</v>
      </c>
      <c r="N743" t="s">
        <v>19</v>
      </c>
    </row>
    <row r="744" spans="1:14" x14ac:dyDescent="0.35">
      <c r="A744" t="s">
        <v>1545</v>
      </c>
      <c r="B744">
        <v>78</v>
      </c>
      <c r="C744" t="s">
        <v>1591</v>
      </c>
      <c r="D744" t="s">
        <v>20</v>
      </c>
      <c r="E744" t="s">
        <v>16</v>
      </c>
      <c r="F744" t="s">
        <v>28</v>
      </c>
      <c r="G744" s="1">
        <v>45945</v>
      </c>
      <c r="H744" t="s">
        <v>38</v>
      </c>
      <c r="I744">
        <v>3529.128245917163</v>
      </c>
      <c r="J744">
        <v>429</v>
      </c>
      <c r="K744" t="s">
        <v>25</v>
      </c>
      <c r="L744" s="1">
        <v>45958</v>
      </c>
      <c r="M744">
        <v>13</v>
      </c>
      <c r="N744" t="s">
        <v>19</v>
      </c>
    </row>
    <row r="745" spans="1:14" x14ac:dyDescent="0.35">
      <c r="A745" t="s">
        <v>1546</v>
      </c>
      <c r="B745">
        <v>49</v>
      </c>
      <c r="C745" t="s">
        <v>1594</v>
      </c>
      <c r="D745" t="s">
        <v>11</v>
      </c>
      <c r="E745" t="s">
        <v>21</v>
      </c>
      <c r="F745" t="s">
        <v>13</v>
      </c>
      <c r="G745" s="1">
        <v>45864</v>
      </c>
      <c r="H745" t="s">
        <v>38</v>
      </c>
      <c r="I745">
        <v>43811.285269042113</v>
      </c>
      <c r="J745">
        <v>496</v>
      </c>
      <c r="K745" t="s">
        <v>25</v>
      </c>
      <c r="L745" s="1">
        <v>45875</v>
      </c>
      <c r="M745">
        <v>11</v>
      </c>
      <c r="N745" t="s">
        <v>15</v>
      </c>
    </row>
    <row r="746" spans="1:14" x14ac:dyDescent="0.35">
      <c r="A746" t="s">
        <v>1547</v>
      </c>
      <c r="B746">
        <v>41</v>
      </c>
      <c r="C746" t="s">
        <v>1594</v>
      </c>
      <c r="D746" t="s">
        <v>11</v>
      </c>
      <c r="E746" t="s">
        <v>21</v>
      </c>
      <c r="F746" t="s">
        <v>13</v>
      </c>
      <c r="G746" s="1">
        <v>45943</v>
      </c>
      <c r="H746" t="s">
        <v>36</v>
      </c>
      <c r="I746">
        <v>39054.704749598372</v>
      </c>
      <c r="J746">
        <v>376</v>
      </c>
      <c r="K746" t="s">
        <v>14</v>
      </c>
      <c r="L746" s="1">
        <v>45956</v>
      </c>
      <c r="M746">
        <v>13</v>
      </c>
      <c r="N746" t="s">
        <v>31</v>
      </c>
    </row>
    <row r="747" spans="1:14" x14ac:dyDescent="0.35">
      <c r="A747" t="s">
        <v>1548</v>
      </c>
      <c r="B747">
        <v>65</v>
      </c>
      <c r="C747" t="s">
        <v>1592</v>
      </c>
      <c r="D747" t="s">
        <v>11</v>
      </c>
      <c r="E747" t="s">
        <v>34</v>
      </c>
      <c r="F747" t="s">
        <v>30</v>
      </c>
      <c r="G747" s="1">
        <v>46020</v>
      </c>
      <c r="H747" t="s">
        <v>37</v>
      </c>
      <c r="I747">
        <v>30764.793774327602</v>
      </c>
      <c r="J747">
        <v>367</v>
      </c>
      <c r="K747" t="s">
        <v>18</v>
      </c>
      <c r="L747" s="1">
        <v>46022</v>
      </c>
      <c r="M747">
        <v>2</v>
      </c>
      <c r="N747" t="s">
        <v>31</v>
      </c>
    </row>
    <row r="748" spans="1:14" x14ac:dyDescent="0.35">
      <c r="A748" t="s">
        <v>1549</v>
      </c>
      <c r="B748">
        <v>18</v>
      </c>
      <c r="C748" t="s">
        <v>1595</v>
      </c>
      <c r="D748" t="s">
        <v>20</v>
      </c>
      <c r="E748" t="s">
        <v>12</v>
      </c>
      <c r="F748" t="s">
        <v>24</v>
      </c>
      <c r="G748" s="1">
        <v>45778</v>
      </c>
      <c r="H748" t="s">
        <v>36</v>
      </c>
      <c r="I748">
        <v>42745.133582142364</v>
      </c>
      <c r="J748">
        <v>432</v>
      </c>
      <c r="K748" t="s">
        <v>25</v>
      </c>
      <c r="L748" s="1">
        <v>45792</v>
      </c>
      <c r="M748">
        <v>14</v>
      </c>
      <c r="N748" t="s">
        <v>19</v>
      </c>
    </row>
    <row r="749" spans="1:14" x14ac:dyDescent="0.35">
      <c r="A749" t="s">
        <v>1550</v>
      </c>
      <c r="B749">
        <v>53</v>
      </c>
      <c r="C749" t="s">
        <v>1592</v>
      </c>
      <c r="D749" t="s">
        <v>20</v>
      </c>
      <c r="E749" t="s">
        <v>16</v>
      </c>
      <c r="F749" t="s">
        <v>13</v>
      </c>
      <c r="G749" s="1">
        <v>45964</v>
      </c>
      <c r="H749" t="s">
        <v>36</v>
      </c>
      <c r="I749">
        <v>39155.122642819559</v>
      </c>
      <c r="J749">
        <v>398</v>
      </c>
      <c r="K749" t="s">
        <v>25</v>
      </c>
      <c r="L749" s="1">
        <v>45967</v>
      </c>
      <c r="M749">
        <v>3</v>
      </c>
      <c r="N749" t="s">
        <v>22</v>
      </c>
    </row>
    <row r="750" spans="1:14" x14ac:dyDescent="0.35">
      <c r="A750" t="s">
        <v>1551</v>
      </c>
      <c r="B750">
        <v>28</v>
      </c>
      <c r="C750" t="s">
        <v>1593</v>
      </c>
      <c r="D750" t="s">
        <v>20</v>
      </c>
      <c r="E750" t="s">
        <v>26</v>
      </c>
      <c r="F750" t="s">
        <v>17</v>
      </c>
      <c r="G750" s="1">
        <v>45680</v>
      </c>
      <c r="H750" t="s">
        <v>38</v>
      </c>
      <c r="I750">
        <v>44846.735938410398</v>
      </c>
      <c r="J750">
        <v>297</v>
      </c>
      <c r="K750" t="s">
        <v>18</v>
      </c>
      <c r="L750" s="1">
        <v>45683</v>
      </c>
      <c r="M750">
        <v>3</v>
      </c>
      <c r="N750" t="s">
        <v>31</v>
      </c>
    </row>
    <row r="751" spans="1:14" x14ac:dyDescent="0.35">
      <c r="A751" t="s">
        <v>1552</v>
      </c>
      <c r="B751">
        <v>28</v>
      </c>
      <c r="C751" t="s">
        <v>1593</v>
      </c>
      <c r="D751" t="s">
        <v>20</v>
      </c>
      <c r="E751" t="s">
        <v>34</v>
      </c>
      <c r="F751" t="s">
        <v>24</v>
      </c>
      <c r="G751" s="1">
        <v>45835</v>
      </c>
      <c r="H751" t="s">
        <v>38</v>
      </c>
      <c r="I751">
        <v>40423.07443681013</v>
      </c>
      <c r="J751">
        <v>319</v>
      </c>
      <c r="K751" t="s">
        <v>14</v>
      </c>
      <c r="L751" s="1">
        <v>45839</v>
      </c>
      <c r="M751">
        <v>4</v>
      </c>
      <c r="N751" t="s">
        <v>31</v>
      </c>
    </row>
    <row r="752" spans="1:14" x14ac:dyDescent="0.35">
      <c r="A752" t="s">
        <v>1553</v>
      </c>
      <c r="B752">
        <v>54</v>
      </c>
      <c r="C752" t="s">
        <v>1592</v>
      </c>
      <c r="D752" t="s">
        <v>20</v>
      </c>
      <c r="E752" t="s">
        <v>29</v>
      </c>
      <c r="F752" t="s">
        <v>17</v>
      </c>
      <c r="G752" s="1">
        <v>45891</v>
      </c>
      <c r="H752" t="s">
        <v>39</v>
      </c>
      <c r="I752">
        <v>45884.320913580203</v>
      </c>
      <c r="J752">
        <v>307</v>
      </c>
      <c r="K752" t="s">
        <v>14</v>
      </c>
      <c r="L752" s="1">
        <v>45905</v>
      </c>
      <c r="M752">
        <v>14</v>
      </c>
      <c r="N752" t="s">
        <v>22</v>
      </c>
    </row>
    <row r="753" spans="1:14" x14ac:dyDescent="0.35">
      <c r="A753" t="s">
        <v>1554</v>
      </c>
      <c r="B753">
        <v>53</v>
      </c>
      <c r="C753" t="s">
        <v>1592</v>
      </c>
      <c r="D753" t="s">
        <v>20</v>
      </c>
      <c r="E753" t="s">
        <v>23</v>
      </c>
      <c r="F753" t="s">
        <v>13</v>
      </c>
      <c r="G753" s="1">
        <v>45834</v>
      </c>
      <c r="H753" t="s">
        <v>38</v>
      </c>
      <c r="I753">
        <v>9024.0923011812956</v>
      </c>
      <c r="J753">
        <v>178</v>
      </c>
      <c r="K753" t="s">
        <v>25</v>
      </c>
      <c r="L753" s="1">
        <v>45844</v>
      </c>
      <c r="M753">
        <v>10</v>
      </c>
      <c r="N753" t="s">
        <v>27</v>
      </c>
    </row>
    <row r="754" spans="1:14" x14ac:dyDescent="0.35">
      <c r="A754" t="s">
        <v>1555</v>
      </c>
      <c r="B754">
        <v>40</v>
      </c>
      <c r="C754" t="s">
        <v>1594</v>
      </c>
      <c r="D754" t="s">
        <v>20</v>
      </c>
      <c r="E754" t="s">
        <v>34</v>
      </c>
      <c r="F754" t="s">
        <v>17</v>
      </c>
      <c r="G754" s="1">
        <v>45933</v>
      </c>
      <c r="H754" t="s">
        <v>37</v>
      </c>
      <c r="I754">
        <v>5805.9611122889837</v>
      </c>
      <c r="J754">
        <v>429</v>
      </c>
      <c r="K754" t="s">
        <v>18</v>
      </c>
      <c r="L754" s="1">
        <v>45935</v>
      </c>
      <c r="M754">
        <v>2</v>
      </c>
      <c r="N754" t="s">
        <v>22</v>
      </c>
    </row>
    <row r="755" spans="1:14" x14ac:dyDescent="0.35">
      <c r="A755" t="s">
        <v>1556</v>
      </c>
      <c r="B755">
        <v>16</v>
      </c>
      <c r="C755" t="s">
        <v>1595</v>
      </c>
      <c r="D755" t="s">
        <v>20</v>
      </c>
      <c r="E755" t="s">
        <v>21</v>
      </c>
      <c r="F755" t="s">
        <v>17</v>
      </c>
      <c r="G755" s="1">
        <v>45914</v>
      </c>
      <c r="H755" t="s">
        <v>39</v>
      </c>
      <c r="I755">
        <v>21031.774536882211</v>
      </c>
      <c r="J755">
        <v>413</v>
      </c>
      <c r="K755" t="s">
        <v>14</v>
      </c>
      <c r="L755" s="1">
        <v>45915</v>
      </c>
      <c r="M755">
        <v>1</v>
      </c>
      <c r="N755" t="s">
        <v>27</v>
      </c>
    </row>
    <row r="756" spans="1:14" x14ac:dyDescent="0.35">
      <c r="A756" t="s">
        <v>1557</v>
      </c>
      <c r="B756">
        <v>35</v>
      </c>
      <c r="C756" t="s">
        <v>1593</v>
      </c>
      <c r="D756" t="s">
        <v>20</v>
      </c>
      <c r="E756" t="s">
        <v>29</v>
      </c>
      <c r="F756" t="s">
        <v>28</v>
      </c>
      <c r="G756" s="1">
        <v>45825</v>
      </c>
      <c r="H756" t="s">
        <v>37</v>
      </c>
      <c r="I756">
        <v>3836.597755206722</v>
      </c>
      <c r="J756">
        <v>328</v>
      </c>
      <c r="K756" t="s">
        <v>14</v>
      </c>
      <c r="L756" s="1">
        <v>45826</v>
      </c>
      <c r="M756">
        <v>1</v>
      </c>
      <c r="N756" t="s">
        <v>31</v>
      </c>
    </row>
    <row r="757" spans="1:14" x14ac:dyDescent="0.35">
      <c r="A757" t="s">
        <v>1558</v>
      </c>
      <c r="B757">
        <v>47</v>
      </c>
      <c r="C757" t="s">
        <v>1594</v>
      </c>
      <c r="D757" t="s">
        <v>20</v>
      </c>
      <c r="E757" t="s">
        <v>12</v>
      </c>
      <c r="F757" t="s">
        <v>17</v>
      </c>
      <c r="G757" s="1">
        <v>45837</v>
      </c>
      <c r="H757" t="s">
        <v>38</v>
      </c>
      <c r="I757">
        <v>24265.501336028719</v>
      </c>
      <c r="J757">
        <v>326</v>
      </c>
      <c r="K757" t="s">
        <v>14</v>
      </c>
      <c r="L757" s="1">
        <v>45844</v>
      </c>
      <c r="M757">
        <v>7</v>
      </c>
      <c r="N757" t="s">
        <v>27</v>
      </c>
    </row>
    <row r="758" spans="1:14" x14ac:dyDescent="0.35">
      <c r="A758" t="s">
        <v>1559</v>
      </c>
      <c r="B758">
        <v>48</v>
      </c>
      <c r="C758" t="s">
        <v>1594</v>
      </c>
      <c r="D758" t="s">
        <v>20</v>
      </c>
      <c r="E758" t="s">
        <v>33</v>
      </c>
      <c r="F758" t="s">
        <v>13</v>
      </c>
      <c r="G758" s="1">
        <v>45704</v>
      </c>
      <c r="H758" t="s">
        <v>36</v>
      </c>
      <c r="I758">
        <v>4794.7513545462562</v>
      </c>
      <c r="J758">
        <v>382</v>
      </c>
      <c r="K758" t="s">
        <v>18</v>
      </c>
      <c r="L758" s="1">
        <v>45708</v>
      </c>
      <c r="M758">
        <v>4</v>
      </c>
      <c r="N758" t="s">
        <v>15</v>
      </c>
    </row>
    <row r="759" spans="1:14" x14ac:dyDescent="0.35">
      <c r="A759" t="s">
        <v>1560</v>
      </c>
      <c r="B759">
        <v>45</v>
      </c>
      <c r="C759" t="s">
        <v>1594</v>
      </c>
      <c r="D759" t="s">
        <v>11</v>
      </c>
      <c r="E759" t="s">
        <v>23</v>
      </c>
      <c r="F759" t="s">
        <v>30</v>
      </c>
      <c r="G759" s="1">
        <v>45823</v>
      </c>
      <c r="H759" t="s">
        <v>36</v>
      </c>
      <c r="I759">
        <v>13519.77433735948</v>
      </c>
      <c r="J759">
        <v>436</v>
      </c>
      <c r="K759" t="s">
        <v>18</v>
      </c>
      <c r="L759" s="1">
        <v>45832</v>
      </c>
      <c r="M759">
        <v>9</v>
      </c>
      <c r="N759" t="s">
        <v>19</v>
      </c>
    </row>
    <row r="760" spans="1:14" x14ac:dyDescent="0.35">
      <c r="A760" t="s">
        <v>1561</v>
      </c>
      <c r="B760">
        <v>66</v>
      </c>
      <c r="C760" t="s">
        <v>1591</v>
      </c>
      <c r="D760" t="s">
        <v>11</v>
      </c>
      <c r="E760" t="s">
        <v>21</v>
      </c>
      <c r="F760" t="s">
        <v>17</v>
      </c>
      <c r="G760" s="1">
        <v>45933</v>
      </c>
      <c r="H760" t="s">
        <v>37</v>
      </c>
      <c r="I760">
        <v>35395.467399047513</v>
      </c>
      <c r="J760">
        <v>492</v>
      </c>
      <c r="K760" t="s">
        <v>18</v>
      </c>
      <c r="L760" s="1">
        <v>45934</v>
      </c>
      <c r="M760">
        <v>1</v>
      </c>
      <c r="N760" t="s">
        <v>22</v>
      </c>
    </row>
    <row r="761" spans="1:14" x14ac:dyDescent="0.35">
      <c r="A761" t="s">
        <v>1562</v>
      </c>
      <c r="B761">
        <v>25</v>
      </c>
      <c r="C761" t="s">
        <v>1593</v>
      </c>
      <c r="D761" t="s">
        <v>11</v>
      </c>
      <c r="E761" t="s">
        <v>12</v>
      </c>
      <c r="F761" t="s">
        <v>13</v>
      </c>
      <c r="G761" s="1">
        <v>45953</v>
      </c>
      <c r="H761" t="s">
        <v>38</v>
      </c>
      <c r="I761">
        <v>36107.473548309463</v>
      </c>
      <c r="J761">
        <v>149</v>
      </c>
      <c r="K761" t="s">
        <v>14</v>
      </c>
      <c r="L761" s="1">
        <v>45965</v>
      </c>
      <c r="M761">
        <v>12</v>
      </c>
      <c r="N761" t="s">
        <v>19</v>
      </c>
    </row>
    <row r="762" spans="1:14" x14ac:dyDescent="0.35">
      <c r="A762" t="s">
        <v>1563</v>
      </c>
      <c r="B762">
        <v>72</v>
      </c>
      <c r="C762" t="s">
        <v>1591</v>
      </c>
      <c r="D762" t="s">
        <v>11</v>
      </c>
      <c r="E762" t="s">
        <v>34</v>
      </c>
      <c r="F762" t="s">
        <v>13</v>
      </c>
      <c r="G762" s="1">
        <v>45843</v>
      </c>
      <c r="H762" t="s">
        <v>39</v>
      </c>
      <c r="I762">
        <v>658.3915547217216</v>
      </c>
      <c r="J762">
        <v>432</v>
      </c>
      <c r="K762" t="s">
        <v>14</v>
      </c>
      <c r="L762" s="1">
        <v>45846</v>
      </c>
      <c r="M762">
        <v>3</v>
      </c>
      <c r="N762" t="s">
        <v>22</v>
      </c>
    </row>
    <row r="763" spans="1:14" x14ac:dyDescent="0.35">
      <c r="A763" t="s">
        <v>1564</v>
      </c>
      <c r="B763">
        <v>33</v>
      </c>
      <c r="C763" t="s">
        <v>1593</v>
      </c>
      <c r="D763" t="s">
        <v>20</v>
      </c>
      <c r="E763" t="s">
        <v>16</v>
      </c>
      <c r="F763" t="s">
        <v>24</v>
      </c>
      <c r="G763" s="1">
        <v>45958</v>
      </c>
      <c r="H763" t="s">
        <v>36</v>
      </c>
      <c r="I763">
        <v>34358.836547566927</v>
      </c>
      <c r="J763">
        <v>312</v>
      </c>
      <c r="K763" t="s">
        <v>14</v>
      </c>
      <c r="L763" s="1">
        <v>45964</v>
      </c>
      <c r="M763">
        <v>6</v>
      </c>
      <c r="N763" t="s">
        <v>15</v>
      </c>
    </row>
    <row r="764" spans="1:14" x14ac:dyDescent="0.35">
      <c r="A764" t="s">
        <v>1565</v>
      </c>
      <c r="B764">
        <v>38</v>
      </c>
      <c r="C764" t="s">
        <v>1594</v>
      </c>
      <c r="D764" t="s">
        <v>11</v>
      </c>
      <c r="E764" t="s">
        <v>21</v>
      </c>
      <c r="F764" t="s">
        <v>32</v>
      </c>
      <c r="G764" s="1">
        <v>45867</v>
      </c>
      <c r="H764" t="s">
        <v>39</v>
      </c>
      <c r="I764">
        <v>44839.305941457962</v>
      </c>
      <c r="J764">
        <v>138</v>
      </c>
      <c r="K764" t="s">
        <v>18</v>
      </c>
      <c r="L764" s="1">
        <v>45874</v>
      </c>
      <c r="M764">
        <v>7</v>
      </c>
      <c r="N764" t="s">
        <v>27</v>
      </c>
    </row>
    <row r="765" spans="1:14" x14ac:dyDescent="0.35">
      <c r="A765" t="s">
        <v>1566</v>
      </c>
      <c r="B765">
        <v>51</v>
      </c>
      <c r="C765" t="s">
        <v>1592</v>
      </c>
      <c r="D765" t="s">
        <v>20</v>
      </c>
      <c r="E765" t="s">
        <v>21</v>
      </c>
      <c r="F765" t="s">
        <v>17</v>
      </c>
      <c r="G765" s="1">
        <v>45877</v>
      </c>
      <c r="H765" t="s">
        <v>36</v>
      </c>
      <c r="I765">
        <v>32006.03156588805</v>
      </c>
      <c r="J765">
        <v>200</v>
      </c>
      <c r="K765" t="s">
        <v>14</v>
      </c>
      <c r="L765" s="1">
        <v>45889</v>
      </c>
      <c r="M765">
        <v>12</v>
      </c>
      <c r="N765" t="s">
        <v>27</v>
      </c>
    </row>
    <row r="766" spans="1:14" x14ac:dyDescent="0.35">
      <c r="A766" t="s">
        <v>1567</v>
      </c>
      <c r="B766">
        <v>82</v>
      </c>
      <c r="C766" t="s">
        <v>1591</v>
      </c>
      <c r="D766" t="s">
        <v>20</v>
      </c>
      <c r="E766" t="s">
        <v>16</v>
      </c>
      <c r="F766" t="s">
        <v>13</v>
      </c>
      <c r="G766" s="1">
        <v>45667</v>
      </c>
      <c r="H766" t="s">
        <v>37</v>
      </c>
      <c r="I766">
        <v>27971.280360766319</v>
      </c>
      <c r="J766">
        <v>120</v>
      </c>
      <c r="K766" t="s">
        <v>18</v>
      </c>
      <c r="L766" s="1">
        <v>45672</v>
      </c>
      <c r="M766">
        <v>5</v>
      </c>
      <c r="N766" t="s">
        <v>31</v>
      </c>
    </row>
    <row r="767" spans="1:14" x14ac:dyDescent="0.35">
      <c r="A767" t="s">
        <v>1568</v>
      </c>
      <c r="B767">
        <v>26</v>
      </c>
      <c r="C767" t="s">
        <v>1593</v>
      </c>
      <c r="D767" t="s">
        <v>11</v>
      </c>
      <c r="E767" t="s">
        <v>33</v>
      </c>
      <c r="F767" t="s">
        <v>13</v>
      </c>
      <c r="G767" s="1">
        <v>46010</v>
      </c>
      <c r="H767" t="s">
        <v>37</v>
      </c>
      <c r="I767">
        <v>18548.756069179719</v>
      </c>
      <c r="J767">
        <v>297</v>
      </c>
      <c r="K767" t="s">
        <v>14</v>
      </c>
      <c r="L767" s="1">
        <v>46012</v>
      </c>
      <c r="M767">
        <v>2</v>
      </c>
      <c r="N767" t="s">
        <v>27</v>
      </c>
    </row>
    <row r="768" spans="1:14" x14ac:dyDescent="0.35">
      <c r="A768" t="s">
        <v>1569</v>
      </c>
      <c r="B768">
        <v>86</v>
      </c>
      <c r="C768" t="s">
        <v>1591</v>
      </c>
      <c r="D768" t="s">
        <v>11</v>
      </c>
      <c r="E768" t="s">
        <v>21</v>
      </c>
      <c r="F768" t="s">
        <v>32</v>
      </c>
      <c r="G768" s="1">
        <v>45975</v>
      </c>
      <c r="H768" t="s">
        <v>36</v>
      </c>
      <c r="I768">
        <v>39776.67135155655</v>
      </c>
      <c r="J768">
        <v>194</v>
      </c>
      <c r="K768" t="s">
        <v>25</v>
      </c>
      <c r="L768" s="1">
        <v>45983</v>
      </c>
      <c r="M768">
        <v>8</v>
      </c>
      <c r="N768" t="s">
        <v>15</v>
      </c>
    </row>
    <row r="769" spans="1:14" x14ac:dyDescent="0.35">
      <c r="A769" t="s">
        <v>1570</v>
      </c>
      <c r="B769">
        <v>56</v>
      </c>
      <c r="C769" t="s">
        <v>1592</v>
      </c>
      <c r="D769" t="s">
        <v>11</v>
      </c>
      <c r="E769" t="s">
        <v>23</v>
      </c>
      <c r="F769" t="s">
        <v>32</v>
      </c>
      <c r="G769" s="1">
        <v>45666</v>
      </c>
      <c r="H769" t="s">
        <v>36</v>
      </c>
      <c r="I769">
        <v>42056.044881278911</v>
      </c>
      <c r="J769">
        <v>277</v>
      </c>
      <c r="K769" t="s">
        <v>18</v>
      </c>
      <c r="L769" s="1">
        <v>45674</v>
      </c>
      <c r="M769">
        <v>8</v>
      </c>
      <c r="N769" t="s">
        <v>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49FA8-4A58-4A0D-9DD5-54661ED356BE}">
  <dimension ref="A1:G49"/>
  <sheetViews>
    <sheetView topLeftCell="A9" workbookViewId="0">
      <selection activeCell="D5" sqref="D5"/>
    </sheetView>
  </sheetViews>
  <sheetFormatPr defaultRowHeight="14.5" x14ac:dyDescent="0.35"/>
  <cols>
    <col min="1" max="1" width="21.1796875" bestFit="1" customWidth="1"/>
    <col min="2" max="2" width="15.26953125" bestFit="1" customWidth="1"/>
    <col min="3" max="3" width="18.36328125" bestFit="1" customWidth="1"/>
    <col min="4" max="4" width="16.81640625" bestFit="1" customWidth="1"/>
    <col min="5" max="5" width="15.26953125" bestFit="1" customWidth="1"/>
    <col min="6" max="6" width="14.6328125" bestFit="1" customWidth="1"/>
    <col min="7" max="7" width="16.81640625" bestFit="1" customWidth="1"/>
    <col min="8" max="12" width="15.26953125" bestFit="1" customWidth="1"/>
    <col min="13" max="13" width="10.7265625" bestFit="1" customWidth="1"/>
    <col min="14" max="316" width="15.26953125" bestFit="1" customWidth="1"/>
    <col min="317" max="317" width="10.7265625" bestFit="1" customWidth="1"/>
  </cols>
  <sheetData>
    <row r="1" spans="1:7" x14ac:dyDescent="0.35">
      <c r="C1" s="3" t="s">
        <v>3</v>
      </c>
      <c r="D1" t="s">
        <v>1574</v>
      </c>
      <c r="F1" s="3" t="s">
        <v>1572</v>
      </c>
      <c r="G1" t="s">
        <v>1574</v>
      </c>
    </row>
    <row r="2" spans="1:7" x14ac:dyDescent="0.35">
      <c r="A2" s="5" t="s">
        <v>1588</v>
      </c>
      <c r="C2" s="4" t="s">
        <v>13</v>
      </c>
      <c r="D2">
        <v>154</v>
      </c>
      <c r="F2" s="4" t="s">
        <v>37</v>
      </c>
      <c r="G2">
        <v>240</v>
      </c>
    </row>
    <row r="3" spans="1:7" x14ac:dyDescent="0.35">
      <c r="A3" t="s">
        <v>1574</v>
      </c>
      <c r="C3" s="4" t="s">
        <v>32</v>
      </c>
      <c r="D3">
        <v>131</v>
      </c>
      <c r="F3" s="4" t="s">
        <v>36</v>
      </c>
      <c r="G3">
        <v>213</v>
      </c>
    </row>
    <row r="4" spans="1:7" x14ac:dyDescent="0.35">
      <c r="A4">
        <v>766</v>
      </c>
      <c r="C4" s="4" t="s">
        <v>28</v>
      </c>
      <c r="D4">
        <v>128</v>
      </c>
      <c r="F4" s="4" t="s">
        <v>38</v>
      </c>
      <c r="G4">
        <v>87</v>
      </c>
    </row>
    <row r="5" spans="1:7" x14ac:dyDescent="0.35">
      <c r="C5" s="4" t="s">
        <v>17</v>
      </c>
      <c r="D5">
        <v>123</v>
      </c>
      <c r="F5" s="4" t="s">
        <v>39</v>
      </c>
      <c r="G5">
        <v>226</v>
      </c>
    </row>
    <row r="6" spans="1:7" x14ac:dyDescent="0.35">
      <c r="A6" t="s">
        <v>1575</v>
      </c>
      <c r="C6" s="4" t="s">
        <v>30</v>
      </c>
      <c r="D6">
        <v>120</v>
      </c>
      <c r="F6" s="4" t="s">
        <v>1573</v>
      </c>
      <c r="G6">
        <v>766</v>
      </c>
    </row>
    <row r="7" spans="1:7" x14ac:dyDescent="0.35">
      <c r="A7" s="2">
        <v>19886784.588116992</v>
      </c>
      <c r="C7" s="4" t="s">
        <v>24</v>
      </c>
      <c r="D7">
        <v>110</v>
      </c>
    </row>
    <row r="8" spans="1:7" x14ac:dyDescent="0.35">
      <c r="C8" s="4" t="s">
        <v>1573</v>
      </c>
      <c r="D8">
        <v>766</v>
      </c>
    </row>
    <row r="10" spans="1:7" x14ac:dyDescent="0.35">
      <c r="A10" t="s">
        <v>1590</v>
      </c>
      <c r="C10" s="3" t="s">
        <v>1572</v>
      </c>
      <c r="D10" t="s">
        <v>1574</v>
      </c>
      <c r="F10" s="3" t="s">
        <v>1572</v>
      </c>
      <c r="G10" t="s">
        <v>1574</v>
      </c>
    </row>
    <row r="11" spans="1:7" x14ac:dyDescent="0.35">
      <c r="A11" s="6">
        <v>7.2389033942558747</v>
      </c>
      <c r="C11" s="4" t="s">
        <v>20</v>
      </c>
      <c r="D11">
        <v>404</v>
      </c>
      <c r="F11" s="4" t="s">
        <v>1591</v>
      </c>
      <c r="G11">
        <v>196</v>
      </c>
    </row>
    <row r="12" spans="1:7" x14ac:dyDescent="0.35">
      <c r="A12" t="s">
        <v>1597</v>
      </c>
      <c r="C12" s="4" t="s">
        <v>11</v>
      </c>
      <c r="D12">
        <v>362</v>
      </c>
      <c r="F12" s="4" t="s">
        <v>1593</v>
      </c>
      <c r="G12">
        <v>195</v>
      </c>
    </row>
    <row r="13" spans="1:7" x14ac:dyDescent="0.35">
      <c r="A13" s="8" t="e" vm="1">
        <v>#VALUE!</v>
      </c>
      <c r="C13" s="4" t="s">
        <v>1573</v>
      </c>
      <c r="D13">
        <v>766</v>
      </c>
      <c r="F13" s="4" t="s">
        <v>1592</v>
      </c>
      <c r="G13">
        <v>186</v>
      </c>
    </row>
    <row r="14" spans="1:7" x14ac:dyDescent="0.35">
      <c r="A14" t="s">
        <v>1598</v>
      </c>
      <c r="F14" s="4" t="s">
        <v>1594</v>
      </c>
      <c r="G14">
        <v>172</v>
      </c>
    </row>
    <row r="15" spans="1:7" x14ac:dyDescent="0.35">
      <c r="A15" s="2">
        <v>25961.85977560965</v>
      </c>
      <c r="F15" s="4" t="s">
        <v>1595</v>
      </c>
      <c r="G15">
        <v>17</v>
      </c>
    </row>
    <row r="16" spans="1:7" x14ac:dyDescent="0.35">
      <c r="C16" s="3" t="s">
        <v>1572</v>
      </c>
      <c r="D16" t="s">
        <v>1575</v>
      </c>
      <c r="F16" s="4" t="s">
        <v>1573</v>
      </c>
      <c r="G16">
        <v>766</v>
      </c>
    </row>
    <row r="17" spans="1:7" x14ac:dyDescent="0.35">
      <c r="C17" s="4" t="s">
        <v>37</v>
      </c>
      <c r="D17" s="2">
        <v>6294557.2045392795</v>
      </c>
    </row>
    <row r="18" spans="1:7" x14ac:dyDescent="0.35">
      <c r="A18" s="3" t="s">
        <v>1572</v>
      </c>
      <c r="B18" t="s">
        <v>1574</v>
      </c>
      <c r="C18" s="4" t="s">
        <v>36</v>
      </c>
      <c r="D18" s="2">
        <v>5506237.0045546936</v>
      </c>
    </row>
    <row r="19" spans="1:7" x14ac:dyDescent="0.35">
      <c r="A19" s="4" t="s">
        <v>34</v>
      </c>
      <c r="B19">
        <v>109</v>
      </c>
      <c r="C19" s="4" t="s">
        <v>38</v>
      </c>
      <c r="D19" s="2">
        <v>2243823.823440962</v>
      </c>
      <c r="F19" s="3" t="s">
        <v>1572</v>
      </c>
      <c r="G19" t="s">
        <v>1575</v>
      </c>
    </row>
    <row r="20" spans="1:7" x14ac:dyDescent="0.35">
      <c r="A20" s="4" t="s">
        <v>21</v>
      </c>
      <c r="B20">
        <v>106</v>
      </c>
      <c r="C20" s="4" t="s">
        <v>39</v>
      </c>
      <c r="D20" s="2">
        <v>5842166.5555820614</v>
      </c>
      <c r="F20" s="4" t="s">
        <v>1576</v>
      </c>
      <c r="G20" s="2">
        <v>1864271.8860992745</v>
      </c>
    </row>
    <row r="21" spans="1:7" x14ac:dyDescent="0.35">
      <c r="A21" s="4" t="s">
        <v>12</v>
      </c>
      <c r="B21">
        <v>103</v>
      </c>
      <c r="C21" s="4" t="s">
        <v>1573</v>
      </c>
      <c r="D21" s="2">
        <v>19886784.588116996</v>
      </c>
      <c r="F21" s="4" t="s">
        <v>1577</v>
      </c>
      <c r="G21" s="2">
        <v>1615118.5009918662</v>
      </c>
    </row>
    <row r="22" spans="1:7" x14ac:dyDescent="0.35">
      <c r="A22" s="4" t="s">
        <v>16</v>
      </c>
      <c r="B22">
        <v>101</v>
      </c>
      <c r="F22" s="4" t="s">
        <v>1578</v>
      </c>
      <c r="G22" s="2">
        <v>1774479.2339781029</v>
      </c>
    </row>
    <row r="23" spans="1:7" x14ac:dyDescent="0.35">
      <c r="A23" s="4" t="s">
        <v>33</v>
      </c>
      <c r="B23">
        <v>99</v>
      </c>
      <c r="C23" s="3" t="s">
        <v>1572</v>
      </c>
      <c r="D23" t="s">
        <v>1574</v>
      </c>
      <c r="F23" s="4" t="s">
        <v>1579</v>
      </c>
      <c r="G23" s="2">
        <v>1852702.9293191452</v>
      </c>
    </row>
    <row r="24" spans="1:7" x14ac:dyDescent="0.35">
      <c r="A24" s="4" t="s">
        <v>23</v>
      </c>
      <c r="B24">
        <v>97</v>
      </c>
      <c r="C24" s="4" t="s">
        <v>25</v>
      </c>
      <c r="D24">
        <v>392</v>
      </c>
      <c r="F24" s="4" t="s">
        <v>1580</v>
      </c>
      <c r="G24" s="2">
        <v>1698383.2854948151</v>
      </c>
    </row>
    <row r="25" spans="1:7" x14ac:dyDescent="0.35">
      <c r="A25" s="4" t="s">
        <v>26</v>
      </c>
      <c r="B25">
        <v>96</v>
      </c>
      <c r="C25" s="4" t="s">
        <v>18</v>
      </c>
      <c r="D25">
        <v>355</v>
      </c>
      <c r="F25" s="4" t="s">
        <v>1581</v>
      </c>
      <c r="G25" s="2">
        <v>1521436.9576270583</v>
      </c>
    </row>
    <row r="26" spans="1:7" x14ac:dyDescent="0.35">
      <c r="A26" s="4" t="s">
        <v>29</v>
      </c>
      <c r="B26">
        <v>55</v>
      </c>
      <c r="C26" s="4" t="s">
        <v>14</v>
      </c>
      <c r="D26">
        <v>19</v>
      </c>
      <c r="F26" s="4" t="s">
        <v>1582</v>
      </c>
      <c r="G26" s="2">
        <v>1330750.7883071746</v>
      </c>
    </row>
    <row r="27" spans="1:7" x14ac:dyDescent="0.35">
      <c r="A27" s="4" t="s">
        <v>1573</v>
      </c>
      <c r="B27">
        <v>766</v>
      </c>
      <c r="C27" s="4" t="s">
        <v>1573</v>
      </c>
      <c r="D27">
        <v>766</v>
      </c>
      <c r="F27" s="4" t="s">
        <v>1583</v>
      </c>
      <c r="G27" s="2">
        <v>1843768.290200904</v>
      </c>
    </row>
    <row r="28" spans="1:7" x14ac:dyDescent="0.35">
      <c r="F28" s="4" t="s">
        <v>1584</v>
      </c>
      <c r="G28" s="2">
        <v>1118152.0464162654</v>
      </c>
    </row>
    <row r="29" spans="1:7" x14ac:dyDescent="0.35">
      <c r="F29" s="4" t="s">
        <v>1585</v>
      </c>
      <c r="G29" s="2">
        <v>2025850.1466046134</v>
      </c>
    </row>
    <row r="30" spans="1:7" x14ac:dyDescent="0.35">
      <c r="A30" s="3" t="s">
        <v>1572</v>
      </c>
      <c r="B30" t="s">
        <v>1574</v>
      </c>
      <c r="F30" s="4" t="s">
        <v>1586</v>
      </c>
      <c r="G30" s="2">
        <v>2007648.4671140509</v>
      </c>
    </row>
    <row r="31" spans="1:7" x14ac:dyDescent="0.35">
      <c r="A31" s="4" t="s">
        <v>19</v>
      </c>
      <c r="B31">
        <v>160</v>
      </c>
      <c r="F31" s="4" t="s">
        <v>1587</v>
      </c>
      <c r="G31" s="2">
        <v>1234222.0559637279</v>
      </c>
    </row>
    <row r="32" spans="1:7" x14ac:dyDescent="0.35">
      <c r="A32" s="4" t="s">
        <v>31</v>
      </c>
      <c r="B32">
        <v>156</v>
      </c>
      <c r="F32" s="4" t="s">
        <v>1573</v>
      </c>
      <c r="G32" s="2">
        <v>19886784.588117</v>
      </c>
    </row>
    <row r="33" spans="1:2" x14ac:dyDescent="0.35">
      <c r="A33" s="4" t="s">
        <v>27</v>
      </c>
      <c r="B33">
        <v>155</v>
      </c>
    </row>
    <row r="34" spans="1:2" x14ac:dyDescent="0.35">
      <c r="A34" s="4" t="s">
        <v>15</v>
      </c>
      <c r="B34">
        <v>149</v>
      </c>
    </row>
    <row r="35" spans="1:2" x14ac:dyDescent="0.35">
      <c r="A35" s="4" t="s">
        <v>22</v>
      </c>
      <c r="B35">
        <v>146</v>
      </c>
    </row>
    <row r="36" spans="1:2" x14ac:dyDescent="0.35">
      <c r="A36" s="4" t="s">
        <v>1573</v>
      </c>
      <c r="B36">
        <v>766</v>
      </c>
    </row>
    <row r="46" spans="1:2" x14ac:dyDescent="0.35">
      <c r="B46" t="s">
        <v>19</v>
      </c>
    </row>
    <row r="49" spans="2:2" x14ac:dyDescent="0.35">
      <c r="B49" t="s">
        <v>13</v>
      </c>
    </row>
  </sheetData>
  <pageMargins left="0.7" right="0.7" top="0.75" bottom="0.75" header="0.3" footer="0.3"/>
  <drawing r:id="rId1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4CA65-0B77-41EF-B35A-8A479806F0DC}">
  <dimension ref="A1:N767"/>
  <sheetViews>
    <sheetView zoomScale="85" zoomScaleNormal="85" workbookViewId="0">
      <selection activeCell="O14" sqref="O14"/>
    </sheetView>
  </sheetViews>
  <sheetFormatPr defaultRowHeight="14.5" x14ac:dyDescent="0.35"/>
  <cols>
    <col min="1" max="1" width="19.54296875" customWidth="1"/>
    <col min="3" max="3" width="13.36328125" customWidth="1"/>
    <col min="4" max="4" width="12.08984375" customWidth="1"/>
    <col min="5" max="5" width="17.90625" customWidth="1"/>
    <col min="6" max="6" width="19.26953125" bestFit="1" customWidth="1"/>
    <col min="7" max="7" width="19.26953125" style="1" bestFit="1" customWidth="1"/>
    <col min="8" max="8" width="18.453125" customWidth="1"/>
    <col min="9" max="9" width="16.36328125" style="2" customWidth="1"/>
    <col min="10" max="10" width="15.90625" customWidth="1"/>
    <col min="11" max="11" width="18.90625" bestFit="1" customWidth="1"/>
    <col min="12" max="12" width="18.90625" style="1" bestFit="1" customWidth="1"/>
    <col min="13" max="13" width="18.90625" style="6" customWidth="1"/>
    <col min="14" max="14" width="12.6328125" customWidth="1"/>
  </cols>
  <sheetData>
    <row r="1" spans="1:14" x14ac:dyDescent="0.35">
      <c r="A1" t="s">
        <v>807</v>
      </c>
      <c r="B1" t="s">
        <v>0</v>
      </c>
      <c r="C1" t="s">
        <v>1571</v>
      </c>
      <c r="D1" t="s">
        <v>1</v>
      </c>
      <c r="E1" t="s">
        <v>2</v>
      </c>
      <c r="F1" t="s">
        <v>3</v>
      </c>
      <c r="G1" s="1" t="s">
        <v>4</v>
      </c>
      <c r="H1" t="s">
        <v>5</v>
      </c>
      <c r="I1" s="2" t="s">
        <v>6</v>
      </c>
      <c r="J1" t="s">
        <v>7</v>
      </c>
      <c r="K1" t="s">
        <v>8</v>
      </c>
      <c r="L1" s="1" t="s">
        <v>9</v>
      </c>
      <c r="M1" s="6" t="s">
        <v>1589</v>
      </c>
      <c r="N1" t="s">
        <v>10</v>
      </c>
    </row>
    <row r="2" spans="1:14" x14ac:dyDescent="0.35">
      <c r="A2" t="s">
        <v>808</v>
      </c>
      <c r="B2">
        <v>67</v>
      </c>
      <c r="C2" t="str">
        <f>IF(WilsonData[[#This Row],[Age]]&lt;=18, "0-18", IF(WilsonData[[#This Row],[Age]]&lt;=35,"19-35", IF(WilsonData[[#This Row],[Age]]&lt;=50, "36-50",IF(WilsonData[[#This Row],[Age]]&lt;=65,"51-65", " 66+"))))</f>
        <v xml:space="preserve"> 66+</v>
      </c>
      <c r="D2" t="s">
        <v>20</v>
      </c>
      <c r="E2" t="s">
        <v>21</v>
      </c>
      <c r="F2" t="s">
        <v>28</v>
      </c>
      <c r="G2" s="1">
        <v>45987</v>
      </c>
      <c r="H2" t="s">
        <v>36</v>
      </c>
      <c r="I2" s="2">
        <v>42.514588553324302</v>
      </c>
      <c r="J2">
        <v>115</v>
      </c>
      <c r="K2" t="s">
        <v>25</v>
      </c>
      <c r="L2" s="1">
        <v>45988</v>
      </c>
      <c r="M2" s="6">
        <f>WilsonData[[#This Row],[Discharge Date]]-WilsonData[[#This Row],[Date of Admission]]</f>
        <v>1</v>
      </c>
      <c r="N2" t="s">
        <v>22</v>
      </c>
    </row>
    <row r="3" spans="1:14" x14ac:dyDescent="0.35">
      <c r="A3" t="s">
        <v>809</v>
      </c>
      <c r="B3">
        <v>72</v>
      </c>
      <c r="C3" t="str">
        <f>IF(WilsonData[[#This Row],[Age]]&lt;=18, "0-18", IF(WilsonData[[#This Row],[Age]]&lt;=35,"19-35", IF(WilsonData[[#This Row],[Age]]&lt;=50, "36-50",IF(WilsonData[[#This Row],[Age]]&lt;=65,"51-65", " 66+"))))</f>
        <v xml:space="preserve"> 66+</v>
      </c>
      <c r="D3" t="s">
        <v>20</v>
      </c>
      <c r="E3" t="s">
        <v>26</v>
      </c>
      <c r="F3" t="s">
        <v>30</v>
      </c>
      <c r="G3" s="1">
        <v>45973</v>
      </c>
      <c r="H3" t="s">
        <v>37</v>
      </c>
      <c r="I3" s="2">
        <v>33211.295419012022</v>
      </c>
      <c r="J3">
        <v>109</v>
      </c>
      <c r="K3" t="s">
        <v>18</v>
      </c>
      <c r="L3" s="1">
        <v>45978</v>
      </c>
      <c r="M3" s="6">
        <f>WilsonData[[#This Row],[Discharge Date]]-WilsonData[[#This Row],[Date of Admission]]</f>
        <v>5</v>
      </c>
      <c r="N3" t="s">
        <v>15</v>
      </c>
    </row>
    <row r="4" spans="1:14" x14ac:dyDescent="0.35">
      <c r="A4" t="s">
        <v>810</v>
      </c>
      <c r="B4">
        <v>57</v>
      </c>
      <c r="C4" t="str">
        <f>IF(WilsonData[[#This Row],[Age]]&lt;=18, "0-18", IF(WilsonData[[#This Row],[Age]]&lt;=35,"19-35", IF(WilsonData[[#This Row],[Age]]&lt;=50, "36-50",IF(WilsonData[[#This Row],[Age]]&lt;=65,"51-65", " 66+"))))</f>
        <v>51-65</v>
      </c>
      <c r="D4" t="s">
        <v>11</v>
      </c>
      <c r="E4" t="s">
        <v>12</v>
      </c>
      <c r="F4" t="s">
        <v>32</v>
      </c>
      <c r="G4" s="1">
        <v>46002</v>
      </c>
      <c r="H4" t="s">
        <v>38</v>
      </c>
      <c r="I4" s="2">
        <v>46429.508203722617</v>
      </c>
      <c r="J4">
        <v>233</v>
      </c>
      <c r="K4" t="s">
        <v>25</v>
      </c>
      <c r="L4" s="1">
        <v>46012</v>
      </c>
      <c r="M4" s="6">
        <f>WilsonData[[#This Row],[Discharge Date]]-WilsonData[[#This Row],[Date of Admission]]</f>
        <v>10</v>
      </c>
      <c r="N4" t="s">
        <v>15</v>
      </c>
    </row>
    <row r="5" spans="1:14" x14ac:dyDescent="0.35">
      <c r="A5" t="s">
        <v>811</v>
      </c>
      <c r="B5">
        <v>21</v>
      </c>
      <c r="C5" t="str">
        <f>IF(WilsonData[[#This Row],[Age]]&lt;=18, "0-18", IF(WilsonData[[#This Row],[Age]]&lt;=35,"19-35", IF(WilsonData[[#This Row],[Age]]&lt;=50, "36-50",IF(WilsonData[[#This Row],[Age]]&lt;=65,"51-65", " 66+"))))</f>
        <v>19-35</v>
      </c>
      <c r="D5" t="s">
        <v>11</v>
      </c>
      <c r="E5" t="s">
        <v>23</v>
      </c>
      <c r="F5" t="s">
        <v>24</v>
      </c>
      <c r="G5" s="1">
        <v>45860</v>
      </c>
      <c r="H5" t="s">
        <v>36</v>
      </c>
      <c r="I5" s="2">
        <v>12880.652412771489</v>
      </c>
      <c r="J5">
        <v>267</v>
      </c>
      <c r="K5" t="s">
        <v>14</v>
      </c>
      <c r="L5" s="1">
        <v>45865</v>
      </c>
      <c r="M5" s="6">
        <f>WilsonData[[#This Row],[Discharge Date]]-WilsonData[[#This Row],[Date of Admission]]</f>
        <v>5</v>
      </c>
      <c r="N5" t="s">
        <v>27</v>
      </c>
    </row>
    <row r="6" spans="1:14" x14ac:dyDescent="0.35">
      <c r="A6" t="s">
        <v>812</v>
      </c>
      <c r="B6">
        <v>34</v>
      </c>
      <c r="C6" t="str">
        <f>IF(WilsonData[[#This Row],[Age]]&lt;=18, "0-18", IF(WilsonData[[#This Row],[Age]]&lt;=35,"19-35", IF(WilsonData[[#This Row],[Age]]&lt;=50, "36-50",IF(WilsonData[[#This Row],[Age]]&lt;=65,"51-65", " 66+"))))</f>
        <v>19-35</v>
      </c>
      <c r="D6" t="s">
        <v>20</v>
      </c>
      <c r="E6" t="s">
        <v>23</v>
      </c>
      <c r="F6" t="s">
        <v>13</v>
      </c>
      <c r="G6" s="1">
        <v>45686</v>
      </c>
      <c r="H6" t="s">
        <v>36</v>
      </c>
      <c r="I6" s="2">
        <v>18524.86663748576</v>
      </c>
      <c r="J6">
        <v>472</v>
      </c>
      <c r="K6" t="s">
        <v>14</v>
      </c>
      <c r="L6" s="1">
        <v>45689</v>
      </c>
      <c r="M6" s="6">
        <f>WilsonData[[#This Row],[Discharge Date]]-WilsonData[[#This Row],[Date of Admission]]</f>
        <v>3</v>
      </c>
      <c r="N6" t="s">
        <v>31</v>
      </c>
    </row>
    <row r="7" spans="1:14" x14ac:dyDescent="0.35">
      <c r="A7" t="s">
        <v>813</v>
      </c>
      <c r="B7">
        <v>56</v>
      </c>
      <c r="C7" t="str">
        <f>IF(WilsonData[[#This Row],[Age]]&lt;=18, "0-18", IF(WilsonData[[#This Row],[Age]]&lt;=35,"19-35", IF(WilsonData[[#This Row],[Age]]&lt;=50, "36-50",IF(WilsonData[[#This Row],[Age]]&lt;=65,"51-65", " 66+"))))</f>
        <v>51-65</v>
      </c>
      <c r="D7" t="s">
        <v>11</v>
      </c>
      <c r="E7" t="s">
        <v>12</v>
      </c>
      <c r="F7" t="s">
        <v>24</v>
      </c>
      <c r="G7" s="1">
        <v>45773</v>
      </c>
      <c r="H7" t="s">
        <v>37</v>
      </c>
      <c r="I7" s="2">
        <v>26437.774630145719</v>
      </c>
      <c r="J7">
        <v>267</v>
      </c>
      <c r="K7" t="s">
        <v>18</v>
      </c>
      <c r="L7" s="1">
        <v>45778</v>
      </c>
      <c r="M7" s="6">
        <f>WilsonData[[#This Row],[Discharge Date]]-WilsonData[[#This Row],[Date of Admission]]</f>
        <v>5</v>
      </c>
      <c r="N7" t="s">
        <v>19</v>
      </c>
    </row>
    <row r="8" spans="1:14" x14ac:dyDescent="0.35">
      <c r="A8" t="s">
        <v>814</v>
      </c>
      <c r="B8">
        <v>30</v>
      </c>
      <c r="C8" t="str">
        <f>IF(WilsonData[[#This Row],[Age]]&lt;=18, "0-18", IF(WilsonData[[#This Row],[Age]]&lt;=35,"19-35", IF(WilsonData[[#This Row],[Age]]&lt;=50, "36-50",IF(WilsonData[[#This Row],[Age]]&lt;=65,"51-65", " 66+"))))</f>
        <v>19-35</v>
      </c>
      <c r="D8" t="s">
        <v>11</v>
      </c>
      <c r="E8" t="s">
        <v>21</v>
      </c>
      <c r="F8" t="s">
        <v>13</v>
      </c>
      <c r="G8" s="1">
        <v>45832</v>
      </c>
      <c r="H8" t="s">
        <v>39</v>
      </c>
      <c r="I8" s="2">
        <v>2879.4605320542428</v>
      </c>
      <c r="J8">
        <v>183</v>
      </c>
      <c r="K8" t="s">
        <v>14</v>
      </c>
      <c r="L8" s="1">
        <v>45835</v>
      </c>
      <c r="M8" s="6">
        <f>WilsonData[[#This Row],[Discharge Date]]-WilsonData[[#This Row],[Date of Admission]]</f>
        <v>3</v>
      </c>
      <c r="N8" t="s">
        <v>19</v>
      </c>
    </row>
    <row r="9" spans="1:14" x14ac:dyDescent="0.35">
      <c r="A9" t="s">
        <v>815</v>
      </c>
      <c r="B9">
        <v>25</v>
      </c>
      <c r="C9" t="str">
        <f>IF(WilsonData[[#This Row],[Age]]&lt;=18, "0-18", IF(WilsonData[[#This Row],[Age]]&lt;=35,"19-35", IF(WilsonData[[#This Row],[Age]]&lt;=50, "36-50",IF(WilsonData[[#This Row],[Age]]&lt;=65,"51-65", " 66+"))))</f>
        <v>19-35</v>
      </c>
      <c r="D9" t="s">
        <v>20</v>
      </c>
      <c r="E9" t="s">
        <v>16</v>
      </c>
      <c r="F9" t="s">
        <v>13</v>
      </c>
      <c r="G9" s="1">
        <v>45890</v>
      </c>
      <c r="H9" t="s">
        <v>38</v>
      </c>
      <c r="I9" s="2">
        <v>36990.455775325318</v>
      </c>
      <c r="J9">
        <v>356</v>
      </c>
      <c r="K9" t="s">
        <v>14</v>
      </c>
      <c r="L9" s="1">
        <v>45892</v>
      </c>
      <c r="M9" s="6">
        <f>WilsonData[[#This Row],[Discharge Date]]-WilsonData[[#This Row],[Date of Admission]]</f>
        <v>2</v>
      </c>
      <c r="N9" t="s">
        <v>22</v>
      </c>
    </row>
    <row r="10" spans="1:14" x14ac:dyDescent="0.35">
      <c r="A10" t="s">
        <v>816</v>
      </c>
      <c r="B10">
        <v>49</v>
      </c>
      <c r="C10" t="str">
        <f>IF(WilsonData[[#This Row],[Age]]&lt;=18, "0-18", IF(WilsonData[[#This Row],[Age]]&lt;=35,"19-35", IF(WilsonData[[#This Row],[Age]]&lt;=50, "36-50",IF(WilsonData[[#This Row],[Age]]&lt;=65,"51-65", " 66+"))))</f>
        <v>36-50</v>
      </c>
      <c r="D10" t="s">
        <v>20</v>
      </c>
      <c r="E10" t="s">
        <v>23</v>
      </c>
      <c r="F10" t="s">
        <v>24</v>
      </c>
      <c r="G10" s="1">
        <v>45678</v>
      </c>
      <c r="H10" t="s">
        <v>39</v>
      </c>
      <c r="I10" s="2">
        <v>2133.7372022713962</v>
      </c>
      <c r="J10">
        <v>189</v>
      </c>
      <c r="K10" t="s">
        <v>14</v>
      </c>
      <c r="L10" s="1">
        <v>45683</v>
      </c>
      <c r="M10" s="6">
        <f>WilsonData[[#This Row],[Discharge Date]]-WilsonData[[#This Row],[Date of Admission]]</f>
        <v>5</v>
      </c>
      <c r="N10" t="s">
        <v>19</v>
      </c>
    </row>
    <row r="11" spans="1:14" x14ac:dyDescent="0.35">
      <c r="A11" t="s">
        <v>817</v>
      </c>
      <c r="B11">
        <v>49</v>
      </c>
      <c r="C11" t="str">
        <f>IF(WilsonData[[#This Row],[Age]]&lt;=18, "0-18", IF(WilsonData[[#This Row],[Age]]&lt;=35,"19-35", IF(WilsonData[[#This Row],[Age]]&lt;=50, "36-50",IF(WilsonData[[#This Row],[Age]]&lt;=65,"51-65", " 66+"))))</f>
        <v>36-50</v>
      </c>
      <c r="D11" t="s">
        <v>11</v>
      </c>
      <c r="E11" t="s">
        <v>21</v>
      </c>
      <c r="F11" t="s">
        <v>24</v>
      </c>
      <c r="G11" s="1">
        <v>45941</v>
      </c>
      <c r="H11" t="s">
        <v>37</v>
      </c>
      <c r="I11" s="2">
        <v>37636.441661616896</v>
      </c>
      <c r="J11">
        <v>385</v>
      </c>
      <c r="K11" t="s">
        <v>25</v>
      </c>
      <c r="L11" s="1">
        <v>45953</v>
      </c>
      <c r="M11" s="6">
        <f>WilsonData[[#This Row],[Discharge Date]]-WilsonData[[#This Row],[Date of Admission]]</f>
        <v>12</v>
      </c>
      <c r="N11" t="s">
        <v>19</v>
      </c>
    </row>
    <row r="12" spans="1:14" x14ac:dyDescent="0.35">
      <c r="A12" t="s">
        <v>818</v>
      </c>
      <c r="B12">
        <v>61</v>
      </c>
      <c r="C12" t="str">
        <f>IF(WilsonData[[#This Row],[Age]]&lt;=18, "0-18", IF(WilsonData[[#This Row],[Age]]&lt;=35,"19-35", IF(WilsonData[[#This Row],[Age]]&lt;=50, "36-50",IF(WilsonData[[#This Row],[Age]]&lt;=65,"51-65", " 66+"))))</f>
        <v>51-65</v>
      </c>
      <c r="D12" t="s">
        <v>20</v>
      </c>
      <c r="E12" t="s">
        <v>26</v>
      </c>
      <c r="F12" t="s">
        <v>30</v>
      </c>
      <c r="G12" s="1">
        <v>45831</v>
      </c>
      <c r="H12" t="s">
        <v>39</v>
      </c>
      <c r="I12" s="2">
        <v>20577.708926659619</v>
      </c>
      <c r="J12">
        <v>387</v>
      </c>
      <c r="K12" t="s">
        <v>25</v>
      </c>
      <c r="L12" s="1">
        <v>45832</v>
      </c>
      <c r="M12" s="6">
        <f>WilsonData[[#This Row],[Discharge Date]]-WilsonData[[#This Row],[Date of Admission]]</f>
        <v>1</v>
      </c>
      <c r="N12" t="s">
        <v>27</v>
      </c>
    </row>
    <row r="13" spans="1:14" x14ac:dyDescent="0.35">
      <c r="A13" t="s">
        <v>819</v>
      </c>
      <c r="B13">
        <v>85</v>
      </c>
      <c r="C13" t="str">
        <f>IF(WilsonData[[#This Row],[Age]]&lt;=18, "0-18", IF(WilsonData[[#This Row],[Age]]&lt;=35,"19-35", IF(WilsonData[[#This Row],[Age]]&lt;=50, "36-50",IF(WilsonData[[#This Row],[Age]]&lt;=65,"51-65", " 66+"))))</f>
        <v xml:space="preserve"> 66+</v>
      </c>
      <c r="D13" t="s">
        <v>20</v>
      </c>
      <c r="E13" t="s">
        <v>16</v>
      </c>
      <c r="F13" t="s">
        <v>13</v>
      </c>
      <c r="G13" s="1">
        <v>45953</v>
      </c>
      <c r="H13" t="s">
        <v>36</v>
      </c>
      <c r="I13" s="2">
        <v>27971.280360766319</v>
      </c>
      <c r="J13">
        <v>120</v>
      </c>
      <c r="K13" t="s">
        <v>18</v>
      </c>
      <c r="L13" s="1">
        <v>45961</v>
      </c>
      <c r="M13" s="6">
        <f>WilsonData[[#This Row],[Discharge Date]]-WilsonData[[#This Row],[Date of Admission]]</f>
        <v>8</v>
      </c>
      <c r="N13" t="s">
        <v>31</v>
      </c>
    </row>
    <row r="14" spans="1:14" x14ac:dyDescent="0.35">
      <c r="A14" t="s">
        <v>820</v>
      </c>
      <c r="B14">
        <v>59</v>
      </c>
      <c r="C14" t="str">
        <f>IF(WilsonData[[#This Row],[Age]]&lt;=18, "0-18", IF(WilsonData[[#This Row],[Age]]&lt;=35,"19-35", IF(WilsonData[[#This Row],[Age]]&lt;=50, "36-50",IF(WilsonData[[#This Row],[Age]]&lt;=65,"51-65", " 66+"))))</f>
        <v>51-65</v>
      </c>
      <c r="D14" t="s">
        <v>20</v>
      </c>
      <c r="E14" t="s">
        <v>23</v>
      </c>
      <c r="F14" t="s">
        <v>32</v>
      </c>
      <c r="G14" s="1">
        <v>45999</v>
      </c>
      <c r="H14" t="s">
        <v>36</v>
      </c>
      <c r="I14" s="2">
        <v>7796.2596143766759</v>
      </c>
      <c r="J14">
        <v>144</v>
      </c>
      <c r="K14" t="s">
        <v>14</v>
      </c>
      <c r="L14" s="1">
        <v>46004</v>
      </c>
      <c r="M14" s="6">
        <f>WilsonData[[#This Row],[Discharge Date]]-WilsonData[[#This Row],[Date of Admission]]</f>
        <v>5</v>
      </c>
      <c r="N14" t="s">
        <v>19</v>
      </c>
    </row>
    <row r="15" spans="1:14" x14ac:dyDescent="0.35">
      <c r="A15" t="s">
        <v>821</v>
      </c>
      <c r="B15">
        <v>77</v>
      </c>
      <c r="C15" t="str">
        <f>IF(WilsonData[[#This Row],[Age]]&lt;=18, "0-18", IF(WilsonData[[#This Row],[Age]]&lt;=35,"19-35", IF(WilsonData[[#This Row],[Age]]&lt;=50, "36-50",IF(WilsonData[[#This Row],[Age]]&lt;=65,"51-65", " 66+"))))</f>
        <v xml:space="preserve"> 66+</v>
      </c>
      <c r="D15" t="s">
        <v>20</v>
      </c>
      <c r="E15" t="s">
        <v>26</v>
      </c>
      <c r="F15" t="s">
        <v>24</v>
      </c>
      <c r="G15" s="1">
        <v>45910</v>
      </c>
      <c r="H15" t="s">
        <v>37</v>
      </c>
      <c r="I15" s="2">
        <v>28228.694722456519</v>
      </c>
      <c r="J15">
        <v>277</v>
      </c>
      <c r="K15" t="s">
        <v>14</v>
      </c>
      <c r="L15" s="1">
        <v>45913</v>
      </c>
      <c r="M15" s="6">
        <f>WilsonData[[#This Row],[Discharge Date]]-WilsonData[[#This Row],[Date of Admission]]</f>
        <v>3</v>
      </c>
      <c r="N15" t="s">
        <v>15</v>
      </c>
    </row>
    <row r="16" spans="1:14" x14ac:dyDescent="0.35">
      <c r="A16" t="s">
        <v>822</v>
      </c>
      <c r="B16">
        <v>24</v>
      </c>
      <c r="C16" t="str">
        <f>IF(WilsonData[[#This Row],[Age]]&lt;=18, "0-18", IF(WilsonData[[#This Row],[Age]]&lt;=35,"19-35", IF(WilsonData[[#This Row],[Age]]&lt;=50, "36-50",IF(WilsonData[[#This Row],[Age]]&lt;=65,"51-65", " 66+"))))</f>
        <v>19-35</v>
      </c>
      <c r="D16" t="s">
        <v>11</v>
      </c>
      <c r="E16" t="s">
        <v>21</v>
      </c>
      <c r="F16" t="s">
        <v>32</v>
      </c>
      <c r="G16" s="1">
        <v>45664</v>
      </c>
      <c r="H16" t="s">
        <v>38</v>
      </c>
      <c r="I16" s="2">
        <v>7192.6281782379574</v>
      </c>
      <c r="J16">
        <v>443</v>
      </c>
      <c r="K16" t="s">
        <v>18</v>
      </c>
      <c r="L16" s="1">
        <v>45677</v>
      </c>
      <c r="M16" s="6">
        <f>WilsonData[[#This Row],[Discharge Date]]-WilsonData[[#This Row],[Date of Admission]]</f>
        <v>13</v>
      </c>
      <c r="N16" t="s">
        <v>27</v>
      </c>
    </row>
    <row r="17" spans="1:14" x14ac:dyDescent="0.35">
      <c r="A17" t="s">
        <v>823</v>
      </c>
      <c r="B17">
        <v>63</v>
      </c>
      <c r="C17" t="str">
        <f>IF(WilsonData[[#This Row],[Age]]&lt;=18, "0-18", IF(WilsonData[[#This Row],[Age]]&lt;=35,"19-35", IF(WilsonData[[#This Row],[Age]]&lt;=50, "36-50",IF(WilsonData[[#This Row],[Age]]&lt;=65,"51-65", " 66+"))))</f>
        <v>51-65</v>
      </c>
      <c r="D17" t="s">
        <v>11</v>
      </c>
      <c r="E17" t="s">
        <v>21</v>
      </c>
      <c r="F17" t="s">
        <v>24</v>
      </c>
      <c r="G17" s="1">
        <v>45873</v>
      </c>
      <c r="H17" t="s">
        <v>38</v>
      </c>
      <c r="I17" s="2">
        <v>22361.147596566221</v>
      </c>
      <c r="J17">
        <v>445</v>
      </c>
      <c r="K17" t="s">
        <v>18</v>
      </c>
      <c r="L17" s="1">
        <v>45878</v>
      </c>
      <c r="M17" s="6">
        <f>WilsonData[[#This Row],[Discharge Date]]-WilsonData[[#This Row],[Date of Admission]]</f>
        <v>5</v>
      </c>
      <c r="N17" t="s">
        <v>15</v>
      </c>
    </row>
    <row r="18" spans="1:14" x14ac:dyDescent="0.35">
      <c r="A18" t="s">
        <v>824</v>
      </c>
      <c r="B18">
        <v>51</v>
      </c>
      <c r="C18" t="str">
        <f>IF(WilsonData[[#This Row],[Age]]&lt;=18, "0-18", IF(WilsonData[[#This Row],[Age]]&lt;=35,"19-35", IF(WilsonData[[#This Row],[Age]]&lt;=50, "36-50",IF(WilsonData[[#This Row],[Age]]&lt;=65,"51-65", " 66+"))))</f>
        <v>51-65</v>
      </c>
      <c r="D18" t="s">
        <v>20</v>
      </c>
      <c r="E18" t="s">
        <v>21</v>
      </c>
      <c r="F18" t="s">
        <v>17</v>
      </c>
      <c r="G18" s="1">
        <v>45659</v>
      </c>
      <c r="H18" t="s">
        <v>38</v>
      </c>
      <c r="I18" s="2">
        <v>32006.03156588805</v>
      </c>
      <c r="J18">
        <v>200</v>
      </c>
      <c r="K18" t="s">
        <v>14</v>
      </c>
      <c r="L18" s="1">
        <v>45664</v>
      </c>
      <c r="M18" s="6">
        <f>WilsonData[[#This Row],[Discharge Date]]-WilsonData[[#This Row],[Date of Admission]]</f>
        <v>5</v>
      </c>
      <c r="N18" t="s">
        <v>27</v>
      </c>
    </row>
    <row r="19" spans="1:14" x14ac:dyDescent="0.35">
      <c r="A19" t="s">
        <v>825</v>
      </c>
      <c r="B19">
        <v>26</v>
      </c>
      <c r="C19" t="str">
        <f>IF(WilsonData[[#This Row],[Age]]&lt;=18, "0-18", IF(WilsonData[[#This Row],[Age]]&lt;=35,"19-35", IF(WilsonData[[#This Row],[Age]]&lt;=50, "36-50",IF(WilsonData[[#This Row],[Age]]&lt;=65,"51-65", " 66+"))))</f>
        <v>19-35</v>
      </c>
      <c r="D19" t="s">
        <v>11</v>
      </c>
      <c r="E19" t="s">
        <v>34</v>
      </c>
      <c r="F19" t="s">
        <v>28</v>
      </c>
      <c r="G19" s="1">
        <v>46012</v>
      </c>
      <c r="H19" t="s">
        <v>37</v>
      </c>
      <c r="I19" s="2">
        <v>45916.324833865241</v>
      </c>
      <c r="J19">
        <v>301</v>
      </c>
      <c r="K19" t="s">
        <v>25</v>
      </c>
      <c r="L19" s="1">
        <v>46018</v>
      </c>
      <c r="M19" s="6">
        <f>WilsonData[[#This Row],[Discharge Date]]-WilsonData[[#This Row],[Date of Admission]]</f>
        <v>6</v>
      </c>
      <c r="N19" t="s">
        <v>27</v>
      </c>
    </row>
    <row r="20" spans="1:14" x14ac:dyDescent="0.35">
      <c r="A20" t="s">
        <v>826</v>
      </c>
      <c r="B20">
        <v>44</v>
      </c>
      <c r="C20" t="str">
        <f>IF(WilsonData[[#This Row],[Age]]&lt;=18, "0-18", IF(WilsonData[[#This Row],[Age]]&lt;=35,"19-35", IF(WilsonData[[#This Row],[Age]]&lt;=50, "36-50",IF(WilsonData[[#This Row],[Age]]&lt;=65,"51-65", " 66+"))))</f>
        <v>36-50</v>
      </c>
      <c r="D20" t="s">
        <v>11</v>
      </c>
      <c r="E20" t="s">
        <v>12</v>
      </c>
      <c r="F20" t="s">
        <v>32</v>
      </c>
      <c r="G20" s="1">
        <v>45926</v>
      </c>
      <c r="H20" t="s">
        <v>37</v>
      </c>
      <c r="I20" s="2">
        <v>19691.420685517242</v>
      </c>
      <c r="J20">
        <v>264</v>
      </c>
      <c r="K20" t="s">
        <v>25</v>
      </c>
      <c r="L20" s="1">
        <v>45936</v>
      </c>
      <c r="M20" s="6">
        <f>WilsonData[[#This Row],[Discharge Date]]-WilsonData[[#This Row],[Date of Admission]]</f>
        <v>10</v>
      </c>
      <c r="N20" t="s">
        <v>22</v>
      </c>
    </row>
    <row r="21" spans="1:14" x14ac:dyDescent="0.35">
      <c r="A21" t="s">
        <v>827</v>
      </c>
      <c r="B21">
        <v>81</v>
      </c>
      <c r="C21" t="str">
        <f>IF(WilsonData[[#This Row],[Age]]&lt;=18, "0-18", IF(WilsonData[[#This Row],[Age]]&lt;=35,"19-35", IF(WilsonData[[#This Row],[Age]]&lt;=50, "36-50",IF(WilsonData[[#This Row],[Age]]&lt;=65,"51-65", " 66+"))))</f>
        <v xml:space="preserve"> 66+</v>
      </c>
      <c r="D21" t="s">
        <v>20</v>
      </c>
      <c r="E21" t="s">
        <v>29</v>
      </c>
      <c r="F21" t="s">
        <v>32</v>
      </c>
      <c r="G21" s="1">
        <v>45838</v>
      </c>
      <c r="H21" t="s">
        <v>38</v>
      </c>
      <c r="I21" s="2">
        <v>3638.2461963533001</v>
      </c>
      <c r="J21">
        <v>125</v>
      </c>
      <c r="K21" t="s">
        <v>18</v>
      </c>
      <c r="L21" s="1">
        <v>45847</v>
      </c>
      <c r="M21" s="6">
        <f>WilsonData[[#This Row],[Discharge Date]]-WilsonData[[#This Row],[Date of Admission]]</f>
        <v>9</v>
      </c>
      <c r="N21" t="s">
        <v>22</v>
      </c>
    </row>
    <row r="22" spans="1:14" x14ac:dyDescent="0.35">
      <c r="A22" t="s">
        <v>828</v>
      </c>
      <c r="B22">
        <v>78</v>
      </c>
      <c r="C22" t="str">
        <f>IF(WilsonData[[#This Row],[Age]]&lt;=18, "0-18", IF(WilsonData[[#This Row],[Age]]&lt;=35,"19-35", IF(WilsonData[[#This Row],[Age]]&lt;=50, "36-50",IF(WilsonData[[#This Row],[Age]]&lt;=65,"51-65", " 66+"))))</f>
        <v xml:space="preserve"> 66+</v>
      </c>
      <c r="D22" t="s">
        <v>11</v>
      </c>
      <c r="E22" t="s">
        <v>23</v>
      </c>
      <c r="F22" t="s">
        <v>13</v>
      </c>
      <c r="G22" s="1">
        <v>45684</v>
      </c>
      <c r="H22" t="s">
        <v>37</v>
      </c>
      <c r="I22" s="2">
        <v>30549.653324730469</v>
      </c>
      <c r="J22">
        <v>314</v>
      </c>
      <c r="K22" t="s">
        <v>18</v>
      </c>
      <c r="L22" s="1">
        <v>45686</v>
      </c>
      <c r="M22" s="6">
        <f>WilsonData[[#This Row],[Discharge Date]]-WilsonData[[#This Row],[Date of Admission]]</f>
        <v>2</v>
      </c>
      <c r="N22" t="s">
        <v>15</v>
      </c>
    </row>
    <row r="23" spans="1:14" x14ac:dyDescent="0.35">
      <c r="A23" t="s">
        <v>829</v>
      </c>
      <c r="B23">
        <v>44</v>
      </c>
      <c r="C23" t="str">
        <f>IF(WilsonData[[#This Row],[Age]]&lt;=18, "0-18", IF(WilsonData[[#This Row],[Age]]&lt;=35,"19-35", IF(WilsonData[[#This Row],[Age]]&lt;=50, "36-50",IF(WilsonData[[#This Row],[Age]]&lt;=65,"51-65", " 66+"))))</f>
        <v>36-50</v>
      </c>
      <c r="D23" t="s">
        <v>20</v>
      </c>
      <c r="E23" t="s">
        <v>33</v>
      </c>
      <c r="F23" t="s">
        <v>13</v>
      </c>
      <c r="G23" s="1">
        <v>45944</v>
      </c>
      <c r="H23" t="s">
        <v>39</v>
      </c>
      <c r="I23" s="2">
        <v>4794.7513545462562</v>
      </c>
      <c r="J23">
        <v>382</v>
      </c>
      <c r="K23" t="s">
        <v>18</v>
      </c>
      <c r="L23" s="1">
        <v>45952</v>
      </c>
      <c r="M23" s="6">
        <f>WilsonData[[#This Row],[Discharge Date]]-WilsonData[[#This Row],[Date of Admission]]</f>
        <v>8</v>
      </c>
      <c r="N23" t="s">
        <v>15</v>
      </c>
    </row>
    <row r="24" spans="1:14" x14ac:dyDescent="0.35">
      <c r="A24" t="s">
        <v>830</v>
      </c>
      <c r="B24">
        <v>19</v>
      </c>
      <c r="C24" t="str">
        <f>IF(WilsonData[[#This Row],[Age]]&lt;=18, "0-18", IF(WilsonData[[#This Row],[Age]]&lt;=35,"19-35", IF(WilsonData[[#This Row],[Age]]&lt;=50, "36-50",IF(WilsonData[[#This Row],[Age]]&lt;=65,"51-65", " 66+"))))</f>
        <v>19-35</v>
      </c>
      <c r="D24" t="s">
        <v>20</v>
      </c>
      <c r="E24" t="s">
        <v>16</v>
      </c>
      <c r="F24" t="s">
        <v>30</v>
      </c>
      <c r="G24" s="1">
        <v>45855</v>
      </c>
      <c r="H24" t="s">
        <v>39</v>
      </c>
      <c r="I24" s="2">
        <v>41794.355426215472</v>
      </c>
      <c r="J24">
        <v>354</v>
      </c>
      <c r="K24" t="s">
        <v>18</v>
      </c>
      <c r="L24" s="1">
        <v>45867</v>
      </c>
      <c r="M24" s="6">
        <f>WilsonData[[#This Row],[Discharge Date]]-WilsonData[[#This Row],[Date of Admission]]</f>
        <v>12</v>
      </c>
      <c r="N24" t="s">
        <v>22</v>
      </c>
    </row>
    <row r="25" spans="1:14" x14ac:dyDescent="0.35">
      <c r="A25" t="s">
        <v>831</v>
      </c>
      <c r="B25">
        <v>65</v>
      </c>
      <c r="C25" t="str">
        <f>IF(WilsonData[[#This Row],[Age]]&lt;=18, "0-18", IF(WilsonData[[#This Row],[Age]]&lt;=35,"19-35", IF(WilsonData[[#This Row],[Age]]&lt;=50, "36-50",IF(WilsonData[[#This Row],[Age]]&lt;=65,"51-65", " 66+"))))</f>
        <v>51-65</v>
      </c>
      <c r="D25" t="s">
        <v>11</v>
      </c>
      <c r="E25" t="s">
        <v>21</v>
      </c>
      <c r="F25" t="s">
        <v>17</v>
      </c>
      <c r="G25" s="1">
        <v>45850</v>
      </c>
      <c r="H25" t="s">
        <v>37</v>
      </c>
      <c r="I25" s="2">
        <v>13302.22990824893</v>
      </c>
      <c r="J25">
        <v>494</v>
      </c>
      <c r="K25" t="s">
        <v>25</v>
      </c>
      <c r="L25" s="1">
        <v>45852</v>
      </c>
      <c r="M25" s="6">
        <f>WilsonData[[#This Row],[Discharge Date]]-WilsonData[[#This Row],[Date of Admission]]</f>
        <v>2</v>
      </c>
      <c r="N25" t="s">
        <v>27</v>
      </c>
    </row>
    <row r="26" spans="1:14" x14ac:dyDescent="0.35">
      <c r="A26" t="s">
        <v>832</v>
      </c>
      <c r="B26">
        <v>85</v>
      </c>
      <c r="C26" t="str">
        <f>IF(WilsonData[[#This Row],[Age]]&lt;=18, "0-18", IF(WilsonData[[#This Row],[Age]]&lt;=35,"19-35", IF(WilsonData[[#This Row],[Age]]&lt;=50, "36-50",IF(WilsonData[[#This Row],[Age]]&lt;=65,"51-65", " 66+"))))</f>
        <v xml:space="preserve"> 66+</v>
      </c>
      <c r="D26" t="s">
        <v>20</v>
      </c>
      <c r="E26" t="s">
        <v>26</v>
      </c>
      <c r="F26" t="s">
        <v>30</v>
      </c>
      <c r="G26" s="1">
        <v>45864</v>
      </c>
      <c r="H26" t="s">
        <v>38</v>
      </c>
      <c r="I26" s="2">
        <v>13924.723861179849</v>
      </c>
      <c r="J26">
        <v>147</v>
      </c>
      <c r="K26" t="s">
        <v>25</v>
      </c>
      <c r="L26" s="1">
        <v>45865</v>
      </c>
      <c r="M26" s="6">
        <f>WilsonData[[#This Row],[Discharge Date]]-WilsonData[[#This Row],[Date of Admission]]</f>
        <v>1</v>
      </c>
      <c r="N26" t="s">
        <v>31</v>
      </c>
    </row>
    <row r="27" spans="1:14" x14ac:dyDescent="0.35">
      <c r="A27" t="s">
        <v>833</v>
      </c>
      <c r="B27">
        <v>79</v>
      </c>
      <c r="C27" t="str">
        <f>IF(WilsonData[[#This Row],[Age]]&lt;=18, "0-18", IF(WilsonData[[#This Row],[Age]]&lt;=35,"19-35", IF(WilsonData[[#This Row],[Age]]&lt;=50, "36-50",IF(WilsonData[[#This Row],[Age]]&lt;=65,"51-65", " 66+"))))</f>
        <v xml:space="preserve"> 66+</v>
      </c>
      <c r="D27" t="s">
        <v>20</v>
      </c>
      <c r="E27" t="s">
        <v>29</v>
      </c>
      <c r="F27" t="s">
        <v>32</v>
      </c>
      <c r="G27" s="1">
        <v>45846</v>
      </c>
      <c r="H27" t="s">
        <v>38</v>
      </c>
      <c r="I27" s="2">
        <v>18609.8981700976</v>
      </c>
      <c r="J27">
        <v>127</v>
      </c>
      <c r="K27" t="s">
        <v>25</v>
      </c>
      <c r="L27" s="1">
        <v>45853</v>
      </c>
      <c r="M27" s="6">
        <f>WilsonData[[#This Row],[Discharge Date]]-WilsonData[[#This Row],[Date of Admission]]</f>
        <v>7</v>
      </c>
      <c r="N27" t="s">
        <v>31</v>
      </c>
    </row>
    <row r="28" spans="1:14" x14ac:dyDescent="0.35">
      <c r="A28" t="s">
        <v>834</v>
      </c>
      <c r="B28">
        <v>66</v>
      </c>
      <c r="C28" t="str">
        <f>IF(WilsonData[[#This Row],[Age]]&lt;=18, "0-18", IF(WilsonData[[#This Row],[Age]]&lt;=35,"19-35", IF(WilsonData[[#This Row],[Age]]&lt;=50, "36-50",IF(WilsonData[[#This Row],[Age]]&lt;=65,"51-65", " 66+"))))</f>
        <v xml:space="preserve"> 66+</v>
      </c>
      <c r="D28" t="s">
        <v>20</v>
      </c>
      <c r="E28" t="s">
        <v>34</v>
      </c>
      <c r="F28" t="s">
        <v>28</v>
      </c>
      <c r="G28" s="1">
        <v>45855</v>
      </c>
      <c r="H28" t="s">
        <v>37</v>
      </c>
      <c r="I28" s="2">
        <v>26911.222987495701</v>
      </c>
      <c r="J28">
        <v>249</v>
      </c>
      <c r="K28" t="s">
        <v>25</v>
      </c>
      <c r="L28" s="1">
        <v>45866</v>
      </c>
      <c r="M28" s="6">
        <f>WilsonData[[#This Row],[Discharge Date]]-WilsonData[[#This Row],[Date of Admission]]</f>
        <v>11</v>
      </c>
      <c r="N28" t="s">
        <v>15</v>
      </c>
    </row>
    <row r="29" spans="1:14" x14ac:dyDescent="0.35">
      <c r="A29" t="s">
        <v>835</v>
      </c>
      <c r="B29">
        <v>63</v>
      </c>
      <c r="C29" t="str">
        <f>IF(WilsonData[[#This Row],[Age]]&lt;=18, "0-18", IF(WilsonData[[#This Row],[Age]]&lt;=35,"19-35", IF(WilsonData[[#This Row],[Age]]&lt;=50, "36-50",IF(WilsonData[[#This Row],[Age]]&lt;=65,"51-65", " 66+"))))</f>
        <v>51-65</v>
      </c>
      <c r="D29" t="s">
        <v>11</v>
      </c>
      <c r="E29" t="s">
        <v>16</v>
      </c>
      <c r="F29" t="s">
        <v>13</v>
      </c>
      <c r="G29" s="1">
        <v>45981</v>
      </c>
      <c r="H29" t="s">
        <v>39</v>
      </c>
      <c r="I29" s="2">
        <v>21380.197228861711</v>
      </c>
      <c r="J29">
        <v>406</v>
      </c>
      <c r="K29" t="s">
        <v>25</v>
      </c>
      <c r="L29" s="1">
        <v>45994</v>
      </c>
      <c r="M29" s="6">
        <f>WilsonData[[#This Row],[Discharge Date]]-WilsonData[[#This Row],[Date of Admission]]</f>
        <v>13</v>
      </c>
      <c r="N29" t="s">
        <v>31</v>
      </c>
    </row>
    <row r="30" spans="1:14" x14ac:dyDescent="0.35">
      <c r="A30" t="s">
        <v>836</v>
      </c>
      <c r="B30">
        <v>75</v>
      </c>
      <c r="C30" t="str">
        <f>IF(WilsonData[[#This Row],[Age]]&lt;=18, "0-18", IF(WilsonData[[#This Row],[Age]]&lt;=35,"19-35", IF(WilsonData[[#This Row],[Age]]&lt;=50, "36-50",IF(WilsonData[[#This Row],[Age]]&lt;=65,"51-65", " 66+"))))</f>
        <v xml:space="preserve"> 66+</v>
      </c>
      <c r="D30" t="s">
        <v>20</v>
      </c>
      <c r="E30" t="s">
        <v>23</v>
      </c>
      <c r="F30" t="s">
        <v>30</v>
      </c>
      <c r="G30" s="1">
        <v>45978</v>
      </c>
      <c r="H30" t="s">
        <v>36</v>
      </c>
      <c r="I30" s="2">
        <v>13354.514225106581</v>
      </c>
      <c r="J30">
        <v>361</v>
      </c>
      <c r="K30" t="s">
        <v>25</v>
      </c>
      <c r="L30" s="1">
        <v>45980</v>
      </c>
      <c r="M30" s="6">
        <f>WilsonData[[#This Row],[Discharge Date]]-WilsonData[[#This Row],[Date of Admission]]</f>
        <v>2</v>
      </c>
      <c r="N30" t="s">
        <v>19</v>
      </c>
    </row>
    <row r="31" spans="1:14" x14ac:dyDescent="0.35">
      <c r="A31" t="s">
        <v>837</v>
      </c>
      <c r="B31">
        <v>21</v>
      </c>
      <c r="C31" t="str">
        <f>IF(WilsonData[[#This Row],[Age]]&lt;=18, "0-18", IF(WilsonData[[#This Row],[Age]]&lt;=35,"19-35", IF(WilsonData[[#This Row],[Age]]&lt;=50, "36-50",IF(WilsonData[[#This Row],[Age]]&lt;=65,"51-65", " 66+"))))</f>
        <v>19-35</v>
      </c>
      <c r="D31" t="s">
        <v>20</v>
      </c>
      <c r="E31" t="s">
        <v>29</v>
      </c>
      <c r="F31" t="s">
        <v>32</v>
      </c>
      <c r="G31" s="1">
        <v>45899</v>
      </c>
      <c r="H31" t="s">
        <v>39</v>
      </c>
      <c r="I31" s="2">
        <v>24809.717443047339</v>
      </c>
      <c r="J31">
        <v>379</v>
      </c>
      <c r="K31" t="s">
        <v>25</v>
      </c>
      <c r="L31" s="1">
        <v>45908</v>
      </c>
      <c r="M31" s="6">
        <f>WilsonData[[#This Row],[Discharge Date]]-WilsonData[[#This Row],[Date of Admission]]</f>
        <v>9</v>
      </c>
      <c r="N31" t="s">
        <v>27</v>
      </c>
    </row>
    <row r="32" spans="1:14" x14ac:dyDescent="0.35">
      <c r="A32" t="s">
        <v>838</v>
      </c>
      <c r="B32">
        <v>55</v>
      </c>
      <c r="C32" t="str">
        <f>IF(WilsonData[[#This Row],[Age]]&lt;=18, "0-18", IF(WilsonData[[#This Row],[Age]]&lt;=35,"19-35", IF(WilsonData[[#This Row],[Age]]&lt;=50, "36-50",IF(WilsonData[[#This Row],[Age]]&lt;=65,"51-65", " 66+"))))</f>
        <v>51-65</v>
      </c>
      <c r="D32" t="s">
        <v>20</v>
      </c>
      <c r="E32" t="s">
        <v>23</v>
      </c>
      <c r="F32" t="s">
        <v>32</v>
      </c>
      <c r="G32" s="1">
        <v>45840</v>
      </c>
      <c r="H32" t="s">
        <v>36</v>
      </c>
      <c r="I32" s="2">
        <v>27643.32340185776</v>
      </c>
      <c r="J32">
        <v>183</v>
      </c>
      <c r="K32" t="s">
        <v>25</v>
      </c>
      <c r="L32" s="1">
        <v>45850</v>
      </c>
      <c r="M32" s="6">
        <f>WilsonData[[#This Row],[Discharge Date]]-WilsonData[[#This Row],[Date of Admission]]</f>
        <v>10</v>
      </c>
      <c r="N32" t="s">
        <v>22</v>
      </c>
    </row>
    <row r="33" spans="1:14" x14ac:dyDescent="0.35">
      <c r="A33" t="s">
        <v>839</v>
      </c>
      <c r="B33">
        <v>55</v>
      </c>
      <c r="C33" t="str">
        <f>IF(WilsonData[[#This Row],[Age]]&lt;=18, "0-18", IF(WilsonData[[#This Row],[Age]]&lt;=35,"19-35", IF(WilsonData[[#This Row],[Age]]&lt;=50, "36-50",IF(WilsonData[[#This Row],[Age]]&lt;=65,"51-65", " 66+"))))</f>
        <v>51-65</v>
      </c>
      <c r="D33" t="s">
        <v>20</v>
      </c>
      <c r="E33" t="s">
        <v>12</v>
      </c>
      <c r="F33" t="s">
        <v>17</v>
      </c>
      <c r="G33" s="1">
        <v>45873</v>
      </c>
      <c r="H33" t="s">
        <v>39</v>
      </c>
      <c r="I33" s="2">
        <v>26408.469156782219</v>
      </c>
      <c r="J33">
        <v>236</v>
      </c>
      <c r="K33" t="s">
        <v>25</v>
      </c>
      <c r="L33" s="1">
        <v>45884</v>
      </c>
      <c r="M33" s="6">
        <f>WilsonData[[#This Row],[Discharge Date]]-WilsonData[[#This Row],[Date of Admission]]</f>
        <v>11</v>
      </c>
      <c r="N33" t="s">
        <v>15</v>
      </c>
    </row>
    <row r="34" spans="1:14" x14ac:dyDescent="0.35">
      <c r="A34" t="s">
        <v>840</v>
      </c>
      <c r="B34">
        <v>19</v>
      </c>
      <c r="C34" t="str">
        <f>IF(WilsonData[[#This Row],[Age]]&lt;=18, "0-18", IF(WilsonData[[#This Row],[Age]]&lt;=35,"19-35", IF(WilsonData[[#This Row],[Age]]&lt;=50, "36-50",IF(WilsonData[[#This Row],[Age]]&lt;=65,"51-65", " 66+"))))</f>
        <v>19-35</v>
      </c>
      <c r="D34" t="s">
        <v>11</v>
      </c>
      <c r="E34" t="s">
        <v>33</v>
      </c>
      <c r="F34" t="s">
        <v>30</v>
      </c>
      <c r="G34" s="1">
        <v>45883</v>
      </c>
      <c r="H34" t="s">
        <v>37</v>
      </c>
      <c r="I34" s="2">
        <v>49167.762946447008</v>
      </c>
      <c r="J34">
        <v>254</v>
      </c>
      <c r="K34" t="s">
        <v>25</v>
      </c>
      <c r="L34" s="1">
        <v>45894</v>
      </c>
      <c r="M34" s="6">
        <f>WilsonData[[#This Row],[Discharge Date]]-WilsonData[[#This Row],[Date of Admission]]</f>
        <v>11</v>
      </c>
      <c r="N34" t="s">
        <v>31</v>
      </c>
    </row>
    <row r="35" spans="1:14" x14ac:dyDescent="0.35">
      <c r="A35" t="s">
        <v>841</v>
      </c>
      <c r="B35">
        <v>32</v>
      </c>
      <c r="C35" t="str">
        <f>IF(WilsonData[[#This Row],[Age]]&lt;=18, "0-18", IF(WilsonData[[#This Row],[Age]]&lt;=35,"19-35", IF(WilsonData[[#This Row],[Age]]&lt;=50, "36-50",IF(WilsonData[[#This Row],[Age]]&lt;=65,"51-65", " 66+"))))</f>
        <v>19-35</v>
      </c>
      <c r="D35" t="s">
        <v>11</v>
      </c>
      <c r="E35" t="s">
        <v>29</v>
      </c>
      <c r="F35" t="s">
        <v>13</v>
      </c>
      <c r="G35" s="1">
        <v>45753</v>
      </c>
      <c r="H35" t="s">
        <v>36</v>
      </c>
      <c r="I35" s="2">
        <v>28814.06695021379</v>
      </c>
      <c r="J35">
        <v>189</v>
      </c>
      <c r="K35" t="s">
        <v>25</v>
      </c>
      <c r="L35" s="1">
        <v>45754</v>
      </c>
      <c r="M35" s="6">
        <f>WilsonData[[#This Row],[Discharge Date]]-WilsonData[[#This Row],[Date of Admission]]</f>
        <v>1</v>
      </c>
      <c r="N35" t="s">
        <v>31</v>
      </c>
    </row>
    <row r="36" spans="1:14" x14ac:dyDescent="0.35">
      <c r="A36" t="s">
        <v>842</v>
      </c>
      <c r="B36">
        <v>57</v>
      </c>
      <c r="C36" t="str">
        <f>IF(WilsonData[[#This Row],[Age]]&lt;=18, "0-18", IF(WilsonData[[#This Row],[Age]]&lt;=35,"19-35", IF(WilsonData[[#This Row],[Age]]&lt;=50, "36-50",IF(WilsonData[[#This Row],[Age]]&lt;=65,"51-65", " 66+"))))</f>
        <v>51-65</v>
      </c>
      <c r="D36" t="s">
        <v>11</v>
      </c>
      <c r="E36" t="s">
        <v>26</v>
      </c>
      <c r="F36" t="s">
        <v>24</v>
      </c>
      <c r="G36" s="1">
        <v>45933</v>
      </c>
      <c r="H36" t="s">
        <v>36</v>
      </c>
      <c r="I36" s="2">
        <v>21505.4210748726</v>
      </c>
      <c r="J36">
        <v>252</v>
      </c>
      <c r="K36" t="s">
        <v>25</v>
      </c>
      <c r="L36" s="1">
        <v>45942</v>
      </c>
      <c r="M36" s="6">
        <f>WilsonData[[#This Row],[Discharge Date]]-WilsonData[[#This Row],[Date of Admission]]</f>
        <v>9</v>
      </c>
      <c r="N36" t="s">
        <v>19</v>
      </c>
    </row>
    <row r="37" spans="1:14" x14ac:dyDescent="0.35">
      <c r="A37" t="s">
        <v>843</v>
      </c>
      <c r="B37">
        <v>22</v>
      </c>
      <c r="C37" t="str">
        <f>IF(WilsonData[[#This Row],[Age]]&lt;=18, "0-18", IF(WilsonData[[#This Row],[Age]]&lt;=35,"19-35", IF(WilsonData[[#This Row],[Age]]&lt;=50, "36-50",IF(WilsonData[[#This Row],[Age]]&lt;=65,"51-65", " 66+"))))</f>
        <v>19-35</v>
      </c>
      <c r="D37" t="s">
        <v>11</v>
      </c>
      <c r="E37" t="s">
        <v>29</v>
      </c>
      <c r="F37" t="s">
        <v>13</v>
      </c>
      <c r="G37" s="1">
        <v>45726</v>
      </c>
      <c r="H37" t="s">
        <v>37</v>
      </c>
      <c r="I37" s="2">
        <v>29133.32202906816</v>
      </c>
      <c r="J37">
        <v>354</v>
      </c>
      <c r="K37" t="s">
        <v>25</v>
      </c>
      <c r="L37" s="1">
        <v>45727</v>
      </c>
      <c r="M37" s="6">
        <f>WilsonData[[#This Row],[Discharge Date]]-WilsonData[[#This Row],[Date of Admission]]</f>
        <v>1</v>
      </c>
      <c r="N37" t="s">
        <v>27</v>
      </c>
    </row>
    <row r="38" spans="1:14" x14ac:dyDescent="0.35">
      <c r="A38" t="s">
        <v>844</v>
      </c>
      <c r="B38">
        <v>44</v>
      </c>
      <c r="C38" t="str">
        <f>IF(WilsonData[[#This Row],[Age]]&lt;=18, "0-18", IF(WilsonData[[#This Row],[Age]]&lt;=35,"19-35", IF(WilsonData[[#This Row],[Age]]&lt;=50, "36-50",IF(WilsonData[[#This Row],[Age]]&lt;=65,"51-65", " 66+"))))</f>
        <v>36-50</v>
      </c>
      <c r="D38" t="s">
        <v>20</v>
      </c>
      <c r="E38" t="s">
        <v>26</v>
      </c>
      <c r="F38" t="s">
        <v>32</v>
      </c>
      <c r="G38" s="1">
        <v>45986</v>
      </c>
      <c r="H38" t="s">
        <v>39</v>
      </c>
      <c r="I38" s="2">
        <v>48106.412366043762</v>
      </c>
      <c r="J38">
        <v>155</v>
      </c>
      <c r="K38" t="s">
        <v>25</v>
      </c>
      <c r="L38" s="1">
        <v>45987</v>
      </c>
      <c r="M38" s="6">
        <f>WilsonData[[#This Row],[Discharge Date]]-WilsonData[[#This Row],[Date of Admission]]</f>
        <v>1</v>
      </c>
      <c r="N38" t="s">
        <v>15</v>
      </c>
    </row>
    <row r="39" spans="1:14" x14ac:dyDescent="0.35">
      <c r="A39" t="s">
        <v>845</v>
      </c>
      <c r="B39">
        <v>50</v>
      </c>
      <c r="C39" t="str">
        <f>IF(WilsonData[[#This Row],[Age]]&lt;=18, "0-18", IF(WilsonData[[#This Row],[Age]]&lt;=35,"19-35", IF(WilsonData[[#This Row],[Age]]&lt;=50, "36-50",IF(WilsonData[[#This Row],[Age]]&lt;=65,"51-65", " 66+"))))</f>
        <v>36-50</v>
      </c>
      <c r="D39" t="s">
        <v>11</v>
      </c>
      <c r="E39" t="s">
        <v>34</v>
      </c>
      <c r="F39" t="s">
        <v>13</v>
      </c>
      <c r="G39" s="1">
        <v>45693</v>
      </c>
      <c r="H39" t="s">
        <v>39</v>
      </c>
      <c r="I39" s="2">
        <v>9434.7608310983924</v>
      </c>
      <c r="J39">
        <v>372</v>
      </c>
      <c r="K39" t="s">
        <v>25</v>
      </c>
      <c r="L39" s="1">
        <v>45698</v>
      </c>
      <c r="M39" s="6">
        <f>WilsonData[[#This Row],[Discharge Date]]-WilsonData[[#This Row],[Date of Admission]]</f>
        <v>5</v>
      </c>
      <c r="N39" t="s">
        <v>22</v>
      </c>
    </row>
    <row r="40" spans="1:14" x14ac:dyDescent="0.35">
      <c r="A40" t="s">
        <v>846</v>
      </c>
      <c r="B40">
        <v>33</v>
      </c>
      <c r="C40" t="str">
        <f>IF(WilsonData[[#This Row],[Age]]&lt;=18, "0-18", IF(WilsonData[[#This Row],[Age]]&lt;=35,"19-35", IF(WilsonData[[#This Row],[Age]]&lt;=50, "36-50",IF(WilsonData[[#This Row],[Age]]&lt;=65,"51-65", " 66+"))))</f>
        <v>19-35</v>
      </c>
      <c r="D40" t="s">
        <v>11</v>
      </c>
      <c r="E40" t="s">
        <v>23</v>
      </c>
      <c r="F40" t="s">
        <v>32</v>
      </c>
      <c r="G40" s="1">
        <v>45872</v>
      </c>
      <c r="H40" t="s">
        <v>37</v>
      </c>
      <c r="I40" s="2">
        <v>15663.98853978353</v>
      </c>
      <c r="J40">
        <v>496</v>
      </c>
      <c r="K40" t="s">
        <v>25</v>
      </c>
      <c r="L40" s="1">
        <v>45873</v>
      </c>
      <c r="M40" s="6">
        <f>WilsonData[[#This Row],[Discharge Date]]-WilsonData[[#This Row],[Date of Admission]]</f>
        <v>1</v>
      </c>
      <c r="N40" t="s">
        <v>22</v>
      </c>
    </row>
    <row r="41" spans="1:14" x14ac:dyDescent="0.35">
      <c r="A41" t="s">
        <v>847</v>
      </c>
      <c r="B41">
        <v>75</v>
      </c>
      <c r="C41" t="str">
        <f>IF(WilsonData[[#This Row],[Age]]&lt;=18, "0-18", IF(WilsonData[[#This Row],[Age]]&lt;=35,"19-35", IF(WilsonData[[#This Row],[Age]]&lt;=50, "36-50",IF(WilsonData[[#This Row],[Age]]&lt;=65,"51-65", " 66+"))))</f>
        <v xml:space="preserve"> 66+</v>
      </c>
      <c r="D41" t="s">
        <v>20</v>
      </c>
      <c r="E41" t="s">
        <v>34</v>
      </c>
      <c r="F41" t="s">
        <v>13</v>
      </c>
      <c r="G41" s="1">
        <v>45812</v>
      </c>
      <c r="H41" t="s">
        <v>36</v>
      </c>
      <c r="I41" s="2">
        <v>7733.7898217749471</v>
      </c>
      <c r="J41">
        <v>224</v>
      </c>
      <c r="K41" t="s">
        <v>25</v>
      </c>
      <c r="L41" s="1">
        <v>45821</v>
      </c>
      <c r="M41" s="6">
        <f>WilsonData[[#This Row],[Discharge Date]]-WilsonData[[#This Row],[Date of Admission]]</f>
        <v>9</v>
      </c>
      <c r="N41" t="s">
        <v>27</v>
      </c>
    </row>
    <row r="42" spans="1:14" x14ac:dyDescent="0.35">
      <c r="A42" t="s">
        <v>848</v>
      </c>
      <c r="B42">
        <v>59</v>
      </c>
      <c r="C42" t="str">
        <f>IF(WilsonData[[#This Row],[Age]]&lt;=18, "0-18", IF(WilsonData[[#This Row],[Age]]&lt;=35,"19-35", IF(WilsonData[[#This Row],[Age]]&lt;=50, "36-50",IF(WilsonData[[#This Row],[Age]]&lt;=65,"51-65", " 66+"))))</f>
        <v>51-65</v>
      </c>
      <c r="D42" t="s">
        <v>20</v>
      </c>
      <c r="E42" t="s">
        <v>16</v>
      </c>
      <c r="F42" t="s">
        <v>30</v>
      </c>
      <c r="G42" s="1">
        <v>45809</v>
      </c>
      <c r="H42" t="s">
        <v>36</v>
      </c>
      <c r="I42" s="2">
        <v>7633.1365610129924</v>
      </c>
      <c r="J42">
        <v>459</v>
      </c>
      <c r="K42" t="s">
        <v>25</v>
      </c>
      <c r="L42" s="1">
        <v>45818</v>
      </c>
      <c r="M42" s="6">
        <f>WilsonData[[#This Row],[Discharge Date]]-WilsonData[[#This Row],[Date of Admission]]</f>
        <v>9</v>
      </c>
      <c r="N42" t="s">
        <v>22</v>
      </c>
    </row>
    <row r="43" spans="1:14" x14ac:dyDescent="0.35">
      <c r="A43" t="s">
        <v>849</v>
      </c>
      <c r="B43">
        <v>37</v>
      </c>
      <c r="C43" t="str">
        <f>IF(WilsonData[[#This Row],[Age]]&lt;=18, "0-18", IF(WilsonData[[#This Row],[Age]]&lt;=35,"19-35", IF(WilsonData[[#This Row],[Age]]&lt;=50, "36-50",IF(WilsonData[[#This Row],[Age]]&lt;=65,"51-65", " 66+"))))</f>
        <v>36-50</v>
      </c>
      <c r="D43" t="s">
        <v>20</v>
      </c>
      <c r="E43" t="s">
        <v>29</v>
      </c>
      <c r="F43" t="s">
        <v>24</v>
      </c>
      <c r="G43" s="1">
        <v>46009</v>
      </c>
      <c r="H43" t="s">
        <v>39</v>
      </c>
      <c r="I43" s="2">
        <v>32521.057620464449</v>
      </c>
      <c r="J43">
        <v>376</v>
      </c>
      <c r="K43" t="s">
        <v>25</v>
      </c>
      <c r="L43" s="1">
        <v>46017</v>
      </c>
      <c r="M43" s="6">
        <f>WilsonData[[#This Row],[Discharge Date]]-WilsonData[[#This Row],[Date of Admission]]</f>
        <v>8</v>
      </c>
      <c r="N43" t="s">
        <v>15</v>
      </c>
    </row>
    <row r="44" spans="1:14" x14ac:dyDescent="0.35">
      <c r="A44" t="s">
        <v>850</v>
      </c>
      <c r="B44">
        <v>77</v>
      </c>
      <c r="C44" t="str">
        <f>IF(WilsonData[[#This Row],[Age]]&lt;=18, "0-18", IF(WilsonData[[#This Row],[Age]]&lt;=35,"19-35", IF(WilsonData[[#This Row],[Age]]&lt;=50, "36-50",IF(WilsonData[[#This Row],[Age]]&lt;=65,"51-65", " 66+"))))</f>
        <v xml:space="preserve"> 66+</v>
      </c>
      <c r="D44" t="s">
        <v>20</v>
      </c>
      <c r="E44" t="s">
        <v>33</v>
      </c>
      <c r="F44" t="s">
        <v>24</v>
      </c>
      <c r="G44" s="1">
        <v>45749</v>
      </c>
      <c r="H44" t="s">
        <v>37</v>
      </c>
      <c r="I44" s="2">
        <v>12207.31620726869</v>
      </c>
      <c r="J44">
        <v>189</v>
      </c>
      <c r="K44" t="s">
        <v>25</v>
      </c>
      <c r="L44" s="1">
        <v>45755</v>
      </c>
      <c r="M44" s="6">
        <f>WilsonData[[#This Row],[Discharge Date]]-WilsonData[[#This Row],[Date of Admission]]</f>
        <v>6</v>
      </c>
      <c r="N44" t="s">
        <v>19</v>
      </c>
    </row>
    <row r="45" spans="1:14" x14ac:dyDescent="0.35">
      <c r="A45" t="s">
        <v>851</v>
      </c>
      <c r="B45">
        <v>30</v>
      </c>
      <c r="C45" t="str">
        <f>IF(WilsonData[[#This Row],[Age]]&lt;=18, "0-18", IF(WilsonData[[#This Row],[Age]]&lt;=35,"19-35", IF(WilsonData[[#This Row],[Age]]&lt;=50, "36-50",IF(WilsonData[[#This Row],[Age]]&lt;=65,"51-65", " 66+"))))</f>
        <v>19-35</v>
      </c>
      <c r="D45" t="s">
        <v>20</v>
      </c>
      <c r="E45" t="s">
        <v>34</v>
      </c>
      <c r="F45" t="s">
        <v>32</v>
      </c>
      <c r="G45" s="1">
        <v>45688</v>
      </c>
      <c r="H45" t="s">
        <v>36</v>
      </c>
      <c r="I45" s="2">
        <v>17602.655794869868</v>
      </c>
      <c r="J45">
        <v>291</v>
      </c>
      <c r="K45" t="s">
        <v>25</v>
      </c>
      <c r="L45" s="1">
        <v>45689</v>
      </c>
      <c r="M45" s="6">
        <f>WilsonData[[#This Row],[Discharge Date]]-WilsonData[[#This Row],[Date of Admission]]</f>
        <v>1</v>
      </c>
      <c r="N45" t="s">
        <v>31</v>
      </c>
    </row>
    <row r="46" spans="1:14" x14ac:dyDescent="0.35">
      <c r="A46" t="s">
        <v>852</v>
      </c>
      <c r="B46">
        <v>47</v>
      </c>
      <c r="C46" t="str">
        <f>IF(WilsonData[[#This Row],[Age]]&lt;=18, "0-18", IF(WilsonData[[#This Row],[Age]]&lt;=35,"19-35", IF(WilsonData[[#This Row],[Age]]&lt;=50, "36-50",IF(WilsonData[[#This Row],[Age]]&lt;=65,"51-65", " 66+"))))</f>
        <v>36-50</v>
      </c>
      <c r="D46" t="s">
        <v>20</v>
      </c>
      <c r="E46" t="s">
        <v>33</v>
      </c>
      <c r="F46" t="s">
        <v>24</v>
      </c>
      <c r="G46" s="1">
        <v>45737</v>
      </c>
      <c r="H46" t="s">
        <v>37</v>
      </c>
      <c r="I46" s="2">
        <v>26489.573558170381</v>
      </c>
      <c r="J46">
        <v>403</v>
      </c>
      <c r="K46" t="s">
        <v>18</v>
      </c>
      <c r="L46" s="1">
        <v>45741</v>
      </c>
      <c r="M46" s="6">
        <f>WilsonData[[#This Row],[Discharge Date]]-WilsonData[[#This Row],[Date of Admission]]</f>
        <v>4</v>
      </c>
      <c r="N46" t="s">
        <v>19</v>
      </c>
    </row>
    <row r="47" spans="1:14" x14ac:dyDescent="0.35">
      <c r="A47" t="s">
        <v>853</v>
      </c>
      <c r="B47">
        <v>60</v>
      </c>
      <c r="C47" t="str">
        <f>IF(WilsonData[[#This Row],[Age]]&lt;=18, "0-18", IF(WilsonData[[#This Row],[Age]]&lt;=35,"19-35", IF(WilsonData[[#This Row],[Age]]&lt;=50, "36-50",IF(WilsonData[[#This Row],[Age]]&lt;=65,"51-65", " 66+"))))</f>
        <v>51-65</v>
      </c>
      <c r="D47" t="s">
        <v>11</v>
      </c>
      <c r="E47" t="s">
        <v>34</v>
      </c>
      <c r="F47" t="s">
        <v>13</v>
      </c>
      <c r="G47" s="1">
        <v>45772</v>
      </c>
      <c r="H47" t="s">
        <v>39</v>
      </c>
      <c r="I47" s="2">
        <v>42320.295456327432</v>
      </c>
      <c r="J47">
        <v>217</v>
      </c>
      <c r="K47" t="s">
        <v>25</v>
      </c>
      <c r="L47" s="1">
        <v>45784</v>
      </c>
      <c r="M47" s="6">
        <f>WilsonData[[#This Row],[Discharge Date]]-WilsonData[[#This Row],[Date of Admission]]</f>
        <v>12</v>
      </c>
      <c r="N47" t="s">
        <v>31</v>
      </c>
    </row>
    <row r="48" spans="1:14" x14ac:dyDescent="0.35">
      <c r="A48" t="s">
        <v>854</v>
      </c>
      <c r="B48">
        <v>82</v>
      </c>
      <c r="C48" t="str">
        <f>IF(WilsonData[[#This Row],[Age]]&lt;=18, "0-18", IF(WilsonData[[#This Row],[Age]]&lt;=35,"19-35", IF(WilsonData[[#This Row],[Age]]&lt;=50, "36-50",IF(WilsonData[[#This Row],[Age]]&lt;=65,"51-65", " 66+"))))</f>
        <v xml:space="preserve"> 66+</v>
      </c>
      <c r="D48" t="s">
        <v>11</v>
      </c>
      <c r="E48" t="s">
        <v>12</v>
      </c>
      <c r="F48" t="s">
        <v>32</v>
      </c>
      <c r="G48" s="1">
        <v>46004</v>
      </c>
      <c r="H48" t="s">
        <v>39</v>
      </c>
      <c r="I48" s="2">
        <v>10551.277441968559</v>
      </c>
      <c r="J48">
        <v>145</v>
      </c>
      <c r="K48" t="s">
        <v>18</v>
      </c>
      <c r="L48" s="1">
        <v>46016</v>
      </c>
      <c r="M48" s="6">
        <f>WilsonData[[#This Row],[Discharge Date]]-WilsonData[[#This Row],[Date of Admission]]</f>
        <v>12</v>
      </c>
      <c r="N48" t="s">
        <v>31</v>
      </c>
    </row>
    <row r="49" spans="1:14" x14ac:dyDescent="0.35">
      <c r="A49" t="s">
        <v>855</v>
      </c>
      <c r="B49">
        <v>42</v>
      </c>
      <c r="C49" t="str">
        <f>IF(WilsonData[[#This Row],[Age]]&lt;=18, "0-18", IF(WilsonData[[#This Row],[Age]]&lt;=35,"19-35", IF(WilsonData[[#This Row],[Age]]&lt;=50, "36-50",IF(WilsonData[[#This Row],[Age]]&lt;=65,"51-65", " 66+"))))</f>
        <v>36-50</v>
      </c>
      <c r="D49" t="s">
        <v>11</v>
      </c>
      <c r="E49" t="s">
        <v>23</v>
      </c>
      <c r="F49" t="s">
        <v>17</v>
      </c>
      <c r="G49" s="1">
        <v>45739</v>
      </c>
      <c r="H49" t="s">
        <v>36</v>
      </c>
      <c r="I49" s="2">
        <v>29620.696673653809</v>
      </c>
      <c r="J49">
        <v>466</v>
      </c>
      <c r="K49" t="s">
        <v>25</v>
      </c>
      <c r="L49" s="1">
        <v>45747</v>
      </c>
      <c r="M49" s="6">
        <f>WilsonData[[#This Row],[Discharge Date]]-WilsonData[[#This Row],[Date of Admission]]</f>
        <v>8</v>
      </c>
      <c r="N49" t="s">
        <v>22</v>
      </c>
    </row>
    <row r="50" spans="1:14" x14ac:dyDescent="0.35">
      <c r="A50" t="s">
        <v>856</v>
      </c>
      <c r="B50">
        <v>30</v>
      </c>
      <c r="C50" t="str">
        <f>IF(WilsonData[[#This Row],[Age]]&lt;=18, "0-18", IF(WilsonData[[#This Row],[Age]]&lt;=35,"19-35", IF(WilsonData[[#This Row],[Age]]&lt;=50, "36-50",IF(WilsonData[[#This Row],[Age]]&lt;=65,"51-65", " 66+"))))</f>
        <v>19-35</v>
      </c>
      <c r="D50" t="s">
        <v>11</v>
      </c>
      <c r="E50" t="s">
        <v>26</v>
      </c>
      <c r="F50" t="s">
        <v>28</v>
      </c>
      <c r="G50" s="1">
        <v>45924</v>
      </c>
      <c r="H50" t="s">
        <v>36</v>
      </c>
      <c r="I50" s="2">
        <v>39420.130769473013</v>
      </c>
      <c r="J50">
        <v>449</v>
      </c>
      <c r="K50" t="s">
        <v>18</v>
      </c>
      <c r="L50" s="1">
        <v>45938</v>
      </c>
      <c r="M50" s="6">
        <f>WilsonData[[#This Row],[Discharge Date]]-WilsonData[[#This Row],[Date of Admission]]</f>
        <v>14</v>
      </c>
      <c r="N50" t="s">
        <v>19</v>
      </c>
    </row>
    <row r="51" spans="1:14" x14ac:dyDescent="0.35">
      <c r="A51" t="s">
        <v>857</v>
      </c>
      <c r="B51">
        <v>23</v>
      </c>
      <c r="C51" t="str">
        <f>IF(WilsonData[[#This Row],[Age]]&lt;=18, "0-18", IF(WilsonData[[#This Row],[Age]]&lt;=35,"19-35", IF(WilsonData[[#This Row],[Age]]&lt;=50, "36-50",IF(WilsonData[[#This Row],[Age]]&lt;=65,"51-65", " 66+"))))</f>
        <v>19-35</v>
      </c>
      <c r="D51" t="s">
        <v>20</v>
      </c>
      <c r="E51" t="s">
        <v>26</v>
      </c>
      <c r="F51" t="s">
        <v>32</v>
      </c>
      <c r="G51" s="1">
        <v>45875</v>
      </c>
      <c r="H51" t="s">
        <v>39</v>
      </c>
      <c r="I51" s="2">
        <v>26054.68493247962</v>
      </c>
      <c r="J51">
        <v>343</v>
      </c>
      <c r="K51" t="s">
        <v>25</v>
      </c>
      <c r="L51" s="1">
        <v>45881</v>
      </c>
      <c r="M51" s="6">
        <f>WilsonData[[#This Row],[Discharge Date]]-WilsonData[[#This Row],[Date of Admission]]</f>
        <v>6</v>
      </c>
      <c r="N51" t="s">
        <v>15</v>
      </c>
    </row>
    <row r="52" spans="1:14" x14ac:dyDescent="0.35">
      <c r="A52" t="s">
        <v>858</v>
      </c>
      <c r="B52">
        <v>54</v>
      </c>
      <c r="C52" t="str">
        <f>IF(WilsonData[[#This Row],[Age]]&lt;=18, "0-18", IF(WilsonData[[#This Row],[Age]]&lt;=35,"19-35", IF(WilsonData[[#This Row],[Age]]&lt;=50, "36-50",IF(WilsonData[[#This Row],[Age]]&lt;=65,"51-65", " 66+"))))</f>
        <v>51-65</v>
      </c>
      <c r="D52" t="s">
        <v>20</v>
      </c>
      <c r="E52" t="s">
        <v>21</v>
      </c>
      <c r="F52" t="s">
        <v>32</v>
      </c>
      <c r="G52" s="1">
        <v>45920</v>
      </c>
      <c r="H52" t="s">
        <v>39</v>
      </c>
      <c r="I52" s="2">
        <v>24308.250870419972</v>
      </c>
      <c r="J52">
        <v>367</v>
      </c>
      <c r="K52" t="s">
        <v>25</v>
      </c>
      <c r="L52" s="1">
        <v>45925</v>
      </c>
      <c r="M52" s="6">
        <f>WilsonData[[#This Row],[Discharge Date]]-WilsonData[[#This Row],[Date of Admission]]</f>
        <v>5</v>
      </c>
      <c r="N52" t="s">
        <v>19</v>
      </c>
    </row>
    <row r="53" spans="1:14" x14ac:dyDescent="0.35">
      <c r="A53" t="s">
        <v>859</v>
      </c>
      <c r="B53">
        <v>35</v>
      </c>
      <c r="C53" t="str">
        <f>IF(WilsonData[[#This Row],[Age]]&lt;=18, "0-18", IF(WilsonData[[#This Row],[Age]]&lt;=35,"19-35", IF(WilsonData[[#This Row],[Age]]&lt;=50, "36-50",IF(WilsonData[[#This Row],[Age]]&lt;=65,"51-65", " 66+"))))</f>
        <v>19-35</v>
      </c>
      <c r="D53" t="s">
        <v>11</v>
      </c>
      <c r="E53" t="s">
        <v>12</v>
      </c>
      <c r="F53" t="s">
        <v>28</v>
      </c>
      <c r="G53" s="1">
        <v>46009</v>
      </c>
      <c r="H53" t="s">
        <v>39</v>
      </c>
      <c r="I53" s="2">
        <v>11434.567168621639</v>
      </c>
      <c r="J53">
        <v>223</v>
      </c>
      <c r="K53" t="s">
        <v>18</v>
      </c>
      <c r="L53" s="1">
        <v>46019</v>
      </c>
      <c r="M53" s="6">
        <f>WilsonData[[#This Row],[Discharge Date]]-WilsonData[[#This Row],[Date of Admission]]</f>
        <v>10</v>
      </c>
      <c r="N53" t="s">
        <v>31</v>
      </c>
    </row>
    <row r="54" spans="1:14" x14ac:dyDescent="0.35">
      <c r="A54" t="s">
        <v>860</v>
      </c>
      <c r="B54">
        <v>47</v>
      </c>
      <c r="C54" t="str">
        <f>IF(WilsonData[[#This Row],[Age]]&lt;=18, "0-18", IF(WilsonData[[#This Row],[Age]]&lt;=35,"19-35", IF(WilsonData[[#This Row],[Age]]&lt;=50, "36-50",IF(WilsonData[[#This Row],[Age]]&lt;=65,"51-65", " 66+"))))</f>
        <v>36-50</v>
      </c>
      <c r="D54" t="s">
        <v>11</v>
      </c>
      <c r="E54" t="s">
        <v>34</v>
      </c>
      <c r="F54" t="s">
        <v>32</v>
      </c>
      <c r="G54" s="1">
        <v>45998</v>
      </c>
      <c r="H54" t="s">
        <v>36</v>
      </c>
      <c r="I54" s="2">
        <v>40168.579439122957</v>
      </c>
      <c r="J54">
        <v>472</v>
      </c>
      <c r="K54" t="s">
        <v>18</v>
      </c>
      <c r="L54" s="1">
        <v>46001</v>
      </c>
      <c r="M54" s="6">
        <f>WilsonData[[#This Row],[Discharge Date]]-WilsonData[[#This Row],[Date of Admission]]</f>
        <v>3</v>
      </c>
      <c r="N54" t="s">
        <v>19</v>
      </c>
    </row>
    <row r="55" spans="1:14" x14ac:dyDescent="0.35">
      <c r="A55" t="s">
        <v>861</v>
      </c>
      <c r="B55">
        <v>73</v>
      </c>
      <c r="C55" t="str">
        <f>IF(WilsonData[[#This Row],[Age]]&lt;=18, "0-18", IF(WilsonData[[#This Row],[Age]]&lt;=35,"19-35", IF(WilsonData[[#This Row],[Age]]&lt;=50, "36-50",IF(WilsonData[[#This Row],[Age]]&lt;=65,"51-65", " 66+"))))</f>
        <v xml:space="preserve"> 66+</v>
      </c>
      <c r="D55" t="s">
        <v>11</v>
      </c>
      <c r="E55" t="s">
        <v>12</v>
      </c>
      <c r="F55" t="s">
        <v>32</v>
      </c>
      <c r="G55" s="1">
        <v>45935</v>
      </c>
      <c r="H55" t="s">
        <v>36</v>
      </c>
      <c r="I55" s="2">
        <v>26988.097230346539</v>
      </c>
      <c r="J55">
        <v>450</v>
      </c>
      <c r="K55" t="s">
        <v>25</v>
      </c>
      <c r="L55" s="1">
        <v>45946</v>
      </c>
      <c r="M55" s="6">
        <f>WilsonData[[#This Row],[Discharge Date]]-WilsonData[[#This Row],[Date of Admission]]</f>
        <v>11</v>
      </c>
      <c r="N55" t="s">
        <v>27</v>
      </c>
    </row>
    <row r="56" spans="1:14" x14ac:dyDescent="0.35">
      <c r="A56" t="s">
        <v>862</v>
      </c>
      <c r="B56">
        <v>39</v>
      </c>
      <c r="C56" t="str">
        <f>IF(WilsonData[[#This Row],[Age]]&lt;=18, "0-18", IF(WilsonData[[#This Row],[Age]]&lt;=35,"19-35", IF(WilsonData[[#This Row],[Age]]&lt;=50, "36-50",IF(WilsonData[[#This Row],[Age]]&lt;=65,"51-65", " 66+"))))</f>
        <v>36-50</v>
      </c>
      <c r="D56" t="s">
        <v>11</v>
      </c>
      <c r="E56" t="s">
        <v>16</v>
      </c>
      <c r="F56" t="s">
        <v>17</v>
      </c>
      <c r="G56" s="1">
        <v>45682</v>
      </c>
      <c r="H56" t="s">
        <v>37</v>
      </c>
      <c r="I56" s="2">
        <v>37607.162590914078</v>
      </c>
      <c r="J56">
        <v>370</v>
      </c>
      <c r="K56" t="s">
        <v>18</v>
      </c>
      <c r="L56" s="1">
        <v>45683</v>
      </c>
      <c r="M56" s="6">
        <f>WilsonData[[#This Row],[Discharge Date]]-WilsonData[[#This Row],[Date of Admission]]</f>
        <v>1</v>
      </c>
      <c r="N56" t="s">
        <v>19</v>
      </c>
    </row>
    <row r="57" spans="1:14" x14ac:dyDescent="0.35">
      <c r="A57" t="s">
        <v>863</v>
      </c>
      <c r="B57">
        <v>19</v>
      </c>
      <c r="C57" t="str">
        <f>IF(WilsonData[[#This Row],[Age]]&lt;=18, "0-18", IF(WilsonData[[#This Row],[Age]]&lt;=35,"19-35", IF(WilsonData[[#This Row],[Age]]&lt;=50, "36-50",IF(WilsonData[[#This Row],[Age]]&lt;=65,"51-65", " 66+"))))</f>
        <v>19-35</v>
      </c>
      <c r="D57" t="s">
        <v>11</v>
      </c>
      <c r="E57" t="s">
        <v>12</v>
      </c>
      <c r="F57" t="s">
        <v>24</v>
      </c>
      <c r="G57" s="1">
        <v>45841</v>
      </c>
      <c r="H57" t="s">
        <v>37</v>
      </c>
      <c r="I57" s="2">
        <v>36786.419594928811</v>
      </c>
      <c r="J57">
        <v>170</v>
      </c>
      <c r="K57" t="s">
        <v>18</v>
      </c>
      <c r="L57" s="1">
        <v>45842</v>
      </c>
      <c r="M57" s="6">
        <f>WilsonData[[#This Row],[Discharge Date]]-WilsonData[[#This Row],[Date of Admission]]</f>
        <v>1</v>
      </c>
      <c r="N57" t="s">
        <v>15</v>
      </c>
    </row>
    <row r="58" spans="1:14" x14ac:dyDescent="0.35">
      <c r="A58" t="s">
        <v>864</v>
      </c>
      <c r="B58">
        <v>41</v>
      </c>
      <c r="C58" t="str">
        <f>IF(WilsonData[[#This Row],[Age]]&lt;=18, "0-18", IF(WilsonData[[#This Row],[Age]]&lt;=35,"19-35", IF(WilsonData[[#This Row],[Age]]&lt;=50, "36-50",IF(WilsonData[[#This Row],[Age]]&lt;=65,"51-65", " 66+"))))</f>
        <v>36-50</v>
      </c>
      <c r="D58" t="s">
        <v>11</v>
      </c>
      <c r="E58" t="s">
        <v>16</v>
      </c>
      <c r="F58" t="s">
        <v>32</v>
      </c>
      <c r="G58" s="1">
        <v>46005</v>
      </c>
      <c r="H58" t="s">
        <v>37</v>
      </c>
      <c r="I58" s="2">
        <v>897.33512916354914</v>
      </c>
      <c r="J58">
        <v>215</v>
      </c>
      <c r="K58" t="s">
        <v>25</v>
      </c>
      <c r="L58" s="1">
        <v>46018</v>
      </c>
      <c r="M58" s="6">
        <f>WilsonData[[#This Row],[Discharge Date]]-WilsonData[[#This Row],[Date of Admission]]</f>
        <v>13</v>
      </c>
      <c r="N58" t="s">
        <v>31</v>
      </c>
    </row>
    <row r="59" spans="1:14" x14ac:dyDescent="0.35">
      <c r="A59" t="s">
        <v>865</v>
      </c>
      <c r="B59">
        <v>75</v>
      </c>
      <c r="C59" t="str">
        <f>IF(WilsonData[[#This Row],[Age]]&lt;=18, "0-18", IF(WilsonData[[#This Row],[Age]]&lt;=35,"19-35", IF(WilsonData[[#This Row],[Age]]&lt;=50, "36-50",IF(WilsonData[[#This Row],[Age]]&lt;=65,"51-65", " 66+"))))</f>
        <v xml:space="preserve"> 66+</v>
      </c>
      <c r="D59" t="s">
        <v>20</v>
      </c>
      <c r="E59" t="s">
        <v>16</v>
      </c>
      <c r="F59" t="s">
        <v>28</v>
      </c>
      <c r="G59" s="1">
        <v>45968</v>
      </c>
      <c r="H59" t="s">
        <v>36</v>
      </c>
      <c r="I59" s="2">
        <v>3529.128245917163</v>
      </c>
      <c r="J59">
        <v>429</v>
      </c>
      <c r="K59" t="s">
        <v>25</v>
      </c>
      <c r="L59" s="1">
        <v>45974</v>
      </c>
      <c r="M59" s="6">
        <f>WilsonData[[#This Row],[Discharge Date]]-WilsonData[[#This Row],[Date of Admission]]</f>
        <v>6</v>
      </c>
      <c r="N59" t="s">
        <v>19</v>
      </c>
    </row>
    <row r="60" spans="1:14" x14ac:dyDescent="0.35">
      <c r="A60" t="s">
        <v>866</v>
      </c>
      <c r="B60">
        <v>36</v>
      </c>
      <c r="C60" t="str">
        <f>IF(WilsonData[[#This Row],[Age]]&lt;=18, "0-18", IF(WilsonData[[#This Row],[Age]]&lt;=35,"19-35", IF(WilsonData[[#This Row],[Age]]&lt;=50, "36-50",IF(WilsonData[[#This Row],[Age]]&lt;=65,"51-65", " 66+"))))</f>
        <v>36-50</v>
      </c>
      <c r="D60" t="s">
        <v>11</v>
      </c>
      <c r="E60" t="s">
        <v>21</v>
      </c>
      <c r="F60" t="s">
        <v>28</v>
      </c>
      <c r="G60" s="1">
        <v>45742</v>
      </c>
      <c r="H60" t="s">
        <v>39</v>
      </c>
      <c r="I60" s="2">
        <v>35398.709264291509</v>
      </c>
      <c r="J60">
        <v>263</v>
      </c>
      <c r="K60" t="s">
        <v>18</v>
      </c>
      <c r="L60" s="1">
        <v>45748</v>
      </c>
      <c r="M60" s="6">
        <f>WilsonData[[#This Row],[Discharge Date]]-WilsonData[[#This Row],[Date of Admission]]</f>
        <v>6</v>
      </c>
      <c r="N60" t="s">
        <v>15</v>
      </c>
    </row>
    <row r="61" spans="1:14" x14ac:dyDescent="0.35">
      <c r="A61" t="s">
        <v>867</v>
      </c>
      <c r="B61">
        <v>46</v>
      </c>
      <c r="C61" t="str">
        <f>IF(WilsonData[[#This Row],[Age]]&lt;=18, "0-18", IF(WilsonData[[#This Row],[Age]]&lt;=35,"19-35", IF(WilsonData[[#This Row],[Age]]&lt;=50, "36-50",IF(WilsonData[[#This Row],[Age]]&lt;=65,"51-65", " 66+"))))</f>
        <v>36-50</v>
      </c>
      <c r="D61" t="s">
        <v>20</v>
      </c>
      <c r="E61" t="s">
        <v>26</v>
      </c>
      <c r="F61" t="s">
        <v>13</v>
      </c>
      <c r="G61" s="1">
        <v>45918</v>
      </c>
      <c r="H61" t="s">
        <v>36</v>
      </c>
      <c r="I61" s="2">
        <v>23103.0572294515</v>
      </c>
      <c r="J61">
        <v>409</v>
      </c>
      <c r="K61" t="s">
        <v>25</v>
      </c>
      <c r="L61" s="1">
        <v>45932</v>
      </c>
      <c r="M61" s="6">
        <f>WilsonData[[#This Row],[Discharge Date]]-WilsonData[[#This Row],[Date of Admission]]</f>
        <v>14</v>
      </c>
      <c r="N61" t="s">
        <v>31</v>
      </c>
    </row>
    <row r="62" spans="1:14" x14ac:dyDescent="0.35">
      <c r="A62" t="s">
        <v>868</v>
      </c>
      <c r="B62">
        <v>18</v>
      </c>
      <c r="C62" t="str">
        <f>IF(WilsonData[[#This Row],[Age]]&lt;=18, "0-18", IF(WilsonData[[#This Row],[Age]]&lt;=35,"19-35", IF(WilsonData[[#This Row],[Age]]&lt;=50, "36-50",IF(WilsonData[[#This Row],[Age]]&lt;=65,"51-65", " 66+"))))</f>
        <v>0-18</v>
      </c>
      <c r="D62" t="s">
        <v>11</v>
      </c>
      <c r="E62" t="s">
        <v>21</v>
      </c>
      <c r="F62" t="s">
        <v>13</v>
      </c>
      <c r="G62" s="1">
        <v>45793</v>
      </c>
      <c r="H62" t="s">
        <v>39</v>
      </c>
      <c r="I62" s="2">
        <v>35709.072887239221</v>
      </c>
      <c r="J62">
        <v>284</v>
      </c>
      <c r="K62" t="s">
        <v>25</v>
      </c>
      <c r="L62" s="1">
        <v>45798</v>
      </c>
      <c r="M62" s="6">
        <f>WilsonData[[#This Row],[Discharge Date]]-WilsonData[[#This Row],[Date of Admission]]</f>
        <v>5</v>
      </c>
      <c r="N62" t="s">
        <v>15</v>
      </c>
    </row>
    <row r="63" spans="1:14" x14ac:dyDescent="0.35">
      <c r="A63" t="s">
        <v>869</v>
      </c>
      <c r="B63">
        <v>76</v>
      </c>
      <c r="C63" t="str">
        <f>IF(WilsonData[[#This Row],[Age]]&lt;=18, "0-18", IF(WilsonData[[#This Row],[Age]]&lt;=35,"19-35", IF(WilsonData[[#This Row],[Age]]&lt;=50, "36-50",IF(WilsonData[[#This Row],[Age]]&lt;=65,"51-65", " 66+"))))</f>
        <v xml:space="preserve"> 66+</v>
      </c>
      <c r="D63" t="s">
        <v>20</v>
      </c>
      <c r="E63" t="s">
        <v>12</v>
      </c>
      <c r="F63" t="s">
        <v>24</v>
      </c>
      <c r="G63" s="1">
        <v>45882</v>
      </c>
      <c r="H63" t="s">
        <v>36</v>
      </c>
      <c r="I63" s="2">
        <v>36792.385882096409</v>
      </c>
      <c r="J63">
        <v>179</v>
      </c>
      <c r="K63" t="s">
        <v>25</v>
      </c>
      <c r="L63" s="1">
        <v>45895</v>
      </c>
      <c r="M63" s="6">
        <f>WilsonData[[#This Row],[Discharge Date]]-WilsonData[[#This Row],[Date of Admission]]</f>
        <v>13</v>
      </c>
      <c r="N63" t="s">
        <v>27</v>
      </c>
    </row>
    <row r="64" spans="1:14" x14ac:dyDescent="0.35">
      <c r="A64" t="s">
        <v>870</v>
      </c>
      <c r="B64">
        <v>74</v>
      </c>
      <c r="C64" t="str">
        <f>IF(WilsonData[[#This Row],[Age]]&lt;=18, "0-18", IF(WilsonData[[#This Row],[Age]]&lt;=35,"19-35", IF(WilsonData[[#This Row],[Age]]&lt;=50, "36-50",IF(WilsonData[[#This Row],[Age]]&lt;=65,"51-65", " 66+"))))</f>
        <v xml:space="preserve"> 66+</v>
      </c>
      <c r="D64" t="s">
        <v>20</v>
      </c>
      <c r="E64" t="s">
        <v>33</v>
      </c>
      <c r="F64" t="s">
        <v>24</v>
      </c>
      <c r="G64" s="1">
        <v>45709</v>
      </c>
      <c r="H64" t="s">
        <v>37</v>
      </c>
      <c r="I64" s="2">
        <v>30961.244737653731</v>
      </c>
      <c r="J64">
        <v>413</v>
      </c>
      <c r="K64" t="s">
        <v>18</v>
      </c>
      <c r="L64" s="1">
        <v>45716</v>
      </c>
      <c r="M64" s="6">
        <f>WilsonData[[#This Row],[Discharge Date]]-WilsonData[[#This Row],[Date of Admission]]</f>
        <v>7</v>
      </c>
      <c r="N64" t="s">
        <v>22</v>
      </c>
    </row>
    <row r="65" spans="1:14" x14ac:dyDescent="0.35">
      <c r="A65" t="s">
        <v>871</v>
      </c>
      <c r="B65">
        <v>41</v>
      </c>
      <c r="C65" t="str">
        <f>IF(WilsonData[[#This Row],[Age]]&lt;=18, "0-18", IF(WilsonData[[#This Row],[Age]]&lt;=35,"19-35", IF(WilsonData[[#This Row],[Age]]&lt;=50, "36-50",IF(WilsonData[[#This Row],[Age]]&lt;=65,"51-65", " 66+"))))</f>
        <v>36-50</v>
      </c>
      <c r="D65" t="s">
        <v>11</v>
      </c>
      <c r="E65" t="s">
        <v>26</v>
      </c>
      <c r="F65" t="s">
        <v>17</v>
      </c>
      <c r="G65" s="1">
        <v>45728</v>
      </c>
      <c r="H65" t="s">
        <v>36</v>
      </c>
      <c r="I65" s="2">
        <v>29881.638125413891</v>
      </c>
      <c r="J65">
        <v>169</v>
      </c>
      <c r="K65" t="s">
        <v>25</v>
      </c>
      <c r="L65" s="1">
        <v>45735</v>
      </c>
      <c r="M65" s="6">
        <f>WilsonData[[#This Row],[Discharge Date]]-WilsonData[[#This Row],[Date of Admission]]</f>
        <v>7</v>
      </c>
      <c r="N65" t="s">
        <v>27</v>
      </c>
    </row>
    <row r="66" spans="1:14" x14ac:dyDescent="0.35">
      <c r="A66" t="s">
        <v>872</v>
      </c>
      <c r="B66">
        <v>56</v>
      </c>
      <c r="C66" t="str">
        <f>IF(WilsonData[[#This Row],[Age]]&lt;=18, "0-18", IF(WilsonData[[#This Row],[Age]]&lt;=35,"19-35", IF(WilsonData[[#This Row],[Age]]&lt;=50, "36-50",IF(WilsonData[[#This Row],[Age]]&lt;=65,"51-65", " 66+"))))</f>
        <v>51-65</v>
      </c>
      <c r="D66" t="s">
        <v>11</v>
      </c>
      <c r="E66" t="s">
        <v>12</v>
      </c>
      <c r="F66" t="s">
        <v>13</v>
      </c>
      <c r="G66" s="1">
        <v>45954</v>
      </c>
      <c r="H66" t="s">
        <v>37</v>
      </c>
      <c r="I66" s="2">
        <v>33066.42532790258</v>
      </c>
      <c r="J66">
        <v>312</v>
      </c>
      <c r="K66" t="s">
        <v>25</v>
      </c>
      <c r="L66" s="1">
        <v>45958</v>
      </c>
      <c r="M66" s="6">
        <f>WilsonData[[#This Row],[Discharge Date]]-WilsonData[[#This Row],[Date of Admission]]</f>
        <v>4</v>
      </c>
      <c r="N66" t="s">
        <v>22</v>
      </c>
    </row>
    <row r="67" spans="1:14" x14ac:dyDescent="0.35">
      <c r="A67" t="s">
        <v>873</v>
      </c>
      <c r="B67">
        <v>48</v>
      </c>
      <c r="C67" t="str">
        <f>IF(WilsonData[[#This Row],[Age]]&lt;=18, "0-18", IF(WilsonData[[#This Row],[Age]]&lt;=35,"19-35", IF(WilsonData[[#This Row],[Age]]&lt;=50, "36-50",IF(WilsonData[[#This Row],[Age]]&lt;=65,"51-65", " 66+"))))</f>
        <v>36-50</v>
      </c>
      <c r="D67" t="s">
        <v>11</v>
      </c>
      <c r="E67" t="s">
        <v>26</v>
      </c>
      <c r="F67" t="s">
        <v>24</v>
      </c>
      <c r="G67" s="1">
        <v>45898</v>
      </c>
      <c r="H67" t="s">
        <v>37</v>
      </c>
      <c r="I67" s="2">
        <v>35684.392045078253</v>
      </c>
      <c r="J67">
        <v>411</v>
      </c>
      <c r="K67" t="s">
        <v>25</v>
      </c>
      <c r="L67" s="1">
        <v>45908</v>
      </c>
      <c r="M67" s="6">
        <f>WilsonData[[#This Row],[Discharge Date]]-WilsonData[[#This Row],[Date of Admission]]</f>
        <v>10</v>
      </c>
      <c r="N67" t="s">
        <v>15</v>
      </c>
    </row>
    <row r="68" spans="1:14" x14ac:dyDescent="0.35">
      <c r="A68" t="s">
        <v>874</v>
      </c>
      <c r="B68">
        <v>51</v>
      </c>
      <c r="C68" t="str">
        <f>IF(WilsonData[[#This Row],[Age]]&lt;=18, "0-18", IF(WilsonData[[#This Row],[Age]]&lt;=35,"19-35", IF(WilsonData[[#This Row],[Age]]&lt;=50, "36-50",IF(WilsonData[[#This Row],[Age]]&lt;=65,"51-65", " 66+"))))</f>
        <v>51-65</v>
      </c>
      <c r="D68" t="s">
        <v>20</v>
      </c>
      <c r="E68" t="s">
        <v>16</v>
      </c>
      <c r="F68" t="s">
        <v>28</v>
      </c>
      <c r="G68" s="1">
        <v>45923</v>
      </c>
      <c r="H68" t="s">
        <v>39</v>
      </c>
      <c r="I68" s="2">
        <v>24271.130884345781</v>
      </c>
      <c r="J68">
        <v>226</v>
      </c>
      <c r="K68" t="s">
        <v>18</v>
      </c>
      <c r="L68" s="1">
        <v>45931</v>
      </c>
      <c r="M68" s="6">
        <f>WilsonData[[#This Row],[Discharge Date]]-WilsonData[[#This Row],[Date of Admission]]</f>
        <v>8</v>
      </c>
      <c r="N68" t="s">
        <v>31</v>
      </c>
    </row>
    <row r="69" spans="1:14" x14ac:dyDescent="0.35">
      <c r="A69" t="s">
        <v>875</v>
      </c>
      <c r="B69">
        <v>42</v>
      </c>
      <c r="C69" t="str">
        <f>IF(WilsonData[[#This Row],[Age]]&lt;=18, "0-18", IF(WilsonData[[#This Row],[Age]]&lt;=35,"19-35", IF(WilsonData[[#This Row],[Age]]&lt;=50, "36-50",IF(WilsonData[[#This Row],[Age]]&lt;=65,"51-65", " 66+"))))</f>
        <v>36-50</v>
      </c>
      <c r="D69" t="s">
        <v>11</v>
      </c>
      <c r="E69" t="s">
        <v>33</v>
      </c>
      <c r="F69" t="s">
        <v>17</v>
      </c>
      <c r="G69" s="1">
        <v>45701</v>
      </c>
      <c r="H69" t="s">
        <v>39</v>
      </c>
      <c r="I69" s="2">
        <v>3263.4972347163061</v>
      </c>
      <c r="J69">
        <v>248</v>
      </c>
      <c r="K69" t="s">
        <v>18</v>
      </c>
      <c r="L69" s="1">
        <v>45707</v>
      </c>
      <c r="M69" s="6">
        <f>WilsonData[[#This Row],[Discharge Date]]-WilsonData[[#This Row],[Date of Admission]]</f>
        <v>6</v>
      </c>
      <c r="N69" t="s">
        <v>19</v>
      </c>
    </row>
    <row r="70" spans="1:14" x14ac:dyDescent="0.35">
      <c r="A70" t="s">
        <v>876</v>
      </c>
      <c r="B70">
        <v>48</v>
      </c>
      <c r="C70" t="str">
        <f>IF(WilsonData[[#This Row],[Age]]&lt;=18, "0-18", IF(WilsonData[[#This Row],[Age]]&lt;=35,"19-35", IF(WilsonData[[#This Row],[Age]]&lt;=50, "36-50",IF(WilsonData[[#This Row],[Age]]&lt;=65,"51-65", " 66+"))))</f>
        <v>36-50</v>
      </c>
      <c r="D70" t="s">
        <v>11</v>
      </c>
      <c r="E70" t="s">
        <v>23</v>
      </c>
      <c r="F70" t="s">
        <v>13</v>
      </c>
      <c r="G70" s="1">
        <v>45734</v>
      </c>
      <c r="H70" t="s">
        <v>36</v>
      </c>
      <c r="I70" s="2">
        <v>24330.424672958241</v>
      </c>
      <c r="J70">
        <v>122</v>
      </c>
      <c r="K70" t="s">
        <v>25</v>
      </c>
      <c r="L70" s="1">
        <v>45737</v>
      </c>
      <c r="M70" s="6">
        <f>WilsonData[[#This Row],[Discharge Date]]-WilsonData[[#This Row],[Date of Admission]]</f>
        <v>3</v>
      </c>
      <c r="N70" t="s">
        <v>31</v>
      </c>
    </row>
    <row r="71" spans="1:14" x14ac:dyDescent="0.35">
      <c r="A71" t="s">
        <v>877</v>
      </c>
      <c r="B71">
        <v>21</v>
      </c>
      <c r="C71" t="str">
        <f>IF(WilsonData[[#This Row],[Age]]&lt;=18, "0-18", IF(WilsonData[[#This Row],[Age]]&lt;=35,"19-35", IF(WilsonData[[#This Row],[Age]]&lt;=50, "36-50",IF(WilsonData[[#This Row],[Age]]&lt;=65,"51-65", " 66+"))))</f>
        <v>19-35</v>
      </c>
      <c r="D71" t="s">
        <v>11</v>
      </c>
      <c r="E71" t="s">
        <v>12</v>
      </c>
      <c r="F71" t="s">
        <v>17</v>
      </c>
      <c r="G71" s="1">
        <v>45982</v>
      </c>
      <c r="H71" t="s">
        <v>37</v>
      </c>
      <c r="I71" s="2">
        <v>35165.347545991361</v>
      </c>
      <c r="J71">
        <v>148</v>
      </c>
      <c r="K71" t="s">
        <v>25</v>
      </c>
      <c r="L71" s="1">
        <v>45992</v>
      </c>
      <c r="M71" s="6">
        <f>WilsonData[[#This Row],[Discharge Date]]-WilsonData[[#This Row],[Date of Admission]]</f>
        <v>10</v>
      </c>
      <c r="N71" t="s">
        <v>31</v>
      </c>
    </row>
    <row r="72" spans="1:14" x14ac:dyDescent="0.35">
      <c r="A72" t="s">
        <v>878</v>
      </c>
      <c r="B72">
        <v>31</v>
      </c>
      <c r="C72" t="str">
        <f>IF(WilsonData[[#This Row],[Age]]&lt;=18, "0-18", IF(WilsonData[[#This Row],[Age]]&lt;=35,"19-35", IF(WilsonData[[#This Row],[Age]]&lt;=50, "36-50",IF(WilsonData[[#This Row],[Age]]&lt;=65,"51-65", " 66+"))))</f>
        <v>19-35</v>
      </c>
      <c r="D72" t="s">
        <v>11</v>
      </c>
      <c r="E72" t="s">
        <v>23</v>
      </c>
      <c r="F72" t="s">
        <v>13</v>
      </c>
      <c r="G72" s="1">
        <v>45764</v>
      </c>
      <c r="H72" t="s">
        <v>37</v>
      </c>
      <c r="I72" s="2">
        <v>36250.968878310239</v>
      </c>
      <c r="J72">
        <v>201</v>
      </c>
      <c r="K72" t="s">
        <v>25</v>
      </c>
      <c r="L72" s="1">
        <v>45775</v>
      </c>
      <c r="M72" s="6">
        <f>WilsonData[[#This Row],[Discharge Date]]-WilsonData[[#This Row],[Date of Admission]]</f>
        <v>11</v>
      </c>
      <c r="N72" t="s">
        <v>27</v>
      </c>
    </row>
    <row r="73" spans="1:14" x14ac:dyDescent="0.35">
      <c r="A73" t="s">
        <v>879</v>
      </c>
      <c r="B73">
        <v>24</v>
      </c>
      <c r="C73" t="str">
        <f>IF(WilsonData[[#This Row],[Age]]&lt;=18, "0-18", IF(WilsonData[[#This Row],[Age]]&lt;=35,"19-35", IF(WilsonData[[#This Row],[Age]]&lt;=50, "36-50",IF(WilsonData[[#This Row],[Age]]&lt;=65,"51-65", " 66+"))))</f>
        <v>19-35</v>
      </c>
      <c r="D73" t="s">
        <v>11</v>
      </c>
      <c r="E73" t="s">
        <v>26</v>
      </c>
      <c r="F73" t="s">
        <v>30</v>
      </c>
      <c r="G73" s="1">
        <v>45758</v>
      </c>
      <c r="H73" t="s">
        <v>37</v>
      </c>
      <c r="I73" s="2">
        <v>12637.0756825794</v>
      </c>
      <c r="J73">
        <v>499</v>
      </c>
      <c r="K73" t="s">
        <v>25</v>
      </c>
      <c r="L73" s="1">
        <v>45771</v>
      </c>
      <c r="M73" s="6">
        <f>WilsonData[[#This Row],[Discharge Date]]-WilsonData[[#This Row],[Date of Admission]]</f>
        <v>13</v>
      </c>
      <c r="N73" t="s">
        <v>27</v>
      </c>
    </row>
    <row r="74" spans="1:14" x14ac:dyDescent="0.35">
      <c r="A74" t="s">
        <v>880</v>
      </c>
      <c r="B74">
        <v>76</v>
      </c>
      <c r="C74" t="str">
        <f>IF(WilsonData[[#This Row],[Age]]&lt;=18, "0-18", IF(WilsonData[[#This Row],[Age]]&lt;=35,"19-35", IF(WilsonData[[#This Row],[Age]]&lt;=50, "36-50",IF(WilsonData[[#This Row],[Age]]&lt;=65,"51-65", " 66+"))))</f>
        <v xml:space="preserve"> 66+</v>
      </c>
      <c r="D74" t="s">
        <v>20</v>
      </c>
      <c r="E74" t="s">
        <v>34</v>
      </c>
      <c r="F74" t="s">
        <v>32</v>
      </c>
      <c r="G74" s="1">
        <v>45679</v>
      </c>
      <c r="H74" t="s">
        <v>39</v>
      </c>
      <c r="I74" s="2">
        <v>24984.323711030938</v>
      </c>
      <c r="J74">
        <v>131</v>
      </c>
      <c r="K74" t="s">
        <v>25</v>
      </c>
      <c r="L74" s="1">
        <v>45687</v>
      </c>
      <c r="M74" s="6">
        <f>WilsonData[[#This Row],[Discharge Date]]-WilsonData[[#This Row],[Date of Admission]]</f>
        <v>8</v>
      </c>
      <c r="N74" t="s">
        <v>19</v>
      </c>
    </row>
    <row r="75" spans="1:14" x14ac:dyDescent="0.35">
      <c r="A75" t="s">
        <v>881</v>
      </c>
      <c r="B75">
        <v>33</v>
      </c>
      <c r="C75" t="str">
        <f>IF(WilsonData[[#This Row],[Age]]&lt;=18, "0-18", IF(WilsonData[[#This Row],[Age]]&lt;=35,"19-35", IF(WilsonData[[#This Row],[Age]]&lt;=50, "36-50",IF(WilsonData[[#This Row],[Age]]&lt;=65,"51-65", " 66+"))))</f>
        <v>19-35</v>
      </c>
      <c r="D75" t="s">
        <v>11</v>
      </c>
      <c r="E75" t="s">
        <v>12</v>
      </c>
      <c r="F75" t="s">
        <v>30</v>
      </c>
      <c r="G75" s="1">
        <v>45887</v>
      </c>
      <c r="H75" t="s">
        <v>36</v>
      </c>
      <c r="I75" s="2">
        <v>5340.0514148335988</v>
      </c>
      <c r="J75">
        <v>252</v>
      </c>
      <c r="K75" t="s">
        <v>25</v>
      </c>
      <c r="L75" s="1">
        <v>45891</v>
      </c>
      <c r="M75" s="6">
        <f>WilsonData[[#This Row],[Discharge Date]]-WilsonData[[#This Row],[Date of Admission]]</f>
        <v>4</v>
      </c>
      <c r="N75" t="s">
        <v>19</v>
      </c>
    </row>
    <row r="76" spans="1:14" x14ac:dyDescent="0.35">
      <c r="A76" t="s">
        <v>882</v>
      </c>
      <c r="B76">
        <v>53</v>
      </c>
      <c r="C76" t="str">
        <f>IF(WilsonData[[#This Row],[Age]]&lt;=18, "0-18", IF(WilsonData[[#This Row],[Age]]&lt;=35,"19-35", IF(WilsonData[[#This Row],[Age]]&lt;=50, "36-50",IF(WilsonData[[#This Row],[Age]]&lt;=65,"51-65", " 66+"))))</f>
        <v>51-65</v>
      </c>
      <c r="D76" t="s">
        <v>20</v>
      </c>
      <c r="E76" t="s">
        <v>33</v>
      </c>
      <c r="F76" t="s">
        <v>32</v>
      </c>
      <c r="G76" s="1">
        <v>45775</v>
      </c>
      <c r="H76" t="s">
        <v>37</v>
      </c>
      <c r="I76" s="2">
        <v>27967.388343924489</v>
      </c>
      <c r="J76">
        <v>498</v>
      </c>
      <c r="K76" t="s">
        <v>18</v>
      </c>
      <c r="L76" s="1">
        <v>45779</v>
      </c>
      <c r="M76" s="6">
        <f>WilsonData[[#This Row],[Discharge Date]]-WilsonData[[#This Row],[Date of Admission]]</f>
        <v>4</v>
      </c>
      <c r="N76" t="s">
        <v>15</v>
      </c>
    </row>
    <row r="77" spans="1:14" x14ac:dyDescent="0.35">
      <c r="A77" t="s">
        <v>883</v>
      </c>
      <c r="B77">
        <v>37</v>
      </c>
      <c r="C77" t="str">
        <f>IF(WilsonData[[#This Row],[Age]]&lt;=18, "0-18", IF(WilsonData[[#This Row],[Age]]&lt;=35,"19-35", IF(WilsonData[[#This Row],[Age]]&lt;=50, "36-50",IF(WilsonData[[#This Row],[Age]]&lt;=65,"51-65", " 66+"))))</f>
        <v>36-50</v>
      </c>
      <c r="D77" t="s">
        <v>20</v>
      </c>
      <c r="E77" t="s">
        <v>21</v>
      </c>
      <c r="F77" t="s">
        <v>30</v>
      </c>
      <c r="G77" s="1">
        <v>45739</v>
      </c>
      <c r="H77" t="s">
        <v>39</v>
      </c>
      <c r="I77" s="2">
        <v>18083.789523970041</v>
      </c>
      <c r="J77">
        <v>337</v>
      </c>
      <c r="K77" t="s">
        <v>18</v>
      </c>
      <c r="L77" s="1">
        <v>45752</v>
      </c>
      <c r="M77" s="6">
        <f>WilsonData[[#This Row],[Discharge Date]]-WilsonData[[#This Row],[Date of Admission]]</f>
        <v>13</v>
      </c>
      <c r="N77" t="s">
        <v>22</v>
      </c>
    </row>
    <row r="78" spans="1:14" x14ac:dyDescent="0.35">
      <c r="A78" t="s">
        <v>884</v>
      </c>
      <c r="B78">
        <v>50</v>
      </c>
      <c r="C78" t="str">
        <f>IF(WilsonData[[#This Row],[Age]]&lt;=18, "0-18", IF(WilsonData[[#This Row],[Age]]&lt;=35,"19-35", IF(WilsonData[[#This Row],[Age]]&lt;=50, "36-50",IF(WilsonData[[#This Row],[Age]]&lt;=65,"51-65", " 66+"))))</f>
        <v>36-50</v>
      </c>
      <c r="D78" t="s">
        <v>11</v>
      </c>
      <c r="E78" t="s">
        <v>23</v>
      </c>
      <c r="F78" t="s">
        <v>30</v>
      </c>
      <c r="G78" s="1">
        <v>45692</v>
      </c>
      <c r="H78" t="s">
        <v>36</v>
      </c>
      <c r="I78" s="2">
        <v>22361.29684207536</v>
      </c>
      <c r="J78">
        <v>265</v>
      </c>
      <c r="K78" t="s">
        <v>25</v>
      </c>
      <c r="L78" s="1">
        <v>45705</v>
      </c>
      <c r="M78" s="6">
        <f>WilsonData[[#This Row],[Discharge Date]]-WilsonData[[#This Row],[Date of Admission]]</f>
        <v>13</v>
      </c>
      <c r="N78" t="s">
        <v>27</v>
      </c>
    </row>
    <row r="79" spans="1:14" x14ac:dyDescent="0.35">
      <c r="A79" t="s">
        <v>885</v>
      </c>
      <c r="B79">
        <v>78</v>
      </c>
      <c r="C79" t="str">
        <f>IF(WilsonData[[#This Row],[Age]]&lt;=18, "0-18", IF(WilsonData[[#This Row],[Age]]&lt;=35,"19-35", IF(WilsonData[[#This Row],[Age]]&lt;=50, "36-50",IF(WilsonData[[#This Row],[Age]]&lt;=65,"51-65", " 66+"))))</f>
        <v xml:space="preserve"> 66+</v>
      </c>
      <c r="D79" t="s">
        <v>11</v>
      </c>
      <c r="E79" t="s">
        <v>23</v>
      </c>
      <c r="F79" t="s">
        <v>13</v>
      </c>
      <c r="G79" s="1">
        <v>45880</v>
      </c>
      <c r="H79" t="s">
        <v>37</v>
      </c>
      <c r="I79" s="2">
        <v>31725.722306520471</v>
      </c>
      <c r="J79">
        <v>372</v>
      </c>
      <c r="K79" t="s">
        <v>18</v>
      </c>
      <c r="L79" s="1">
        <v>45884</v>
      </c>
      <c r="M79" s="6">
        <f>WilsonData[[#This Row],[Discharge Date]]-WilsonData[[#This Row],[Date of Admission]]</f>
        <v>4</v>
      </c>
      <c r="N79" t="s">
        <v>22</v>
      </c>
    </row>
    <row r="80" spans="1:14" x14ac:dyDescent="0.35">
      <c r="A80" t="s">
        <v>886</v>
      </c>
      <c r="B80">
        <v>57</v>
      </c>
      <c r="C80" t="str">
        <f>IF(WilsonData[[#This Row],[Age]]&lt;=18, "0-18", IF(WilsonData[[#This Row],[Age]]&lt;=35,"19-35", IF(WilsonData[[#This Row],[Age]]&lt;=50, "36-50",IF(WilsonData[[#This Row],[Age]]&lt;=65,"51-65", " 66+"))))</f>
        <v>51-65</v>
      </c>
      <c r="D80" t="s">
        <v>20</v>
      </c>
      <c r="E80" t="s">
        <v>33</v>
      </c>
      <c r="F80" t="s">
        <v>17</v>
      </c>
      <c r="G80" s="1">
        <v>45948</v>
      </c>
      <c r="H80" t="s">
        <v>36</v>
      </c>
      <c r="I80" s="2">
        <v>47552.063053740443</v>
      </c>
      <c r="J80">
        <v>212</v>
      </c>
      <c r="K80" t="s">
        <v>25</v>
      </c>
      <c r="L80" s="1">
        <v>45956</v>
      </c>
      <c r="M80" s="6">
        <f>WilsonData[[#This Row],[Discharge Date]]-WilsonData[[#This Row],[Date of Admission]]</f>
        <v>8</v>
      </c>
      <c r="N80" t="s">
        <v>27</v>
      </c>
    </row>
    <row r="81" spans="1:14" x14ac:dyDescent="0.35">
      <c r="A81" t="s">
        <v>887</v>
      </c>
      <c r="B81">
        <v>26</v>
      </c>
      <c r="C81" t="str">
        <f>IF(WilsonData[[#This Row],[Age]]&lt;=18, "0-18", IF(WilsonData[[#This Row],[Age]]&lt;=35,"19-35", IF(WilsonData[[#This Row],[Age]]&lt;=50, "36-50",IF(WilsonData[[#This Row],[Age]]&lt;=65,"51-65", " 66+"))))</f>
        <v>19-35</v>
      </c>
      <c r="D81" t="s">
        <v>11</v>
      </c>
      <c r="E81" t="s">
        <v>34</v>
      </c>
      <c r="F81" t="s">
        <v>28</v>
      </c>
      <c r="G81" s="1">
        <v>45747</v>
      </c>
      <c r="H81" t="s">
        <v>39</v>
      </c>
      <c r="I81" s="2">
        <v>27118.758269869191</v>
      </c>
      <c r="J81">
        <v>236</v>
      </c>
      <c r="K81" t="s">
        <v>18</v>
      </c>
      <c r="L81" s="1">
        <v>45759</v>
      </c>
      <c r="M81" s="6">
        <f>WilsonData[[#This Row],[Discharge Date]]-WilsonData[[#This Row],[Date of Admission]]</f>
        <v>12</v>
      </c>
      <c r="N81" t="s">
        <v>31</v>
      </c>
    </row>
    <row r="82" spans="1:14" x14ac:dyDescent="0.35">
      <c r="A82" t="s">
        <v>888</v>
      </c>
      <c r="B82">
        <v>67</v>
      </c>
      <c r="C82" t="str">
        <f>IF(WilsonData[[#This Row],[Age]]&lt;=18, "0-18", IF(WilsonData[[#This Row],[Age]]&lt;=35,"19-35", IF(WilsonData[[#This Row],[Age]]&lt;=50, "36-50",IF(WilsonData[[#This Row],[Age]]&lt;=65,"51-65", " 66+"))))</f>
        <v xml:space="preserve"> 66+</v>
      </c>
      <c r="D82" t="s">
        <v>20</v>
      </c>
      <c r="E82" t="s">
        <v>29</v>
      </c>
      <c r="F82" t="s">
        <v>17</v>
      </c>
      <c r="G82" s="1">
        <v>45810</v>
      </c>
      <c r="H82" t="s">
        <v>36</v>
      </c>
      <c r="I82" s="2">
        <v>14528.200868985439</v>
      </c>
      <c r="J82">
        <v>397</v>
      </c>
      <c r="K82" t="s">
        <v>25</v>
      </c>
      <c r="L82" s="1">
        <v>45824</v>
      </c>
      <c r="M82" s="6">
        <f>WilsonData[[#This Row],[Discharge Date]]-WilsonData[[#This Row],[Date of Admission]]</f>
        <v>14</v>
      </c>
      <c r="N82" t="s">
        <v>27</v>
      </c>
    </row>
    <row r="83" spans="1:14" x14ac:dyDescent="0.35">
      <c r="A83" t="s">
        <v>889</v>
      </c>
      <c r="B83">
        <v>61</v>
      </c>
      <c r="C83" t="str">
        <f>IF(WilsonData[[#This Row],[Age]]&lt;=18, "0-18", IF(WilsonData[[#This Row],[Age]]&lt;=35,"19-35", IF(WilsonData[[#This Row],[Age]]&lt;=50, "36-50",IF(WilsonData[[#This Row],[Age]]&lt;=65,"51-65", " 66+"))))</f>
        <v>51-65</v>
      </c>
      <c r="D83" t="s">
        <v>11</v>
      </c>
      <c r="E83" t="s">
        <v>29</v>
      </c>
      <c r="F83" t="s">
        <v>30</v>
      </c>
      <c r="G83" s="1">
        <v>45900</v>
      </c>
      <c r="H83" t="s">
        <v>39</v>
      </c>
      <c r="I83" s="2">
        <v>9333.1694948133754</v>
      </c>
      <c r="J83">
        <v>212</v>
      </c>
      <c r="K83" t="s">
        <v>25</v>
      </c>
      <c r="L83" s="1">
        <v>45903</v>
      </c>
      <c r="M83" s="6">
        <f>WilsonData[[#This Row],[Discharge Date]]-WilsonData[[#This Row],[Date of Admission]]</f>
        <v>3</v>
      </c>
      <c r="N83" t="s">
        <v>22</v>
      </c>
    </row>
    <row r="84" spans="1:14" x14ac:dyDescent="0.35">
      <c r="A84" t="s">
        <v>890</v>
      </c>
      <c r="B84">
        <v>24</v>
      </c>
      <c r="C84" t="str">
        <f>IF(WilsonData[[#This Row],[Age]]&lt;=18, "0-18", IF(WilsonData[[#This Row],[Age]]&lt;=35,"19-35", IF(WilsonData[[#This Row],[Age]]&lt;=50, "36-50",IF(WilsonData[[#This Row],[Age]]&lt;=65,"51-65", " 66+"))))</f>
        <v>19-35</v>
      </c>
      <c r="D84" t="s">
        <v>11</v>
      </c>
      <c r="E84" t="s">
        <v>16</v>
      </c>
      <c r="F84" t="s">
        <v>30</v>
      </c>
      <c r="G84" s="1">
        <v>45687</v>
      </c>
      <c r="H84" t="s">
        <v>39</v>
      </c>
      <c r="I84" s="2">
        <v>19782.6389913577</v>
      </c>
      <c r="J84">
        <v>438</v>
      </c>
      <c r="K84" t="s">
        <v>18</v>
      </c>
      <c r="L84" s="1">
        <v>45691</v>
      </c>
      <c r="M84" s="6">
        <f>WilsonData[[#This Row],[Discharge Date]]-WilsonData[[#This Row],[Date of Admission]]</f>
        <v>4</v>
      </c>
      <c r="N84" t="s">
        <v>19</v>
      </c>
    </row>
    <row r="85" spans="1:14" x14ac:dyDescent="0.35">
      <c r="A85" t="s">
        <v>891</v>
      </c>
      <c r="B85">
        <v>46</v>
      </c>
      <c r="C85" t="str">
        <f>IF(WilsonData[[#This Row],[Age]]&lt;=18, "0-18", IF(WilsonData[[#This Row],[Age]]&lt;=35,"19-35", IF(WilsonData[[#This Row],[Age]]&lt;=50, "36-50",IF(WilsonData[[#This Row],[Age]]&lt;=65,"51-65", " 66+"))))</f>
        <v>36-50</v>
      </c>
      <c r="D85" t="s">
        <v>20</v>
      </c>
      <c r="E85" t="s">
        <v>16</v>
      </c>
      <c r="F85" t="s">
        <v>13</v>
      </c>
      <c r="G85" s="1">
        <v>45945</v>
      </c>
      <c r="H85" t="s">
        <v>36</v>
      </c>
      <c r="I85" s="2">
        <v>28119.131954616299</v>
      </c>
      <c r="J85">
        <v>200</v>
      </c>
      <c r="K85" t="s">
        <v>25</v>
      </c>
      <c r="L85" s="1">
        <v>45956</v>
      </c>
      <c r="M85" s="6">
        <f>WilsonData[[#This Row],[Discharge Date]]-WilsonData[[#This Row],[Date of Admission]]</f>
        <v>11</v>
      </c>
      <c r="N85" t="s">
        <v>19</v>
      </c>
    </row>
    <row r="86" spans="1:14" x14ac:dyDescent="0.35">
      <c r="A86" t="s">
        <v>892</v>
      </c>
      <c r="B86">
        <v>52</v>
      </c>
      <c r="C86" t="str">
        <f>IF(WilsonData[[#This Row],[Age]]&lt;=18, "0-18", IF(WilsonData[[#This Row],[Age]]&lt;=35,"19-35", IF(WilsonData[[#This Row],[Age]]&lt;=50, "36-50",IF(WilsonData[[#This Row],[Age]]&lt;=65,"51-65", " 66+"))))</f>
        <v>51-65</v>
      </c>
      <c r="D86" t="s">
        <v>11</v>
      </c>
      <c r="E86" t="s">
        <v>21</v>
      </c>
      <c r="F86" t="s">
        <v>13</v>
      </c>
      <c r="G86" s="1">
        <v>45785</v>
      </c>
      <c r="H86" t="s">
        <v>37</v>
      </c>
      <c r="I86" s="2">
        <v>22014.36322015616</v>
      </c>
      <c r="J86">
        <v>206</v>
      </c>
      <c r="K86" t="s">
        <v>18</v>
      </c>
      <c r="L86" s="1">
        <v>45793</v>
      </c>
      <c r="M86" s="6">
        <f>WilsonData[[#This Row],[Discharge Date]]-WilsonData[[#This Row],[Date of Admission]]</f>
        <v>8</v>
      </c>
      <c r="N86" t="s">
        <v>19</v>
      </c>
    </row>
    <row r="87" spans="1:14" x14ac:dyDescent="0.35">
      <c r="A87" t="s">
        <v>893</v>
      </c>
      <c r="B87">
        <v>63</v>
      </c>
      <c r="C87" t="str">
        <f>IF(WilsonData[[#This Row],[Age]]&lt;=18, "0-18", IF(WilsonData[[#This Row],[Age]]&lt;=35,"19-35", IF(WilsonData[[#This Row],[Age]]&lt;=50, "36-50",IF(WilsonData[[#This Row],[Age]]&lt;=65,"51-65", " 66+"))))</f>
        <v>51-65</v>
      </c>
      <c r="D87" t="s">
        <v>20</v>
      </c>
      <c r="E87" t="s">
        <v>29</v>
      </c>
      <c r="F87" t="s">
        <v>13</v>
      </c>
      <c r="G87" s="1">
        <v>45994</v>
      </c>
      <c r="H87" t="s">
        <v>37</v>
      </c>
      <c r="I87" s="2">
        <v>7872.138635918418</v>
      </c>
      <c r="J87">
        <v>121</v>
      </c>
      <c r="K87" t="s">
        <v>18</v>
      </c>
      <c r="L87" s="1">
        <v>46001</v>
      </c>
      <c r="M87" s="6">
        <f>WilsonData[[#This Row],[Discharge Date]]-WilsonData[[#This Row],[Date of Admission]]</f>
        <v>7</v>
      </c>
      <c r="N87" t="s">
        <v>19</v>
      </c>
    </row>
    <row r="88" spans="1:14" x14ac:dyDescent="0.35">
      <c r="A88" t="s">
        <v>894</v>
      </c>
      <c r="B88">
        <v>71</v>
      </c>
      <c r="C88" t="str">
        <f>IF(WilsonData[[#This Row],[Age]]&lt;=18, "0-18", IF(WilsonData[[#This Row],[Age]]&lt;=35,"19-35", IF(WilsonData[[#This Row],[Age]]&lt;=50, "36-50",IF(WilsonData[[#This Row],[Age]]&lt;=65,"51-65", " 66+"))))</f>
        <v xml:space="preserve"> 66+</v>
      </c>
      <c r="D88" t="s">
        <v>11</v>
      </c>
      <c r="E88" t="s">
        <v>29</v>
      </c>
      <c r="F88" t="s">
        <v>32</v>
      </c>
      <c r="G88" s="1">
        <v>45940</v>
      </c>
      <c r="H88" t="s">
        <v>39</v>
      </c>
      <c r="I88" s="2">
        <v>46271.376196317018</v>
      </c>
      <c r="J88">
        <v>145</v>
      </c>
      <c r="K88" t="s">
        <v>25</v>
      </c>
      <c r="L88" s="1">
        <v>45946</v>
      </c>
      <c r="M88" s="6">
        <f>WilsonData[[#This Row],[Discharge Date]]-WilsonData[[#This Row],[Date of Admission]]</f>
        <v>6</v>
      </c>
      <c r="N88" t="s">
        <v>31</v>
      </c>
    </row>
    <row r="89" spans="1:14" x14ac:dyDescent="0.35">
      <c r="A89" t="s">
        <v>895</v>
      </c>
      <c r="B89">
        <v>20</v>
      </c>
      <c r="C89" t="str">
        <f>IF(WilsonData[[#This Row],[Age]]&lt;=18, "0-18", IF(WilsonData[[#This Row],[Age]]&lt;=35,"19-35", IF(WilsonData[[#This Row],[Age]]&lt;=50, "36-50",IF(WilsonData[[#This Row],[Age]]&lt;=65,"51-65", " 66+"))))</f>
        <v>19-35</v>
      </c>
      <c r="D89" t="s">
        <v>11</v>
      </c>
      <c r="E89" t="s">
        <v>21</v>
      </c>
      <c r="F89" t="s">
        <v>13</v>
      </c>
      <c r="G89" s="1">
        <v>45775</v>
      </c>
      <c r="H89" t="s">
        <v>36</v>
      </c>
      <c r="I89" s="2">
        <v>20616.550195486539</v>
      </c>
      <c r="J89">
        <v>426</v>
      </c>
      <c r="K89" t="s">
        <v>25</v>
      </c>
      <c r="L89" s="1">
        <v>45780</v>
      </c>
      <c r="M89" s="6">
        <f>WilsonData[[#This Row],[Discharge Date]]-WilsonData[[#This Row],[Date of Admission]]</f>
        <v>5</v>
      </c>
      <c r="N89" t="s">
        <v>19</v>
      </c>
    </row>
    <row r="90" spans="1:14" x14ac:dyDescent="0.35">
      <c r="A90" t="s">
        <v>896</v>
      </c>
      <c r="B90">
        <v>72</v>
      </c>
      <c r="C90" t="str">
        <f>IF(WilsonData[[#This Row],[Age]]&lt;=18, "0-18", IF(WilsonData[[#This Row],[Age]]&lt;=35,"19-35", IF(WilsonData[[#This Row],[Age]]&lt;=50, "36-50",IF(WilsonData[[#This Row],[Age]]&lt;=65,"51-65", " 66+"))))</f>
        <v xml:space="preserve"> 66+</v>
      </c>
      <c r="D90" t="s">
        <v>20</v>
      </c>
      <c r="E90" t="s">
        <v>23</v>
      </c>
      <c r="F90" t="s">
        <v>30</v>
      </c>
      <c r="G90" s="1">
        <v>45723</v>
      </c>
      <c r="H90" t="s">
        <v>36</v>
      </c>
      <c r="I90" s="2">
        <v>47267.928203278279</v>
      </c>
      <c r="J90">
        <v>170</v>
      </c>
      <c r="K90" t="s">
        <v>25</v>
      </c>
      <c r="L90" s="1">
        <v>45736</v>
      </c>
      <c r="M90" s="6">
        <f>WilsonData[[#This Row],[Discharge Date]]-WilsonData[[#This Row],[Date of Admission]]</f>
        <v>13</v>
      </c>
      <c r="N90" t="s">
        <v>27</v>
      </c>
    </row>
    <row r="91" spans="1:14" x14ac:dyDescent="0.35">
      <c r="A91" t="s">
        <v>897</v>
      </c>
      <c r="B91">
        <v>58</v>
      </c>
      <c r="C91" t="str">
        <f>IF(WilsonData[[#This Row],[Age]]&lt;=18, "0-18", IF(WilsonData[[#This Row],[Age]]&lt;=35,"19-35", IF(WilsonData[[#This Row],[Age]]&lt;=50, "36-50",IF(WilsonData[[#This Row],[Age]]&lt;=65,"51-65", " 66+"))))</f>
        <v>51-65</v>
      </c>
      <c r="D91" t="s">
        <v>20</v>
      </c>
      <c r="E91" t="s">
        <v>21</v>
      </c>
      <c r="F91" t="s">
        <v>13</v>
      </c>
      <c r="G91" s="1">
        <v>45701</v>
      </c>
      <c r="H91" t="s">
        <v>36</v>
      </c>
      <c r="I91" s="2">
        <v>2403.2908991141949</v>
      </c>
      <c r="J91">
        <v>349</v>
      </c>
      <c r="K91" t="s">
        <v>25</v>
      </c>
      <c r="L91" s="1">
        <v>45714</v>
      </c>
      <c r="M91" s="6">
        <f>WilsonData[[#This Row],[Discharge Date]]-WilsonData[[#This Row],[Date of Admission]]</f>
        <v>13</v>
      </c>
      <c r="N91" t="s">
        <v>27</v>
      </c>
    </row>
    <row r="92" spans="1:14" x14ac:dyDescent="0.35">
      <c r="A92" t="s">
        <v>898</v>
      </c>
      <c r="B92">
        <v>23</v>
      </c>
      <c r="C92" t="str">
        <f>IF(WilsonData[[#This Row],[Age]]&lt;=18, "0-18", IF(WilsonData[[#This Row],[Age]]&lt;=35,"19-35", IF(WilsonData[[#This Row],[Age]]&lt;=50, "36-50",IF(WilsonData[[#This Row],[Age]]&lt;=65,"51-65", " 66+"))))</f>
        <v>19-35</v>
      </c>
      <c r="D92" t="s">
        <v>11</v>
      </c>
      <c r="E92" t="s">
        <v>33</v>
      </c>
      <c r="F92" t="s">
        <v>28</v>
      </c>
      <c r="G92" s="1">
        <v>45794</v>
      </c>
      <c r="H92" t="s">
        <v>37</v>
      </c>
      <c r="I92" s="2">
        <v>49817.112709190013</v>
      </c>
      <c r="J92">
        <v>422</v>
      </c>
      <c r="K92" t="s">
        <v>18</v>
      </c>
      <c r="L92" s="1">
        <v>45808</v>
      </c>
      <c r="M92" s="6">
        <f>WilsonData[[#This Row],[Discharge Date]]-WilsonData[[#This Row],[Date of Admission]]</f>
        <v>14</v>
      </c>
      <c r="N92" t="s">
        <v>22</v>
      </c>
    </row>
    <row r="93" spans="1:14" x14ac:dyDescent="0.35">
      <c r="A93" t="s">
        <v>899</v>
      </c>
      <c r="B93">
        <v>33</v>
      </c>
      <c r="C93" t="str">
        <f>IF(WilsonData[[#This Row],[Age]]&lt;=18, "0-18", IF(WilsonData[[#This Row],[Age]]&lt;=35,"19-35", IF(WilsonData[[#This Row],[Age]]&lt;=50, "36-50",IF(WilsonData[[#This Row],[Age]]&lt;=65,"51-65", " 66+"))))</f>
        <v>19-35</v>
      </c>
      <c r="D93" t="s">
        <v>20</v>
      </c>
      <c r="E93" t="s">
        <v>26</v>
      </c>
      <c r="F93" t="s">
        <v>28</v>
      </c>
      <c r="G93" s="1">
        <v>45676</v>
      </c>
      <c r="H93" t="s">
        <v>37</v>
      </c>
      <c r="I93" s="2">
        <v>44302.237204928053</v>
      </c>
      <c r="J93">
        <v>289</v>
      </c>
      <c r="K93" t="s">
        <v>25</v>
      </c>
      <c r="L93" s="1">
        <v>45680</v>
      </c>
      <c r="M93" s="6">
        <f>WilsonData[[#This Row],[Discharge Date]]-WilsonData[[#This Row],[Date of Admission]]</f>
        <v>4</v>
      </c>
      <c r="N93" t="s">
        <v>27</v>
      </c>
    </row>
    <row r="94" spans="1:14" x14ac:dyDescent="0.35">
      <c r="A94" t="s">
        <v>900</v>
      </c>
      <c r="B94">
        <v>69</v>
      </c>
      <c r="C94" t="str">
        <f>IF(WilsonData[[#This Row],[Age]]&lt;=18, "0-18", IF(WilsonData[[#This Row],[Age]]&lt;=35,"19-35", IF(WilsonData[[#This Row],[Age]]&lt;=50, "36-50",IF(WilsonData[[#This Row],[Age]]&lt;=65,"51-65", " 66+"))))</f>
        <v xml:space="preserve"> 66+</v>
      </c>
      <c r="D94" t="s">
        <v>20</v>
      </c>
      <c r="E94" t="s">
        <v>33</v>
      </c>
      <c r="F94" t="s">
        <v>17</v>
      </c>
      <c r="G94" s="1">
        <v>45678</v>
      </c>
      <c r="H94" t="s">
        <v>39</v>
      </c>
      <c r="I94" s="2">
        <v>24579.105440731211</v>
      </c>
      <c r="J94">
        <v>205</v>
      </c>
      <c r="K94" t="s">
        <v>25</v>
      </c>
      <c r="L94" s="1">
        <v>45691</v>
      </c>
      <c r="M94" s="6">
        <f>WilsonData[[#This Row],[Discharge Date]]-WilsonData[[#This Row],[Date of Admission]]</f>
        <v>13</v>
      </c>
      <c r="N94" t="s">
        <v>31</v>
      </c>
    </row>
    <row r="95" spans="1:14" x14ac:dyDescent="0.35">
      <c r="A95" t="s">
        <v>901</v>
      </c>
      <c r="B95">
        <v>49</v>
      </c>
      <c r="C95" t="str">
        <f>IF(WilsonData[[#This Row],[Age]]&lt;=18, "0-18", IF(WilsonData[[#This Row],[Age]]&lt;=35,"19-35", IF(WilsonData[[#This Row],[Age]]&lt;=50, "36-50",IF(WilsonData[[#This Row],[Age]]&lt;=65,"51-65", " 66+"))))</f>
        <v>36-50</v>
      </c>
      <c r="D95" t="s">
        <v>11</v>
      </c>
      <c r="E95" t="s">
        <v>12</v>
      </c>
      <c r="F95" t="s">
        <v>30</v>
      </c>
      <c r="G95" s="1">
        <v>45728</v>
      </c>
      <c r="H95" t="s">
        <v>36</v>
      </c>
      <c r="I95" s="2">
        <v>4372.7058190851922</v>
      </c>
      <c r="J95">
        <v>469</v>
      </c>
      <c r="K95" t="s">
        <v>25</v>
      </c>
      <c r="L95" s="1">
        <v>45738</v>
      </c>
      <c r="M95" s="6">
        <f>WilsonData[[#This Row],[Discharge Date]]-WilsonData[[#This Row],[Date of Admission]]</f>
        <v>10</v>
      </c>
      <c r="N95" t="s">
        <v>19</v>
      </c>
    </row>
    <row r="96" spans="1:14" x14ac:dyDescent="0.35">
      <c r="A96" t="s">
        <v>902</v>
      </c>
      <c r="B96">
        <v>65</v>
      </c>
      <c r="C96" t="str">
        <f>IF(WilsonData[[#This Row],[Age]]&lt;=18, "0-18", IF(WilsonData[[#This Row],[Age]]&lt;=35,"19-35", IF(WilsonData[[#This Row],[Age]]&lt;=50, "36-50",IF(WilsonData[[#This Row],[Age]]&lt;=65,"51-65", " 66+"))))</f>
        <v>51-65</v>
      </c>
      <c r="D96" t="s">
        <v>11</v>
      </c>
      <c r="E96" t="s">
        <v>26</v>
      </c>
      <c r="F96" t="s">
        <v>28</v>
      </c>
      <c r="G96" s="1">
        <v>45864</v>
      </c>
      <c r="H96" t="s">
        <v>36</v>
      </c>
      <c r="I96" s="2">
        <v>33093.480796531549</v>
      </c>
      <c r="J96">
        <v>447</v>
      </c>
      <c r="K96" t="s">
        <v>25</v>
      </c>
      <c r="L96" s="1">
        <v>45871</v>
      </c>
      <c r="M96" s="6">
        <f>WilsonData[[#This Row],[Discharge Date]]-WilsonData[[#This Row],[Date of Admission]]</f>
        <v>7</v>
      </c>
      <c r="N96" t="s">
        <v>22</v>
      </c>
    </row>
    <row r="97" spans="1:14" x14ac:dyDescent="0.35">
      <c r="A97" t="s">
        <v>903</v>
      </c>
      <c r="B97">
        <v>29</v>
      </c>
      <c r="C97" t="str">
        <f>IF(WilsonData[[#This Row],[Age]]&lt;=18, "0-18", IF(WilsonData[[#This Row],[Age]]&lt;=35,"19-35", IF(WilsonData[[#This Row],[Age]]&lt;=50, "36-50",IF(WilsonData[[#This Row],[Age]]&lt;=65,"51-65", " 66+"))))</f>
        <v>19-35</v>
      </c>
      <c r="D97" t="s">
        <v>11</v>
      </c>
      <c r="E97" t="s">
        <v>16</v>
      </c>
      <c r="F97" t="s">
        <v>32</v>
      </c>
      <c r="G97" s="1">
        <v>45932</v>
      </c>
      <c r="H97" t="s">
        <v>39</v>
      </c>
      <c r="I97" s="2">
        <v>24035.26042122404</v>
      </c>
      <c r="J97">
        <v>279</v>
      </c>
      <c r="K97" t="s">
        <v>18</v>
      </c>
      <c r="L97" s="1">
        <v>45936</v>
      </c>
      <c r="M97" s="6">
        <f>WilsonData[[#This Row],[Discharge Date]]-WilsonData[[#This Row],[Date of Admission]]</f>
        <v>4</v>
      </c>
      <c r="N97" t="s">
        <v>27</v>
      </c>
    </row>
    <row r="98" spans="1:14" x14ac:dyDescent="0.35">
      <c r="A98" t="s">
        <v>904</v>
      </c>
      <c r="B98">
        <v>56</v>
      </c>
      <c r="C98" t="str">
        <f>IF(WilsonData[[#This Row],[Age]]&lt;=18, "0-18", IF(WilsonData[[#This Row],[Age]]&lt;=35,"19-35", IF(WilsonData[[#This Row],[Age]]&lt;=50, "36-50",IF(WilsonData[[#This Row],[Age]]&lt;=65,"51-65", " 66+"))))</f>
        <v>51-65</v>
      </c>
      <c r="D98" t="s">
        <v>20</v>
      </c>
      <c r="E98" t="s">
        <v>23</v>
      </c>
      <c r="F98" t="s">
        <v>28</v>
      </c>
      <c r="G98" s="1">
        <v>45783</v>
      </c>
      <c r="H98" t="s">
        <v>36</v>
      </c>
      <c r="I98" s="2">
        <v>43338.856482574731</v>
      </c>
      <c r="J98">
        <v>370</v>
      </c>
      <c r="K98" t="s">
        <v>25</v>
      </c>
      <c r="L98" s="1">
        <v>45793</v>
      </c>
      <c r="M98" s="6">
        <f>WilsonData[[#This Row],[Discharge Date]]-WilsonData[[#This Row],[Date of Admission]]</f>
        <v>10</v>
      </c>
      <c r="N98" t="s">
        <v>27</v>
      </c>
    </row>
    <row r="99" spans="1:14" x14ac:dyDescent="0.35">
      <c r="A99" t="s">
        <v>905</v>
      </c>
      <c r="B99">
        <v>18</v>
      </c>
      <c r="C99" t="str">
        <f>IF(WilsonData[[#This Row],[Age]]&lt;=18, "0-18", IF(WilsonData[[#This Row],[Age]]&lt;=35,"19-35", IF(WilsonData[[#This Row],[Age]]&lt;=50, "36-50",IF(WilsonData[[#This Row],[Age]]&lt;=65,"51-65", " 66+"))))</f>
        <v>0-18</v>
      </c>
      <c r="D99" t="s">
        <v>20</v>
      </c>
      <c r="E99" t="s">
        <v>21</v>
      </c>
      <c r="F99" t="s">
        <v>32</v>
      </c>
      <c r="G99" s="1">
        <v>45667</v>
      </c>
      <c r="H99" t="s">
        <v>37</v>
      </c>
      <c r="I99" s="2">
        <v>23994.01574671215</v>
      </c>
      <c r="J99">
        <v>399</v>
      </c>
      <c r="K99" t="s">
        <v>25</v>
      </c>
      <c r="L99" s="1">
        <v>45678</v>
      </c>
      <c r="M99" s="6">
        <f>WilsonData[[#This Row],[Discharge Date]]-WilsonData[[#This Row],[Date of Admission]]</f>
        <v>11</v>
      </c>
      <c r="N99" t="s">
        <v>15</v>
      </c>
    </row>
    <row r="100" spans="1:14" x14ac:dyDescent="0.35">
      <c r="A100" t="s">
        <v>906</v>
      </c>
      <c r="B100">
        <v>38</v>
      </c>
      <c r="C100" t="str">
        <f>IF(WilsonData[[#This Row],[Age]]&lt;=18, "0-18", IF(WilsonData[[#This Row],[Age]]&lt;=35,"19-35", IF(WilsonData[[#This Row],[Age]]&lt;=50, "36-50",IF(WilsonData[[#This Row],[Age]]&lt;=65,"51-65", " 66+"))))</f>
        <v>36-50</v>
      </c>
      <c r="D100" t="s">
        <v>11</v>
      </c>
      <c r="E100" t="s">
        <v>34</v>
      </c>
      <c r="F100" t="s">
        <v>17</v>
      </c>
      <c r="G100" s="1">
        <v>45985</v>
      </c>
      <c r="H100" t="s">
        <v>36</v>
      </c>
      <c r="I100" s="2">
        <v>17312.715680722849</v>
      </c>
      <c r="J100">
        <v>442</v>
      </c>
      <c r="K100" t="s">
        <v>25</v>
      </c>
      <c r="L100" s="1">
        <v>45993</v>
      </c>
      <c r="M100" s="6">
        <f>WilsonData[[#This Row],[Discharge Date]]-WilsonData[[#This Row],[Date of Admission]]</f>
        <v>8</v>
      </c>
      <c r="N100" t="s">
        <v>22</v>
      </c>
    </row>
    <row r="101" spans="1:14" x14ac:dyDescent="0.35">
      <c r="A101" t="s">
        <v>907</v>
      </c>
      <c r="B101">
        <v>42</v>
      </c>
      <c r="C101" t="str">
        <f>IF(WilsonData[[#This Row],[Age]]&lt;=18, "0-18", IF(WilsonData[[#This Row],[Age]]&lt;=35,"19-35", IF(WilsonData[[#This Row],[Age]]&lt;=50, "36-50",IF(WilsonData[[#This Row],[Age]]&lt;=65,"51-65", " 66+"))))</f>
        <v>36-50</v>
      </c>
      <c r="D101" t="s">
        <v>11</v>
      </c>
      <c r="E101" t="s">
        <v>33</v>
      </c>
      <c r="F101" t="s">
        <v>32</v>
      </c>
      <c r="G101" s="1">
        <v>45872</v>
      </c>
      <c r="H101" t="s">
        <v>37</v>
      </c>
      <c r="I101" s="2">
        <v>45128.61868448554</v>
      </c>
      <c r="J101">
        <v>203</v>
      </c>
      <c r="K101" t="s">
        <v>25</v>
      </c>
      <c r="L101" s="1">
        <v>45884</v>
      </c>
      <c r="M101" s="6">
        <f>WilsonData[[#This Row],[Discharge Date]]-WilsonData[[#This Row],[Date of Admission]]</f>
        <v>12</v>
      </c>
      <c r="N101" t="s">
        <v>15</v>
      </c>
    </row>
    <row r="102" spans="1:14" x14ac:dyDescent="0.35">
      <c r="A102" t="s">
        <v>908</v>
      </c>
      <c r="B102">
        <v>21</v>
      </c>
      <c r="C102" t="str">
        <f>IF(WilsonData[[#This Row],[Age]]&lt;=18, "0-18", IF(WilsonData[[#This Row],[Age]]&lt;=35,"19-35", IF(WilsonData[[#This Row],[Age]]&lt;=50, "36-50",IF(WilsonData[[#This Row],[Age]]&lt;=65,"51-65", " 66+"))))</f>
        <v>19-35</v>
      </c>
      <c r="D102" t="s">
        <v>20</v>
      </c>
      <c r="E102" t="s">
        <v>34</v>
      </c>
      <c r="F102" t="s">
        <v>17</v>
      </c>
      <c r="G102" s="1">
        <v>45775</v>
      </c>
      <c r="H102" t="s">
        <v>37</v>
      </c>
      <c r="I102" s="2">
        <v>49577.493746851898</v>
      </c>
      <c r="J102">
        <v>438</v>
      </c>
      <c r="K102" t="s">
        <v>25</v>
      </c>
      <c r="L102" s="1">
        <v>45780</v>
      </c>
      <c r="M102" s="6">
        <f>WilsonData[[#This Row],[Discharge Date]]-WilsonData[[#This Row],[Date of Admission]]</f>
        <v>5</v>
      </c>
      <c r="N102" t="s">
        <v>22</v>
      </c>
    </row>
    <row r="103" spans="1:14" x14ac:dyDescent="0.35">
      <c r="A103" t="s">
        <v>909</v>
      </c>
      <c r="B103">
        <v>81</v>
      </c>
      <c r="C103" t="str">
        <f>IF(WilsonData[[#This Row],[Age]]&lt;=18, "0-18", IF(WilsonData[[#This Row],[Age]]&lt;=35,"19-35", IF(WilsonData[[#This Row],[Age]]&lt;=50, "36-50",IF(WilsonData[[#This Row],[Age]]&lt;=65,"51-65", " 66+"))))</f>
        <v xml:space="preserve"> 66+</v>
      </c>
      <c r="D103" t="s">
        <v>11</v>
      </c>
      <c r="E103" t="s">
        <v>12</v>
      </c>
      <c r="F103" t="s">
        <v>28</v>
      </c>
      <c r="G103" s="1">
        <v>45938</v>
      </c>
      <c r="H103" t="s">
        <v>37</v>
      </c>
      <c r="I103" s="2">
        <v>2504.204965769301</v>
      </c>
      <c r="J103">
        <v>225</v>
      </c>
      <c r="K103" t="s">
        <v>18</v>
      </c>
      <c r="L103" s="1">
        <v>45940</v>
      </c>
      <c r="M103" s="6">
        <f>WilsonData[[#This Row],[Discharge Date]]-WilsonData[[#This Row],[Date of Admission]]</f>
        <v>2</v>
      </c>
      <c r="N103" t="s">
        <v>15</v>
      </c>
    </row>
    <row r="104" spans="1:14" x14ac:dyDescent="0.35">
      <c r="A104" t="s">
        <v>910</v>
      </c>
      <c r="B104">
        <v>73</v>
      </c>
      <c r="C104" t="str">
        <f>IF(WilsonData[[#This Row],[Age]]&lt;=18, "0-18", IF(WilsonData[[#This Row],[Age]]&lt;=35,"19-35", IF(WilsonData[[#This Row],[Age]]&lt;=50, "36-50",IF(WilsonData[[#This Row],[Age]]&lt;=65,"51-65", " 66+"))))</f>
        <v xml:space="preserve"> 66+</v>
      </c>
      <c r="D104" t="s">
        <v>11</v>
      </c>
      <c r="E104" t="s">
        <v>34</v>
      </c>
      <c r="F104" t="s">
        <v>13</v>
      </c>
      <c r="G104" s="1">
        <v>45949</v>
      </c>
      <c r="H104" t="s">
        <v>39</v>
      </c>
      <c r="I104" s="2">
        <v>41191.887321978567</v>
      </c>
      <c r="J104">
        <v>348</v>
      </c>
      <c r="K104" t="s">
        <v>18</v>
      </c>
      <c r="L104" s="1">
        <v>45959</v>
      </c>
      <c r="M104" s="6">
        <f>WilsonData[[#This Row],[Discharge Date]]-WilsonData[[#This Row],[Date of Admission]]</f>
        <v>10</v>
      </c>
      <c r="N104" t="s">
        <v>22</v>
      </c>
    </row>
    <row r="105" spans="1:14" x14ac:dyDescent="0.35">
      <c r="A105" t="s">
        <v>911</v>
      </c>
      <c r="B105">
        <v>33</v>
      </c>
      <c r="C105" t="str">
        <f>IF(WilsonData[[#This Row],[Age]]&lt;=18, "0-18", IF(WilsonData[[#This Row],[Age]]&lt;=35,"19-35", IF(WilsonData[[#This Row],[Age]]&lt;=50, "36-50",IF(WilsonData[[#This Row],[Age]]&lt;=65,"51-65", " 66+"))))</f>
        <v>19-35</v>
      </c>
      <c r="D105" t="s">
        <v>20</v>
      </c>
      <c r="E105" t="s">
        <v>16</v>
      </c>
      <c r="F105" t="s">
        <v>17</v>
      </c>
      <c r="G105" s="1">
        <v>45999</v>
      </c>
      <c r="H105" t="s">
        <v>37</v>
      </c>
      <c r="I105" s="2">
        <v>30219.21558658464</v>
      </c>
      <c r="J105">
        <v>125</v>
      </c>
      <c r="K105" t="s">
        <v>18</v>
      </c>
      <c r="L105" s="1">
        <v>46010</v>
      </c>
      <c r="M105" s="6">
        <f>WilsonData[[#This Row],[Discharge Date]]-WilsonData[[#This Row],[Date of Admission]]</f>
        <v>11</v>
      </c>
      <c r="N105" t="s">
        <v>19</v>
      </c>
    </row>
    <row r="106" spans="1:14" x14ac:dyDescent="0.35">
      <c r="A106" t="s">
        <v>912</v>
      </c>
      <c r="B106">
        <v>48</v>
      </c>
      <c r="C106" t="str">
        <f>IF(WilsonData[[#This Row],[Age]]&lt;=18, "0-18", IF(WilsonData[[#This Row],[Age]]&lt;=35,"19-35", IF(WilsonData[[#This Row],[Age]]&lt;=50, "36-50",IF(WilsonData[[#This Row],[Age]]&lt;=65,"51-65", " 66+"))))</f>
        <v>36-50</v>
      </c>
      <c r="D106" t="s">
        <v>11</v>
      </c>
      <c r="E106" t="s">
        <v>34</v>
      </c>
      <c r="F106" t="s">
        <v>17</v>
      </c>
      <c r="G106" s="1">
        <v>45890</v>
      </c>
      <c r="H106" t="s">
        <v>37</v>
      </c>
      <c r="I106" s="2">
        <v>17223.815442985619</v>
      </c>
      <c r="J106">
        <v>467</v>
      </c>
      <c r="K106" t="s">
        <v>18</v>
      </c>
      <c r="L106" s="1">
        <v>45894</v>
      </c>
      <c r="M106" s="6">
        <f>WilsonData[[#This Row],[Discharge Date]]-WilsonData[[#This Row],[Date of Admission]]</f>
        <v>4</v>
      </c>
      <c r="N106" t="s">
        <v>15</v>
      </c>
    </row>
    <row r="107" spans="1:14" x14ac:dyDescent="0.35">
      <c r="A107" t="s">
        <v>913</v>
      </c>
      <c r="B107">
        <v>48</v>
      </c>
      <c r="C107" t="str">
        <f>IF(WilsonData[[#This Row],[Age]]&lt;=18, "0-18", IF(WilsonData[[#This Row],[Age]]&lt;=35,"19-35", IF(WilsonData[[#This Row],[Age]]&lt;=50, "36-50",IF(WilsonData[[#This Row],[Age]]&lt;=65,"51-65", " 66+"))))</f>
        <v>36-50</v>
      </c>
      <c r="D107" t="s">
        <v>20</v>
      </c>
      <c r="E107" t="s">
        <v>23</v>
      </c>
      <c r="F107" t="s">
        <v>13</v>
      </c>
      <c r="G107" s="1">
        <v>45807</v>
      </c>
      <c r="H107" t="s">
        <v>37</v>
      </c>
      <c r="I107" s="2">
        <v>32178.919828630289</v>
      </c>
      <c r="J107">
        <v>325</v>
      </c>
      <c r="K107" t="s">
        <v>25</v>
      </c>
      <c r="L107" s="1">
        <v>45816</v>
      </c>
      <c r="M107" s="6">
        <f>WilsonData[[#This Row],[Discharge Date]]-WilsonData[[#This Row],[Date of Admission]]</f>
        <v>9</v>
      </c>
      <c r="N107" t="s">
        <v>19</v>
      </c>
    </row>
    <row r="108" spans="1:14" x14ac:dyDescent="0.35">
      <c r="A108" t="s">
        <v>914</v>
      </c>
      <c r="B108">
        <v>66</v>
      </c>
      <c r="C108" t="str">
        <f>IF(WilsonData[[#This Row],[Age]]&lt;=18, "0-18", IF(WilsonData[[#This Row],[Age]]&lt;=35,"19-35", IF(WilsonData[[#This Row],[Age]]&lt;=50, "36-50",IF(WilsonData[[#This Row],[Age]]&lt;=65,"51-65", " 66+"))))</f>
        <v xml:space="preserve"> 66+</v>
      </c>
      <c r="D108" t="s">
        <v>11</v>
      </c>
      <c r="E108" t="s">
        <v>34</v>
      </c>
      <c r="F108" t="s">
        <v>28</v>
      </c>
      <c r="G108" s="1">
        <v>45756</v>
      </c>
      <c r="H108" t="s">
        <v>36</v>
      </c>
      <c r="I108" s="2">
        <v>33342.063686175992</v>
      </c>
      <c r="J108">
        <v>448</v>
      </c>
      <c r="K108" t="s">
        <v>25</v>
      </c>
      <c r="L108" s="1">
        <v>45758</v>
      </c>
      <c r="M108" s="6">
        <f>WilsonData[[#This Row],[Discharge Date]]-WilsonData[[#This Row],[Date of Admission]]</f>
        <v>2</v>
      </c>
      <c r="N108" t="s">
        <v>15</v>
      </c>
    </row>
    <row r="109" spans="1:14" x14ac:dyDescent="0.35">
      <c r="A109" t="s">
        <v>915</v>
      </c>
      <c r="B109">
        <v>52</v>
      </c>
      <c r="C109" t="str">
        <f>IF(WilsonData[[#This Row],[Age]]&lt;=18, "0-18", IF(WilsonData[[#This Row],[Age]]&lt;=35,"19-35", IF(WilsonData[[#This Row],[Age]]&lt;=50, "36-50",IF(WilsonData[[#This Row],[Age]]&lt;=65,"51-65", " 66+"))))</f>
        <v>51-65</v>
      </c>
      <c r="D109" t="s">
        <v>11</v>
      </c>
      <c r="E109" t="s">
        <v>33</v>
      </c>
      <c r="F109" t="s">
        <v>28</v>
      </c>
      <c r="G109" s="1">
        <v>45823</v>
      </c>
      <c r="H109" t="s">
        <v>36</v>
      </c>
      <c r="I109" s="2">
        <v>12242.96951293959</v>
      </c>
      <c r="J109">
        <v>288</v>
      </c>
      <c r="K109" t="s">
        <v>25</v>
      </c>
      <c r="L109" s="1">
        <v>45832</v>
      </c>
      <c r="M109" s="6">
        <f>WilsonData[[#This Row],[Discharge Date]]-WilsonData[[#This Row],[Date of Admission]]</f>
        <v>9</v>
      </c>
      <c r="N109" t="s">
        <v>15</v>
      </c>
    </row>
    <row r="110" spans="1:14" x14ac:dyDescent="0.35">
      <c r="A110" t="s">
        <v>916</v>
      </c>
      <c r="B110">
        <v>64</v>
      </c>
      <c r="C110" t="str">
        <f>IF(WilsonData[[#This Row],[Age]]&lt;=18, "0-18", IF(WilsonData[[#This Row],[Age]]&lt;=35,"19-35", IF(WilsonData[[#This Row],[Age]]&lt;=50, "36-50",IF(WilsonData[[#This Row],[Age]]&lt;=65,"51-65", " 66+"))))</f>
        <v>51-65</v>
      </c>
      <c r="D110" t="s">
        <v>20</v>
      </c>
      <c r="E110" t="s">
        <v>23</v>
      </c>
      <c r="F110" t="s">
        <v>13</v>
      </c>
      <c r="G110" s="1">
        <v>45807</v>
      </c>
      <c r="H110" t="s">
        <v>37</v>
      </c>
      <c r="I110" s="2">
        <v>49088.077953631189</v>
      </c>
      <c r="J110">
        <v>161</v>
      </c>
      <c r="K110" t="s">
        <v>18</v>
      </c>
      <c r="L110" s="1">
        <v>45816</v>
      </c>
      <c r="M110" s="6">
        <f>WilsonData[[#This Row],[Discharge Date]]-WilsonData[[#This Row],[Date of Admission]]</f>
        <v>9</v>
      </c>
      <c r="N110" t="s">
        <v>27</v>
      </c>
    </row>
    <row r="111" spans="1:14" x14ac:dyDescent="0.35">
      <c r="A111" t="s">
        <v>917</v>
      </c>
      <c r="B111">
        <v>72</v>
      </c>
      <c r="C111" t="str">
        <f>IF(WilsonData[[#This Row],[Age]]&lt;=18, "0-18", IF(WilsonData[[#This Row],[Age]]&lt;=35,"19-35", IF(WilsonData[[#This Row],[Age]]&lt;=50, "36-50",IF(WilsonData[[#This Row],[Age]]&lt;=65,"51-65", " 66+"))))</f>
        <v xml:space="preserve"> 66+</v>
      </c>
      <c r="D111" t="s">
        <v>20</v>
      </c>
      <c r="E111" t="s">
        <v>33</v>
      </c>
      <c r="F111" t="s">
        <v>30</v>
      </c>
      <c r="G111" s="1">
        <v>45708</v>
      </c>
      <c r="H111" t="s">
        <v>37</v>
      </c>
      <c r="I111" s="2">
        <v>1174.2596511194511</v>
      </c>
      <c r="J111">
        <v>228</v>
      </c>
      <c r="K111" t="s">
        <v>18</v>
      </c>
      <c r="L111" s="1">
        <v>45718</v>
      </c>
      <c r="M111" s="6">
        <f>WilsonData[[#This Row],[Discharge Date]]-WilsonData[[#This Row],[Date of Admission]]</f>
        <v>10</v>
      </c>
      <c r="N111" t="s">
        <v>22</v>
      </c>
    </row>
    <row r="112" spans="1:14" x14ac:dyDescent="0.35">
      <c r="A112" t="s">
        <v>918</v>
      </c>
      <c r="B112">
        <v>59</v>
      </c>
      <c r="C112" t="str">
        <f>IF(WilsonData[[#This Row],[Age]]&lt;=18, "0-18", IF(WilsonData[[#This Row],[Age]]&lt;=35,"19-35", IF(WilsonData[[#This Row],[Age]]&lt;=50, "36-50",IF(WilsonData[[#This Row],[Age]]&lt;=65,"51-65", " 66+"))))</f>
        <v>51-65</v>
      </c>
      <c r="D112" t="s">
        <v>20</v>
      </c>
      <c r="E112" t="s">
        <v>16</v>
      </c>
      <c r="F112" t="s">
        <v>30</v>
      </c>
      <c r="G112" s="1">
        <v>45676</v>
      </c>
      <c r="H112" t="s">
        <v>39</v>
      </c>
      <c r="I112" s="2">
        <v>44039.045414918473</v>
      </c>
      <c r="J112">
        <v>104</v>
      </c>
      <c r="K112" t="s">
        <v>18</v>
      </c>
      <c r="L112" s="1">
        <v>45682</v>
      </c>
      <c r="M112" s="6">
        <f>WilsonData[[#This Row],[Discharge Date]]-WilsonData[[#This Row],[Date of Admission]]</f>
        <v>6</v>
      </c>
      <c r="N112" t="s">
        <v>27</v>
      </c>
    </row>
    <row r="113" spans="1:14" x14ac:dyDescent="0.35">
      <c r="A113" t="s">
        <v>919</v>
      </c>
      <c r="B113">
        <v>19</v>
      </c>
      <c r="C113" t="str">
        <f>IF(WilsonData[[#This Row],[Age]]&lt;=18, "0-18", IF(WilsonData[[#This Row],[Age]]&lt;=35,"19-35", IF(WilsonData[[#This Row],[Age]]&lt;=50, "36-50",IF(WilsonData[[#This Row],[Age]]&lt;=65,"51-65", " 66+"))))</f>
        <v>19-35</v>
      </c>
      <c r="D113" t="s">
        <v>20</v>
      </c>
      <c r="E113" t="s">
        <v>16</v>
      </c>
      <c r="F113" t="s">
        <v>13</v>
      </c>
      <c r="G113" s="1">
        <v>45677</v>
      </c>
      <c r="H113" t="s">
        <v>36</v>
      </c>
      <c r="I113" s="2">
        <v>34841.526279194717</v>
      </c>
      <c r="J113">
        <v>227</v>
      </c>
      <c r="K113" t="s">
        <v>25</v>
      </c>
      <c r="L113" s="1">
        <v>45679</v>
      </c>
      <c r="M113" s="6">
        <f>WilsonData[[#This Row],[Discharge Date]]-WilsonData[[#This Row],[Date of Admission]]</f>
        <v>2</v>
      </c>
      <c r="N113" t="s">
        <v>22</v>
      </c>
    </row>
    <row r="114" spans="1:14" x14ac:dyDescent="0.35">
      <c r="A114" t="s">
        <v>920</v>
      </c>
      <c r="B114">
        <v>57</v>
      </c>
      <c r="C114" t="str">
        <f>IF(WilsonData[[#This Row],[Age]]&lt;=18, "0-18", IF(WilsonData[[#This Row],[Age]]&lt;=35,"19-35", IF(WilsonData[[#This Row],[Age]]&lt;=50, "36-50",IF(WilsonData[[#This Row],[Age]]&lt;=65,"51-65", " 66+"))))</f>
        <v>51-65</v>
      </c>
      <c r="D114" t="s">
        <v>11</v>
      </c>
      <c r="E114" t="s">
        <v>16</v>
      </c>
      <c r="F114" t="s">
        <v>17</v>
      </c>
      <c r="G114" s="1">
        <v>45764</v>
      </c>
      <c r="H114" t="s">
        <v>39</v>
      </c>
      <c r="I114" s="2">
        <v>24972.101953197671</v>
      </c>
      <c r="J114">
        <v>492</v>
      </c>
      <c r="K114" t="s">
        <v>25</v>
      </c>
      <c r="L114" s="1">
        <v>45774</v>
      </c>
      <c r="M114" s="6">
        <f>WilsonData[[#This Row],[Discharge Date]]-WilsonData[[#This Row],[Date of Admission]]</f>
        <v>10</v>
      </c>
      <c r="N114" t="s">
        <v>22</v>
      </c>
    </row>
    <row r="115" spans="1:14" x14ac:dyDescent="0.35">
      <c r="A115" t="s">
        <v>921</v>
      </c>
      <c r="B115">
        <v>37</v>
      </c>
      <c r="C115" t="str">
        <f>IF(WilsonData[[#This Row],[Age]]&lt;=18, "0-18", IF(WilsonData[[#This Row],[Age]]&lt;=35,"19-35", IF(WilsonData[[#This Row],[Age]]&lt;=50, "36-50",IF(WilsonData[[#This Row],[Age]]&lt;=65,"51-65", " 66+"))))</f>
        <v>36-50</v>
      </c>
      <c r="D115" t="s">
        <v>20</v>
      </c>
      <c r="E115" t="s">
        <v>12</v>
      </c>
      <c r="F115" t="s">
        <v>17</v>
      </c>
      <c r="G115" s="1">
        <v>45880</v>
      </c>
      <c r="H115" t="s">
        <v>39</v>
      </c>
      <c r="I115" s="2">
        <v>15528.373245424589</v>
      </c>
      <c r="J115">
        <v>309</v>
      </c>
      <c r="K115" t="s">
        <v>18</v>
      </c>
      <c r="L115" s="1">
        <v>45891</v>
      </c>
      <c r="M115" s="6">
        <f>WilsonData[[#This Row],[Discharge Date]]-WilsonData[[#This Row],[Date of Admission]]</f>
        <v>11</v>
      </c>
      <c r="N115" t="s">
        <v>27</v>
      </c>
    </row>
    <row r="116" spans="1:14" x14ac:dyDescent="0.35">
      <c r="A116" t="s">
        <v>922</v>
      </c>
      <c r="B116">
        <v>39</v>
      </c>
      <c r="C116" t="str">
        <f>IF(WilsonData[[#This Row],[Age]]&lt;=18, "0-18", IF(WilsonData[[#This Row],[Age]]&lt;=35,"19-35", IF(WilsonData[[#This Row],[Age]]&lt;=50, "36-50",IF(WilsonData[[#This Row],[Age]]&lt;=65,"51-65", " 66+"))))</f>
        <v>36-50</v>
      </c>
      <c r="D116" t="s">
        <v>20</v>
      </c>
      <c r="E116" t="s">
        <v>16</v>
      </c>
      <c r="F116" t="s">
        <v>28</v>
      </c>
      <c r="G116" s="1">
        <v>45690</v>
      </c>
      <c r="H116" t="s">
        <v>37</v>
      </c>
      <c r="I116" s="2">
        <v>45726.142715749193</v>
      </c>
      <c r="J116">
        <v>487</v>
      </c>
      <c r="K116" t="s">
        <v>25</v>
      </c>
      <c r="L116" s="1">
        <v>45702</v>
      </c>
      <c r="M116" s="6">
        <f>WilsonData[[#This Row],[Discharge Date]]-WilsonData[[#This Row],[Date of Admission]]</f>
        <v>12</v>
      </c>
      <c r="N116" t="s">
        <v>27</v>
      </c>
    </row>
    <row r="117" spans="1:14" x14ac:dyDescent="0.35">
      <c r="A117" t="s">
        <v>923</v>
      </c>
      <c r="B117">
        <v>83</v>
      </c>
      <c r="C117" t="str">
        <f>IF(WilsonData[[#This Row],[Age]]&lt;=18, "0-18", IF(WilsonData[[#This Row],[Age]]&lt;=35,"19-35", IF(WilsonData[[#This Row],[Age]]&lt;=50, "36-50",IF(WilsonData[[#This Row],[Age]]&lt;=65,"51-65", " 66+"))))</f>
        <v xml:space="preserve"> 66+</v>
      </c>
      <c r="D117" t="s">
        <v>11</v>
      </c>
      <c r="E117" t="s">
        <v>26</v>
      </c>
      <c r="F117" t="s">
        <v>17</v>
      </c>
      <c r="G117" s="1">
        <v>45684</v>
      </c>
      <c r="H117" t="s">
        <v>37</v>
      </c>
      <c r="I117" s="2">
        <v>11734.61351509644</v>
      </c>
      <c r="J117">
        <v>206</v>
      </c>
      <c r="K117" t="s">
        <v>18</v>
      </c>
      <c r="L117" s="1">
        <v>45698</v>
      </c>
      <c r="M117" s="6">
        <f>WilsonData[[#This Row],[Discharge Date]]-WilsonData[[#This Row],[Date of Admission]]</f>
        <v>14</v>
      </c>
      <c r="N117" t="s">
        <v>19</v>
      </c>
    </row>
    <row r="118" spans="1:14" x14ac:dyDescent="0.35">
      <c r="A118" t="s">
        <v>924</v>
      </c>
      <c r="B118">
        <v>70</v>
      </c>
      <c r="C118" t="str">
        <f>IF(WilsonData[[#This Row],[Age]]&lt;=18, "0-18", IF(WilsonData[[#This Row],[Age]]&lt;=35,"19-35", IF(WilsonData[[#This Row],[Age]]&lt;=50, "36-50",IF(WilsonData[[#This Row],[Age]]&lt;=65,"51-65", " 66+"))))</f>
        <v xml:space="preserve"> 66+</v>
      </c>
      <c r="D118" t="s">
        <v>20</v>
      </c>
      <c r="E118" t="s">
        <v>33</v>
      </c>
      <c r="F118" t="s">
        <v>28</v>
      </c>
      <c r="G118" s="1">
        <v>45934</v>
      </c>
      <c r="H118" t="s">
        <v>37</v>
      </c>
      <c r="I118" s="2">
        <v>36521.864234060064</v>
      </c>
      <c r="J118">
        <v>345</v>
      </c>
      <c r="K118" t="s">
        <v>18</v>
      </c>
      <c r="L118" s="1">
        <v>45938</v>
      </c>
      <c r="M118" s="6">
        <f>WilsonData[[#This Row],[Discharge Date]]-WilsonData[[#This Row],[Date of Admission]]</f>
        <v>4</v>
      </c>
      <c r="N118" t="s">
        <v>31</v>
      </c>
    </row>
    <row r="119" spans="1:14" x14ac:dyDescent="0.35">
      <c r="A119" t="s">
        <v>925</v>
      </c>
      <c r="B119">
        <v>76</v>
      </c>
      <c r="C119" t="str">
        <f>IF(WilsonData[[#This Row],[Age]]&lt;=18, "0-18", IF(WilsonData[[#This Row],[Age]]&lt;=35,"19-35", IF(WilsonData[[#This Row],[Age]]&lt;=50, "36-50",IF(WilsonData[[#This Row],[Age]]&lt;=65,"51-65", " 66+"))))</f>
        <v xml:space="preserve"> 66+</v>
      </c>
      <c r="D119" t="s">
        <v>11</v>
      </c>
      <c r="E119" t="s">
        <v>23</v>
      </c>
      <c r="F119" t="s">
        <v>30</v>
      </c>
      <c r="G119" s="1">
        <v>45941</v>
      </c>
      <c r="H119" t="s">
        <v>37</v>
      </c>
      <c r="I119" s="2">
        <v>19252.864675574579</v>
      </c>
      <c r="J119">
        <v>297</v>
      </c>
      <c r="K119" t="s">
        <v>25</v>
      </c>
      <c r="L119" s="1">
        <v>45947</v>
      </c>
      <c r="M119" s="6">
        <f>WilsonData[[#This Row],[Discharge Date]]-WilsonData[[#This Row],[Date of Admission]]</f>
        <v>6</v>
      </c>
      <c r="N119" t="s">
        <v>27</v>
      </c>
    </row>
    <row r="120" spans="1:14" x14ac:dyDescent="0.35">
      <c r="A120" t="s">
        <v>926</v>
      </c>
      <c r="B120">
        <v>19</v>
      </c>
      <c r="C120" t="str">
        <f>IF(WilsonData[[#This Row],[Age]]&lt;=18, "0-18", IF(WilsonData[[#This Row],[Age]]&lt;=35,"19-35", IF(WilsonData[[#This Row],[Age]]&lt;=50, "36-50",IF(WilsonData[[#This Row],[Age]]&lt;=65,"51-65", " 66+"))))</f>
        <v>19-35</v>
      </c>
      <c r="D120" t="s">
        <v>11</v>
      </c>
      <c r="E120" t="s">
        <v>33</v>
      </c>
      <c r="F120" t="s">
        <v>24</v>
      </c>
      <c r="G120" s="1">
        <v>45915</v>
      </c>
      <c r="H120" t="s">
        <v>39</v>
      </c>
      <c r="I120" s="2">
        <v>8537.2245416379938</v>
      </c>
      <c r="J120">
        <v>376</v>
      </c>
      <c r="K120" t="s">
        <v>25</v>
      </c>
      <c r="L120" s="1">
        <v>45917</v>
      </c>
      <c r="M120" s="6">
        <f>WilsonData[[#This Row],[Discharge Date]]-WilsonData[[#This Row],[Date of Admission]]</f>
        <v>2</v>
      </c>
      <c r="N120" t="s">
        <v>22</v>
      </c>
    </row>
    <row r="121" spans="1:14" x14ac:dyDescent="0.35">
      <c r="A121" t="s">
        <v>927</v>
      </c>
      <c r="B121">
        <v>19</v>
      </c>
      <c r="C121" t="str">
        <f>IF(WilsonData[[#This Row],[Age]]&lt;=18, "0-18", IF(WilsonData[[#This Row],[Age]]&lt;=35,"19-35", IF(WilsonData[[#This Row],[Age]]&lt;=50, "36-50",IF(WilsonData[[#This Row],[Age]]&lt;=65,"51-65", " 66+"))))</f>
        <v>19-35</v>
      </c>
      <c r="D121" t="s">
        <v>11</v>
      </c>
      <c r="E121" t="s">
        <v>26</v>
      </c>
      <c r="F121" t="s">
        <v>30</v>
      </c>
      <c r="G121" s="1">
        <v>45752</v>
      </c>
      <c r="H121" t="s">
        <v>39</v>
      </c>
      <c r="I121" s="2">
        <v>40147.11959375396</v>
      </c>
      <c r="J121">
        <v>365</v>
      </c>
      <c r="K121" t="s">
        <v>25</v>
      </c>
      <c r="L121" s="1">
        <v>45753</v>
      </c>
      <c r="M121" s="6">
        <f>WilsonData[[#This Row],[Discharge Date]]-WilsonData[[#This Row],[Date of Admission]]</f>
        <v>1</v>
      </c>
      <c r="N121" t="s">
        <v>15</v>
      </c>
    </row>
    <row r="122" spans="1:14" x14ac:dyDescent="0.35">
      <c r="A122" t="s">
        <v>928</v>
      </c>
      <c r="B122">
        <v>47</v>
      </c>
      <c r="C122" t="str">
        <f>IF(WilsonData[[#This Row],[Age]]&lt;=18, "0-18", IF(WilsonData[[#This Row],[Age]]&lt;=35,"19-35", IF(WilsonData[[#This Row],[Age]]&lt;=50, "36-50",IF(WilsonData[[#This Row],[Age]]&lt;=65,"51-65", " 66+"))))</f>
        <v>36-50</v>
      </c>
      <c r="D122" t="s">
        <v>11</v>
      </c>
      <c r="E122" t="s">
        <v>34</v>
      </c>
      <c r="F122" t="s">
        <v>32</v>
      </c>
      <c r="G122" s="1">
        <v>45988</v>
      </c>
      <c r="H122" t="s">
        <v>37</v>
      </c>
      <c r="I122" s="2">
        <v>38078.95631060782</v>
      </c>
      <c r="J122">
        <v>101</v>
      </c>
      <c r="K122" t="s">
        <v>25</v>
      </c>
      <c r="L122" s="1">
        <v>45996</v>
      </c>
      <c r="M122" s="6">
        <f>WilsonData[[#This Row],[Discharge Date]]-WilsonData[[#This Row],[Date of Admission]]</f>
        <v>8</v>
      </c>
      <c r="N122" t="s">
        <v>27</v>
      </c>
    </row>
    <row r="123" spans="1:14" x14ac:dyDescent="0.35">
      <c r="A123" t="s">
        <v>929</v>
      </c>
      <c r="B123">
        <v>32</v>
      </c>
      <c r="C123" t="str">
        <f>IF(WilsonData[[#This Row],[Age]]&lt;=18, "0-18", IF(WilsonData[[#This Row],[Age]]&lt;=35,"19-35", IF(WilsonData[[#This Row],[Age]]&lt;=50, "36-50",IF(WilsonData[[#This Row],[Age]]&lt;=65,"51-65", " 66+"))))</f>
        <v>19-35</v>
      </c>
      <c r="D123" t="s">
        <v>11</v>
      </c>
      <c r="E123" t="s">
        <v>21</v>
      </c>
      <c r="F123" t="s">
        <v>32</v>
      </c>
      <c r="G123" s="1">
        <v>45823</v>
      </c>
      <c r="H123" t="s">
        <v>39</v>
      </c>
      <c r="I123" s="2">
        <v>29400.900403814328</v>
      </c>
      <c r="J123">
        <v>162</v>
      </c>
      <c r="K123" t="s">
        <v>18</v>
      </c>
      <c r="L123" s="1">
        <v>45824</v>
      </c>
      <c r="M123" s="6">
        <f>WilsonData[[#This Row],[Discharge Date]]-WilsonData[[#This Row],[Date of Admission]]</f>
        <v>1</v>
      </c>
      <c r="N123" t="s">
        <v>27</v>
      </c>
    </row>
    <row r="124" spans="1:14" x14ac:dyDescent="0.35">
      <c r="A124" t="s">
        <v>930</v>
      </c>
      <c r="B124">
        <v>71</v>
      </c>
      <c r="C124" t="str">
        <f>IF(WilsonData[[#This Row],[Age]]&lt;=18, "0-18", IF(WilsonData[[#This Row],[Age]]&lt;=35,"19-35", IF(WilsonData[[#This Row],[Age]]&lt;=50, "36-50",IF(WilsonData[[#This Row],[Age]]&lt;=65,"51-65", " 66+"))))</f>
        <v xml:space="preserve"> 66+</v>
      </c>
      <c r="D124" t="s">
        <v>20</v>
      </c>
      <c r="E124" t="s">
        <v>26</v>
      </c>
      <c r="F124" t="s">
        <v>32</v>
      </c>
      <c r="G124" s="1">
        <v>45948</v>
      </c>
      <c r="H124" t="s">
        <v>39</v>
      </c>
      <c r="I124" s="2">
        <v>46455.543023351252</v>
      </c>
      <c r="J124">
        <v>341</v>
      </c>
      <c r="K124" t="s">
        <v>25</v>
      </c>
      <c r="L124" s="1">
        <v>45960</v>
      </c>
      <c r="M124" s="6">
        <f>WilsonData[[#This Row],[Discharge Date]]-WilsonData[[#This Row],[Date of Admission]]</f>
        <v>12</v>
      </c>
      <c r="N124" t="s">
        <v>31</v>
      </c>
    </row>
    <row r="125" spans="1:14" x14ac:dyDescent="0.35">
      <c r="A125" t="s">
        <v>931</v>
      </c>
      <c r="B125">
        <v>47</v>
      </c>
      <c r="C125" t="str">
        <f>IF(WilsonData[[#This Row],[Age]]&lt;=18, "0-18", IF(WilsonData[[#This Row],[Age]]&lt;=35,"19-35", IF(WilsonData[[#This Row],[Age]]&lt;=50, "36-50",IF(WilsonData[[#This Row],[Age]]&lt;=65,"51-65", " 66+"))))</f>
        <v>36-50</v>
      </c>
      <c r="D125" t="s">
        <v>20</v>
      </c>
      <c r="E125" t="s">
        <v>23</v>
      </c>
      <c r="F125" t="s">
        <v>30</v>
      </c>
      <c r="G125" s="1">
        <v>45855</v>
      </c>
      <c r="H125" t="s">
        <v>37</v>
      </c>
      <c r="I125" s="2">
        <v>5689.9941503376622</v>
      </c>
      <c r="J125">
        <v>256</v>
      </c>
      <c r="K125" t="s">
        <v>25</v>
      </c>
      <c r="L125" s="1">
        <v>45869</v>
      </c>
      <c r="M125" s="6">
        <f>WilsonData[[#This Row],[Discharge Date]]-WilsonData[[#This Row],[Date of Admission]]</f>
        <v>14</v>
      </c>
      <c r="N125" t="s">
        <v>22</v>
      </c>
    </row>
    <row r="126" spans="1:14" x14ac:dyDescent="0.35">
      <c r="A126" t="s">
        <v>932</v>
      </c>
      <c r="B126">
        <v>28</v>
      </c>
      <c r="C126" t="str">
        <f>IF(WilsonData[[#This Row],[Age]]&lt;=18, "0-18", IF(WilsonData[[#This Row],[Age]]&lt;=35,"19-35", IF(WilsonData[[#This Row],[Age]]&lt;=50, "36-50",IF(WilsonData[[#This Row],[Age]]&lt;=65,"51-65", " 66+"))))</f>
        <v>19-35</v>
      </c>
      <c r="D126" t="s">
        <v>20</v>
      </c>
      <c r="E126" t="s">
        <v>16</v>
      </c>
      <c r="F126" t="s">
        <v>24</v>
      </c>
      <c r="G126" s="1">
        <v>45873</v>
      </c>
      <c r="H126" t="s">
        <v>39</v>
      </c>
      <c r="I126" s="2">
        <v>7297.4709818187775</v>
      </c>
      <c r="J126">
        <v>442</v>
      </c>
      <c r="K126" t="s">
        <v>18</v>
      </c>
      <c r="L126" s="1">
        <v>45880</v>
      </c>
      <c r="M126" s="6">
        <f>WilsonData[[#This Row],[Discharge Date]]-WilsonData[[#This Row],[Date of Admission]]</f>
        <v>7</v>
      </c>
      <c r="N126" t="s">
        <v>19</v>
      </c>
    </row>
    <row r="127" spans="1:14" x14ac:dyDescent="0.35">
      <c r="A127" t="s">
        <v>933</v>
      </c>
      <c r="B127">
        <v>48</v>
      </c>
      <c r="C127" t="str">
        <f>IF(WilsonData[[#This Row],[Age]]&lt;=18, "0-18", IF(WilsonData[[#This Row],[Age]]&lt;=35,"19-35", IF(WilsonData[[#This Row],[Age]]&lt;=50, "36-50",IF(WilsonData[[#This Row],[Age]]&lt;=65,"51-65", " 66+"))))</f>
        <v>36-50</v>
      </c>
      <c r="D127" t="s">
        <v>20</v>
      </c>
      <c r="E127" t="s">
        <v>23</v>
      </c>
      <c r="F127" t="s">
        <v>17</v>
      </c>
      <c r="G127" s="1">
        <v>45919</v>
      </c>
      <c r="H127" t="s">
        <v>37</v>
      </c>
      <c r="I127" s="2">
        <v>16419.093707440948</v>
      </c>
      <c r="J127">
        <v>114</v>
      </c>
      <c r="K127" t="s">
        <v>25</v>
      </c>
      <c r="L127" s="1">
        <v>45933</v>
      </c>
      <c r="M127" s="6">
        <f>WilsonData[[#This Row],[Discharge Date]]-WilsonData[[#This Row],[Date of Admission]]</f>
        <v>14</v>
      </c>
      <c r="N127" t="s">
        <v>27</v>
      </c>
    </row>
    <row r="128" spans="1:14" x14ac:dyDescent="0.35">
      <c r="A128" t="s">
        <v>934</v>
      </c>
      <c r="B128">
        <v>58</v>
      </c>
      <c r="C128" t="str">
        <f>IF(WilsonData[[#This Row],[Age]]&lt;=18, "0-18", IF(WilsonData[[#This Row],[Age]]&lt;=35,"19-35", IF(WilsonData[[#This Row],[Age]]&lt;=50, "36-50",IF(WilsonData[[#This Row],[Age]]&lt;=65,"51-65", " 66+"))))</f>
        <v>51-65</v>
      </c>
      <c r="D128" t="s">
        <v>20</v>
      </c>
      <c r="E128" t="s">
        <v>26</v>
      </c>
      <c r="F128" t="s">
        <v>28</v>
      </c>
      <c r="G128" s="1">
        <v>45810</v>
      </c>
      <c r="H128" t="s">
        <v>39</v>
      </c>
      <c r="I128" s="2">
        <v>26001.63339521633</v>
      </c>
      <c r="J128">
        <v>162</v>
      </c>
      <c r="K128" t="s">
        <v>25</v>
      </c>
      <c r="L128" s="1">
        <v>45818</v>
      </c>
      <c r="M128" s="6">
        <f>WilsonData[[#This Row],[Discharge Date]]-WilsonData[[#This Row],[Date of Admission]]</f>
        <v>8</v>
      </c>
      <c r="N128" t="s">
        <v>19</v>
      </c>
    </row>
    <row r="129" spans="1:14" x14ac:dyDescent="0.35">
      <c r="A129" t="s">
        <v>935</v>
      </c>
      <c r="B129">
        <v>65</v>
      </c>
      <c r="C129" t="str">
        <f>IF(WilsonData[[#This Row],[Age]]&lt;=18, "0-18", IF(WilsonData[[#This Row],[Age]]&lt;=35,"19-35", IF(WilsonData[[#This Row],[Age]]&lt;=50, "36-50",IF(WilsonData[[#This Row],[Age]]&lt;=65,"51-65", " 66+"))))</f>
        <v>51-65</v>
      </c>
      <c r="D129" t="s">
        <v>11</v>
      </c>
      <c r="E129" t="s">
        <v>26</v>
      </c>
      <c r="F129" t="s">
        <v>24</v>
      </c>
      <c r="G129" s="1">
        <v>45930</v>
      </c>
      <c r="H129" t="s">
        <v>39</v>
      </c>
      <c r="I129" s="2">
        <v>24994.77334558095</v>
      </c>
      <c r="J129">
        <v>111</v>
      </c>
      <c r="K129" t="s">
        <v>25</v>
      </c>
      <c r="L129" s="1">
        <v>45939</v>
      </c>
      <c r="M129" s="6">
        <f>WilsonData[[#This Row],[Discharge Date]]-WilsonData[[#This Row],[Date of Admission]]</f>
        <v>9</v>
      </c>
      <c r="N129" t="s">
        <v>19</v>
      </c>
    </row>
    <row r="130" spans="1:14" x14ac:dyDescent="0.35">
      <c r="A130" t="s">
        <v>936</v>
      </c>
      <c r="B130">
        <v>65</v>
      </c>
      <c r="C130" t="str">
        <f>IF(WilsonData[[#This Row],[Age]]&lt;=18, "0-18", IF(WilsonData[[#This Row],[Age]]&lt;=35,"19-35", IF(WilsonData[[#This Row],[Age]]&lt;=50, "36-50",IF(WilsonData[[#This Row],[Age]]&lt;=65,"51-65", " 66+"))))</f>
        <v>51-65</v>
      </c>
      <c r="D130" t="s">
        <v>20</v>
      </c>
      <c r="E130" t="s">
        <v>33</v>
      </c>
      <c r="F130" t="s">
        <v>28</v>
      </c>
      <c r="G130" s="1">
        <v>46018</v>
      </c>
      <c r="H130" t="s">
        <v>39</v>
      </c>
      <c r="I130" s="2">
        <v>41521.996402825112</v>
      </c>
      <c r="J130">
        <v>256</v>
      </c>
      <c r="K130" t="s">
        <v>25</v>
      </c>
      <c r="L130" s="1">
        <v>46021</v>
      </c>
      <c r="M130" s="6">
        <f>WilsonData[[#This Row],[Discharge Date]]-WilsonData[[#This Row],[Date of Admission]]</f>
        <v>3</v>
      </c>
      <c r="N130" t="s">
        <v>15</v>
      </c>
    </row>
    <row r="131" spans="1:14" x14ac:dyDescent="0.35">
      <c r="A131" t="s">
        <v>937</v>
      </c>
      <c r="B131">
        <v>23</v>
      </c>
      <c r="C131" t="str">
        <f>IF(WilsonData[[#This Row],[Age]]&lt;=18, "0-18", IF(WilsonData[[#This Row],[Age]]&lt;=35,"19-35", IF(WilsonData[[#This Row],[Age]]&lt;=50, "36-50",IF(WilsonData[[#This Row],[Age]]&lt;=65,"51-65", " 66+"))))</f>
        <v>19-35</v>
      </c>
      <c r="D131" t="s">
        <v>20</v>
      </c>
      <c r="E131" t="s">
        <v>23</v>
      </c>
      <c r="F131" t="s">
        <v>13</v>
      </c>
      <c r="G131" s="1">
        <v>45929</v>
      </c>
      <c r="H131" t="s">
        <v>37</v>
      </c>
      <c r="I131" s="2">
        <v>3859.8851801063179</v>
      </c>
      <c r="J131">
        <v>474</v>
      </c>
      <c r="K131" t="s">
        <v>18</v>
      </c>
      <c r="L131" s="1">
        <v>45940</v>
      </c>
      <c r="M131" s="6">
        <f>WilsonData[[#This Row],[Discharge Date]]-WilsonData[[#This Row],[Date of Admission]]</f>
        <v>11</v>
      </c>
      <c r="N131" t="s">
        <v>22</v>
      </c>
    </row>
    <row r="132" spans="1:14" x14ac:dyDescent="0.35">
      <c r="A132" t="s">
        <v>938</v>
      </c>
      <c r="B132">
        <v>61</v>
      </c>
      <c r="C132" t="str">
        <f>IF(WilsonData[[#This Row],[Age]]&lt;=18, "0-18", IF(WilsonData[[#This Row],[Age]]&lt;=35,"19-35", IF(WilsonData[[#This Row],[Age]]&lt;=50, "36-50",IF(WilsonData[[#This Row],[Age]]&lt;=65,"51-65", " 66+"))))</f>
        <v>51-65</v>
      </c>
      <c r="D132" t="s">
        <v>11</v>
      </c>
      <c r="E132" t="s">
        <v>34</v>
      </c>
      <c r="F132" t="s">
        <v>13</v>
      </c>
      <c r="G132" s="1">
        <v>45727</v>
      </c>
      <c r="H132" t="s">
        <v>37</v>
      </c>
      <c r="I132" s="2">
        <v>24273.48737879414</v>
      </c>
      <c r="J132">
        <v>312</v>
      </c>
      <c r="K132" t="s">
        <v>25</v>
      </c>
      <c r="L132" s="1">
        <v>45733</v>
      </c>
      <c r="M132" s="6">
        <f>WilsonData[[#This Row],[Discharge Date]]-WilsonData[[#This Row],[Date of Admission]]</f>
        <v>6</v>
      </c>
      <c r="N132" t="s">
        <v>31</v>
      </c>
    </row>
    <row r="133" spans="1:14" x14ac:dyDescent="0.35">
      <c r="A133" t="s">
        <v>939</v>
      </c>
      <c r="B133">
        <v>45</v>
      </c>
      <c r="C133" t="str">
        <f>IF(WilsonData[[#This Row],[Age]]&lt;=18, "0-18", IF(WilsonData[[#This Row],[Age]]&lt;=35,"19-35", IF(WilsonData[[#This Row],[Age]]&lt;=50, "36-50",IF(WilsonData[[#This Row],[Age]]&lt;=65,"51-65", " 66+"))))</f>
        <v>36-50</v>
      </c>
      <c r="D133" t="s">
        <v>20</v>
      </c>
      <c r="E133" t="s">
        <v>12</v>
      </c>
      <c r="F133" t="s">
        <v>13</v>
      </c>
      <c r="G133" s="1">
        <v>45707</v>
      </c>
      <c r="H133" t="s">
        <v>37</v>
      </c>
      <c r="I133" s="2">
        <v>28406.33718004428</v>
      </c>
      <c r="J133">
        <v>310</v>
      </c>
      <c r="K133" t="s">
        <v>25</v>
      </c>
      <c r="L133" s="1">
        <v>45718</v>
      </c>
      <c r="M133" s="6">
        <f>WilsonData[[#This Row],[Discharge Date]]-WilsonData[[#This Row],[Date of Admission]]</f>
        <v>11</v>
      </c>
      <c r="N133" t="s">
        <v>31</v>
      </c>
    </row>
    <row r="134" spans="1:14" x14ac:dyDescent="0.35">
      <c r="A134" t="s">
        <v>940</v>
      </c>
      <c r="B134">
        <v>52</v>
      </c>
      <c r="C134" t="str">
        <f>IF(WilsonData[[#This Row],[Age]]&lt;=18, "0-18", IF(WilsonData[[#This Row],[Age]]&lt;=35,"19-35", IF(WilsonData[[#This Row],[Age]]&lt;=50, "36-50",IF(WilsonData[[#This Row],[Age]]&lt;=65,"51-65", " 66+"))))</f>
        <v>51-65</v>
      </c>
      <c r="D134" t="s">
        <v>11</v>
      </c>
      <c r="E134" t="s">
        <v>33</v>
      </c>
      <c r="F134" t="s">
        <v>24</v>
      </c>
      <c r="G134" s="1">
        <v>45807</v>
      </c>
      <c r="H134" t="s">
        <v>39</v>
      </c>
      <c r="I134" s="2">
        <v>33038.502738682677</v>
      </c>
      <c r="J134">
        <v>454</v>
      </c>
      <c r="K134" t="s">
        <v>25</v>
      </c>
      <c r="L134" s="1">
        <v>45815</v>
      </c>
      <c r="M134" s="6">
        <f>WilsonData[[#This Row],[Discharge Date]]-WilsonData[[#This Row],[Date of Admission]]</f>
        <v>8</v>
      </c>
      <c r="N134" t="s">
        <v>15</v>
      </c>
    </row>
    <row r="135" spans="1:14" x14ac:dyDescent="0.35">
      <c r="A135" t="s">
        <v>941</v>
      </c>
      <c r="B135">
        <v>68</v>
      </c>
      <c r="C135" t="str">
        <f>IF(WilsonData[[#This Row],[Age]]&lt;=18, "0-18", IF(WilsonData[[#This Row],[Age]]&lt;=35,"19-35", IF(WilsonData[[#This Row],[Age]]&lt;=50, "36-50",IF(WilsonData[[#This Row],[Age]]&lt;=65,"51-65", " 66+"))))</f>
        <v xml:space="preserve"> 66+</v>
      </c>
      <c r="D135" t="s">
        <v>11</v>
      </c>
      <c r="E135" t="s">
        <v>26</v>
      </c>
      <c r="F135" t="s">
        <v>30</v>
      </c>
      <c r="G135" s="1">
        <v>45996</v>
      </c>
      <c r="H135" t="s">
        <v>39</v>
      </c>
      <c r="I135" s="2">
        <v>42227.726101736138</v>
      </c>
      <c r="J135">
        <v>434</v>
      </c>
      <c r="K135" t="s">
        <v>18</v>
      </c>
      <c r="L135" s="1">
        <v>46000</v>
      </c>
      <c r="M135" s="6">
        <f>WilsonData[[#This Row],[Discharge Date]]-WilsonData[[#This Row],[Date of Admission]]</f>
        <v>4</v>
      </c>
      <c r="N135" t="s">
        <v>22</v>
      </c>
    </row>
    <row r="136" spans="1:14" x14ac:dyDescent="0.35">
      <c r="A136" t="s">
        <v>942</v>
      </c>
      <c r="B136">
        <v>59</v>
      </c>
      <c r="C136" t="str">
        <f>IF(WilsonData[[#This Row],[Age]]&lt;=18, "0-18", IF(WilsonData[[#This Row],[Age]]&lt;=35,"19-35", IF(WilsonData[[#This Row],[Age]]&lt;=50, "36-50",IF(WilsonData[[#This Row],[Age]]&lt;=65,"51-65", " 66+"))))</f>
        <v>51-65</v>
      </c>
      <c r="D136" t="s">
        <v>11</v>
      </c>
      <c r="E136" t="s">
        <v>12</v>
      </c>
      <c r="F136" t="s">
        <v>13</v>
      </c>
      <c r="G136" s="1">
        <v>45893</v>
      </c>
      <c r="H136" t="s">
        <v>37</v>
      </c>
      <c r="I136" s="2">
        <v>24057.29659438031</v>
      </c>
      <c r="J136">
        <v>181</v>
      </c>
      <c r="K136" t="s">
        <v>18</v>
      </c>
      <c r="L136" s="1">
        <v>45896</v>
      </c>
      <c r="M136" s="6">
        <f>WilsonData[[#This Row],[Discharge Date]]-WilsonData[[#This Row],[Date of Admission]]</f>
        <v>3</v>
      </c>
      <c r="N136" t="s">
        <v>22</v>
      </c>
    </row>
    <row r="137" spans="1:14" x14ac:dyDescent="0.35">
      <c r="A137" t="s">
        <v>943</v>
      </c>
      <c r="B137">
        <v>51</v>
      </c>
      <c r="C137" t="str">
        <f>IF(WilsonData[[#This Row],[Age]]&lt;=18, "0-18", IF(WilsonData[[#This Row],[Age]]&lt;=35,"19-35", IF(WilsonData[[#This Row],[Age]]&lt;=50, "36-50",IF(WilsonData[[#This Row],[Age]]&lt;=65,"51-65", " 66+"))))</f>
        <v>51-65</v>
      </c>
      <c r="D137" t="s">
        <v>11</v>
      </c>
      <c r="E137" t="s">
        <v>21</v>
      </c>
      <c r="F137" t="s">
        <v>24</v>
      </c>
      <c r="G137" s="1">
        <v>45855</v>
      </c>
      <c r="H137" t="s">
        <v>37</v>
      </c>
      <c r="I137" s="2">
        <v>46743.776680204028</v>
      </c>
      <c r="J137">
        <v>324</v>
      </c>
      <c r="K137" t="s">
        <v>18</v>
      </c>
      <c r="L137" s="1">
        <v>45858</v>
      </c>
      <c r="M137" s="6">
        <f>WilsonData[[#This Row],[Discharge Date]]-WilsonData[[#This Row],[Date of Admission]]</f>
        <v>3</v>
      </c>
      <c r="N137" t="s">
        <v>15</v>
      </c>
    </row>
    <row r="138" spans="1:14" x14ac:dyDescent="0.35">
      <c r="A138" t="s">
        <v>944</v>
      </c>
      <c r="B138">
        <v>20</v>
      </c>
      <c r="C138" t="str">
        <f>IF(WilsonData[[#This Row],[Age]]&lt;=18, "0-18", IF(WilsonData[[#This Row],[Age]]&lt;=35,"19-35", IF(WilsonData[[#This Row],[Age]]&lt;=50, "36-50",IF(WilsonData[[#This Row],[Age]]&lt;=65,"51-65", " 66+"))))</f>
        <v>19-35</v>
      </c>
      <c r="D138" t="s">
        <v>11</v>
      </c>
      <c r="E138" t="s">
        <v>21</v>
      </c>
      <c r="F138" t="s">
        <v>13</v>
      </c>
      <c r="G138" s="1">
        <v>45704</v>
      </c>
      <c r="H138" t="s">
        <v>37</v>
      </c>
      <c r="I138" s="2">
        <v>6259.4234207235468</v>
      </c>
      <c r="J138">
        <v>214</v>
      </c>
      <c r="K138" t="s">
        <v>25</v>
      </c>
      <c r="L138" s="1">
        <v>45715</v>
      </c>
      <c r="M138" s="6">
        <f>WilsonData[[#This Row],[Discharge Date]]-WilsonData[[#This Row],[Date of Admission]]</f>
        <v>11</v>
      </c>
      <c r="N138" t="s">
        <v>27</v>
      </c>
    </row>
    <row r="139" spans="1:14" x14ac:dyDescent="0.35">
      <c r="A139" t="s">
        <v>945</v>
      </c>
      <c r="B139">
        <v>49</v>
      </c>
      <c r="C139" t="str">
        <f>IF(WilsonData[[#This Row],[Age]]&lt;=18, "0-18", IF(WilsonData[[#This Row],[Age]]&lt;=35,"19-35", IF(WilsonData[[#This Row],[Age]]&lt;=50, "36-50",IF(WilsonData[[#This Row],[Age]]&lt;=65,"51-65", " 66+"))))</f>
        <v>36-50</v>
      </c>
      <c r="D139" t="s">
        <v>11</v>
      </c>
      <c r="E139" t="s">
        <v>29</v>
      </c>
      <c r="F139" t="s">
        <v>28</v>
      </c>
      <c r="G139" s="1">
        <v>45851</v>
      </c>
      <c r="H139" t="s">
        <v>39</v>
      </c>
      <c r="I139" s="2">
        <v>15652.00792330142</v>
      </c>
      <c r="J139">
        <v>114</v>
      </c>
      <c r="K139" t="s">
        <v>25</v>
      </c>
      <c r="L139" s="1">
        <v>45852</v>
      </c>
      <c r="M139" s="6">
        <f>WilsonData[[#This Row],[Discharge Date]]-WilsonData[[#This Row],[Date of Admission]]</f>
        <v>1</v>
      </c>
      <c r="N139" t="s">
        <v>15</v>
      </c>
    </row>
    <row r="140" spans="1:14" x14ac:dyDescent="0.35">
      <c r="A140" t="s">
        <v>946</v>
      </c>
      <c r="B140">
        <v>32</v>
      </c>
      <c r="C140" t="str">
        <f>IF(WilsonData[[#This Row],[Age]]&lt;=18, "0-18", IF(WilsonData[[#This Row],[Age]]&lt;=35,"19-35", IF(WilsonData[[#This Row],[Age]]&lt;=50, "36-50",IF(WilsonData[[#This Row],[Age]]&lt;=65,"51-65", " 66+"))))</f>
        <v>19-35</v>
      </c>
      <c r="D140" t="s">
        <v>11</v>
      </c>
      <c r="E140" t="s">
        <v>23</v>
      </c>
      <c r="F140" t="s">
        <v>32</v>
      </c>
      <c r="G140" s="1">
        <v>45711</v>
      </c>
      <c r="H140" t="s">
        <v>36</v>
      </c>
      <c r="I140" s="2">
        <v>31289.441687456871</v>
      </c>
      <c r="J140">
        <v>102</v>
      </c>
      <c r="K140" t="s">
        <v>25</v>
      </c>
      <c r="L140" s="1">
        <v>45723</v>
      </c>
      <c r="M140" s="6">
        <f>WilsonData[[#This Row],[Discharge Date]]-WilsonData[[#This Row],[Date of Admission]]</f>
        <v>12</v>
      </c>
      <c r="N140" t="s">
        <v>22</v>
      </c>
    </row>
    <row r="141" spans="1:14" x14ac:dyDescent="0.35">
      <c r="A141" t="s">
        <v>947</v>
      </c>
      <c r="B141">
        <v>50</v>
      </c>
      <c r="C141" t="str">
        <f>IF(WilsonData[[#This Row],[Age]]&lt;=18, "0-18", IF(WilsonData[[#This Row],[Age]]&lt;=35,"19-35", IF(WilsonData[[#This Row],[Age]]&lt;=50, "36-50",IF(WilsonData[[#This Row],[Age]]&lt;=65,"51-65", " 66+"))))</f>
        <v>36-50</v>
      </c>
      <c r="D141" t="s">
        <v>20</v>
      </c>
      <c r="E141" t="s">
        <v>16</v>
      </c>
      <c r="F141" t="s">
        <v>24</v>
      </c>
      <c r="G141" s="1">
        <v>45820</v>
      </c>
      <c r="H141" t="s">
        <v>39</v>
      </c>
      <c r="I141" s="2">
        <v>40720.99649456409</v>
      </c>
      <c r="J141">
        <v>193</v>
      </c>
      <c r="K141" t="s">
        <v>18</v>
      </c>
      <c r="L141" s="1">
        <v>45829</v>
      </c>
      <c r="M141" s="6">
        <f>WilsonData[[#This Row],[Discharge Date]]-WilsonData[[#This Row],[Date of Admission]]</f>
        <v>9</v>
      </c>
      <c r="N141" t="s">
        <v>22</v>
      </c>
    </row>
    <row r="142" spans="1:14" x14ac:dyDescent="0.35">
      <c r="A142" t="s">
        <v>948</v>
      </c>
      <c r="B142">
        <v>50</v>
      </c>
      <c r="C142" t="str">
        <f>IF(WilsonData[[#This Row],[Age]]&lt;=18, "0-18", IF(WilsonData[[#This Row],[Age]]&lt;=35,"19-35", IF(WilsonData[[#This Row],[Age]]&lt;=50, "36-50",IF(WilsonData[[#This Row],[Age]]&lt;=65,"51-65", " 66+"))))</f>
        <v>36-50</v>
      </c>
      <c r="D142" t="s">
        <v>11</v>
      </c>
      <c r="E142" t="s">
        <v>12</v>
      </c>
      <c r="F142" t="s">
        <v>28</v>
      </c>
      <c r="G142" s="1">
        <v>45823</v>
      </c>
      <c r="H142" t="s">
        <v>37</v>
      </c>
      <c r="I142" s="2">
        <v>34417.980749458089</v>
      </c>
      <c r="J142">
        <v>298</v>
      </c>
      <c r="K142" t="s">
        <v>18</v>
      </c>
      <c r="L142" s="1">
        <v>45833</v>
      </c>
      <c r="M142" s="6">
        <f>WilsonData[[#This Row],[Discharge Date]]-WilsonData[[#This Row],[Date of Admission]]</f>
        <v>10</v>
      </c>
      <c r="N142" t="s">
        <v>15</v>
      </c>
    </row>
    <row r="143" spans="1:14" x14ac:dyDescent="0.35">
      <c r="A143" t="s">
        <v>949</v>
      </c>
      <c r="B143">
        <v>43</v>
      </c>
      <c r="C143" t="str">
        <f>IF(WilsonData[[#This Row],[Age]]&lt;=18, "0-18", IF(WilsonData[[#This Row],[Age]]&lt;=35,"19-35", IF(WilsonData[[#This Row],[Age]]&lt;=50, "36-50",IF(WilsonData[[#This Row],[Age]]&lt;=65,"51-65", " 66+"))))</f>
        <v>36-50</v>
      </c>
      <c r="D143" t="s">
        <v>20</v>
      </c>
      <c r="E143" t="s">
        <v>21</v>
      </c>
      <c r="F143" t="s">
        <v>32</v>
      </c>
      <c r="G143" s="1">
        <v>45982</v>
      </c>
      <c r="H143" t="s">
        <v>36</v>
      </c>
      <c r="I143" s="2">
        <v>15420.45726720126</v>
      </c>
      <c r="J143">
        <v>416</v>
      </c>
      <c r="K143" t="s">
        <v>25</v>
      </c>
      <c r="L143" s="1">
        <v>45994</v>
      </c>
      <c r="M143" s="6">
        <f>WilsonData[[#This Row],[Discharge Date]]-WilsonData[[#This Row],[Date of Admission]]</f>
        <v>12</v>
      </c>
      <c r="N143" t="s">
        <v>27</v>
      </c>
    </row>
    <row r="144" spans="1:14" x14ac:dyDescent="0.35">
      <c r="A144" t="s">
        <v>950</v>
      </c>
      <c r="B144">
        <v>60</v>
      </c>
      <c r="C144" t="str">
        <f>IF(WilsonData[[#This Row],[Age]]&lt;=18, "0-18", IF(WilsonData[[#This Row],[Age]]&lt;=35,"19-35", IF(WilsonData[[#This Row],[Age]]&lt;=50, "36-50",IF(WilsonData[[#This Row],[Age]]&lt;=65,"51-65", " 66+"))))</f>
        <v>51-65</v>
      </c>
      <c r="D144" t="s">
        <v>11</v>
      </c>
      <c r="E144" t="s">
        <v>26</v>
      </c>
      <c r="F144" t="s">
        <v>30</v>
      </c>
      <c r="G144" s="1">
        <v>45800</v>
      </c>
      <c r="H144" t="s">
        <v>39</v>
      </c>
      <c r="I144" s="2">
        <v>37899.746910195863</v>
      </c>
      <c r="J144">
        <v>183</v>
      </c>
      <c r="K144" t="s">
        <v>25</v>
      </c>
      <c r="L144" s="1">
        <v>45802</v>
      </c>
      <c r="M144" s="6">
        <f>WilsonData[[#This Row],[Discharge Date]]-WilsonData[[#This Row],[Date of Admission]]</f>
        <v>2</v>
      </c>
      <c r="N144" t="s">
        <v>19</v>
      </c>
    </row>
    <row r="145" spans="1:14" x14ac:dyDescent="0.35">
      <c r="A145" t="s">
        <v>951</v>
      </c>
      <c r="B145">
        <v>41</v>
      </c>
      <c r="C145" t="str">
        <f>IF(WilsonData[[#This Row],[Age]]&lt;=18, "0-18", IF(WilsonData[[#This Row],[Age]]&lt;=35,"19-35", IF(WilsonData[[#This Row],[Age]]&lt;=50, "36-50",IF(WilsonData[[#This Row],[Age]]&lt;=65,"51-65", " 66+"))))</f>
        <v>36-50</v>
      </c>
      <c r="D145" t="s">
        <v>11</v>
      </c>
      <c r="E145" t="s">
        <v>16</v>
      </c>
      <c r="F145" t="s">
        <v>30</v>
      </c>
      <c r="G145" s="1">
        <v>45936</v>
      </c>
      <c r="H145" t="s">
        <v>37</v>
      </c>
      <c r="I145" s="2">
        <v>45220.305255759238</v>
      </c>
      <c r="J145">
        <v>467</v>
      </c>
      <c r="K145" t="s">
        <v>25</v>
      </c>
      <c r="L145" s="1">
        <v>45947</v>
      </c>
      <c r="M145" s="6">
        <f>WilsonData[[#This Row],[Discharge Date]]-WilsonData[[#This Row],[Date of Admission]]</f>
        <v>11</v>
      </c>
      <c r="N145" t="s">
        <v>31</v>
      </c>
    </row>
    <row r="146" spans="1:14" x14ac:dyDescent="0.35">
      <c r="A146" t="s">
        <v>952</v>
      </c>
      <c r="B146">
        <v>63</v>
      </c>
      <c r="C146" t="str">
        <f>IF(WilsonData[[#This Row],[Age]]&lt;=18, "0-18", IF(WilsonData[[#This Row],[Age]]&lt;=35,"19-35", IF(WilsonData[[#This Row],[Age]]&lt;=50, "36-50",IF(WilsonData[[#This Row],[Age]]&lt;=65,"51-65", " 66+"))))</f>
        <v>51-65</v>
      </c>
      <c r="D146" t="s">
        <v>11</v>
      </c>
      <c r="E146" t="s">
        <v>33</v>
      </c>
      <c r="F146" t="s">
        <v>32</v>
      </c>
      <c r="G146" s="1">
        <v>45939</v>
      </c>
      <c r="H146" t="s">
        <v>37</v>
      </c>
      <c r="I146" s="2">
        <v>46290.27864844686</v>
      </c>
      <c r="J146">
        <v>278</v>
      </c>
      <c r="K146" t="s">
        <v>18</v>
      </c>
      <c r="L146" s="1">
        <v>45948</v>
      </c>
      <c r="M146" s="6">
        <f>WilsonData[[#This Row],[Discharge Date]]-WilsonData[[#This Row],[Date of Admission]]</f>
        <v>9</v>
      </c>
      <c r="N146" t="s">
        <v>15</v>
      </c>
    </row>
    <row r="147" spans="1:14" x14ac:dyDescent="0.35">
      <c r="A147" t="s">
        <v>953</v>
      </c>
      <c r="B147">
        <v>58</v>
      </c>
      <c r="C147" t="str">
        <f>IF(WilsonData[[#This Row],[Age]]&lt;=18, "0-18", IF(WilsonData[[#This Row],[Age]]&lt;=35,"19-35", IF(WilsonData[[#This Row],[Age]]&lt;=50, "36-50",IF(WilsonData[[#This Row],[Age]]&lt;=65,"51-65", " 66+"))))</f>
        <v>51-65</v>
      </c>
      <c r="D147" t="s">
        <v>11</v>
      </c>
      <c r="E147" t="s">
        <v>26</v>
      </c>
      <c r="F147" t="s">
        <v>13</v>
      </c>
      <c r="G147" s="1">
        <v>45735</v>
      </c>
      <c r="H147" t="s">
        <v>36</v>
      </c>
      <c r="I147" s="2">
        <v>35447.793168772267</v>
      </c>
      <c r="J147">
        <v>358</v>
      </c>
      <c r="K147" t="s">
        <v>25</v>
      </c>
      <c r="L147" s="1">
        <v>45739</v>
      </c>
      <c r="M147" s="6">
        <f>WilsonData[[#This Row],[Discharge Date]]-WilsonData[[#This Row],[Date of Admission]]</f>
        <v>4</v>
      </c>
      <c r="N147" t="s">
        <v>15</v>
      </c>
    </row>
    <row r="148" spans="1:14" x14ac:dyDescent="0.35">
      <c r="A148" t="s">
        <v>954</v>
      </c>
      <c r="B148">
        <v>21</v>
      </c>
      <c r="C148" t="str">
        <f>IF(WilsonData[[#This Row],[Age]]&lt;=18, "0-18", IF(WilsonData[[#This Row],[Age]]&lt;=35,"19-35", IF(WilsonData[[#This Row],[Age]]&lt;=50, "36-50",IF(WilsonData[[#This Row],[Age]]&lt;=65,"51-65", " 66+"))))</f>
        <v>19-35</v>
      </c>
      <c r="D148" t="s">
        <v>11</v>
      </c>
      <c r="E148" t="s">
        <v>29</v>
      </c>
      <c r="F148" t="s">
        <v>24</v>
      </c>
      <c r="G148" s="1">
        <v>46019</v>
      </c>
      <c r="H148" t="s">
        <v>39</v>
      </c>
      <c r="I148" s="2">
        <v>41696.314514859689</v>
      </c>
      <c r="J148">
        <v>206</v>
      </c>
      <c r="K148" t="s">
        <v>25</v>
      </c>
      <c r="L148" s="1">
        <v>46021</v>
      </c>
      <c r="M148" s="6">
        <f>WilsonData[[#This Row],[Discharge Date]]-WilsonData[[#This Row],[Date of Admission]]</f>
        <v>2</v>
      </c>
      <c r="N148" t="s">
        <v>15</v>
      </c>
    </row>
    <row r="149" spans="1:14" x14ac:dyDescent="0.35">
      <c r="A149" t="s">
        <v>955</v>
      </c>
      <c r="B149">
        <v>70</v>
      </c>
      <c r="C149" t="str">
        <f>IF(WilsonData[[#This Row],[Age]]&lt;=18, "0-18", IF(WilsonData[[#This Row],[Age]]&lt;=35,"19-35", IF(WilsonData[[#This Row],[Age]]&lt;=50, "36-50",IF(WilsonData[[#This Row],[Age]]&lt;=65,"51-65", " 66+"))))</f>
        <v xml:space="preserve"> 66+</v>
      </c>
      <c r="D149" t="s">
        <v>20</v>
      </c>
      <c r="E149" t="s">
        <v>26</v>
      </c>
      <c r="F149" t="s">
        <v>32</v>
      </c>
      <c r="G149" s="1">
        <v>45805</v>
      </c>
      <c r="H149" t="s">
        <v>36</v>
      </c>
      <c r="I149" s="2">
        <v>18994.46760270121</v>
      </c>
      <c r="J149">
        <v>179</v>
      </c>
      <c r="K149" t="s">
        <v>25</v>
      </c>
      <c r="L149" s="1">
        <v>45807</v>
      </c>
      <c r="M149" s="6">
        <f>WilsonData[[#This Row],[Discharge Date]]-WilsonData[[#This Row],[Date of Admission]]</f>
        <v>2</v>
      </c>
      <c r="N149" t="s">
        <v>31</v>
      </c>
    </row>
    <row r="150" spans="1:14" x14ac:dyDescent="0.35">
      <c r="A150" t="s">
        <v>956</v>
      </c>
      <c r="B150">
        <v>48</v>
      </c>
      <c r="C150" t="str">
        <f>IF(WilsonData[[#This Row],[Age]]&lt;=18, "0-18", IF(WilsonData[[#This Row],[Age]]&lt;=35,"19-35", IF(WilsonData[[#This Row],[Age]]&lt;=50, "36-50",IF(WilsonData[[#This Row],[Age]]&lt;=65,"51-65", " 66+"))))</f>
        <v>36-50</v>
      </c>
      <c r="D150" t="s">
        <v>20</v>
      </c>
      <c r="E150" t="s">
        <v>33</v>
      </c>
      <c r="F150" t="s">
        <v>32</v>
      </c>
      <c r="G150" s="1">
        <v>45959</v>
      </c>
      <c r="H150" t="s">
        <v>36</v>
      </c>
      <c r="I150" s="2">
        <v>48315.57321039708</v>
      </c>
      <c r="J150">
        <v>107</v>
      </c>
      <c r="K150" t="s">
        <v>25</v>
      </c>
      <c r="L150" s="1">
        <v>45964</v>
      </c>
      <c r="M150" s="6">
        <f>WilsonData[[#This Row],[Discharge Date]]-WilsonData[[#This Row],[Date of Admission]]</f>
        <v>5</v>
      </c>
      <c r="N150" t="s">
        <v>19</v>
      </c>
    </row>
    <row r="151" spans="1:14" x14ac:dyDescent="0.35">
      <c r="A151" t="s">
        <v>957</v>
      </c>
      <c r="B151">
        <v>36</v>
      </c>
      <c r="C151" t="str">
        <f>IF(WilsonData[[#This Row],[Age]]&lt;=18, "0-18", IF(WilsonData[[#This Row],[Age]]&lt;=35,"19-35", IF(WilsonData[[#This Row],[Age]]&lt;=50, "36-50",IF(WilsonData[[#This Row],[Age]]&lt;=65,"51-65", " 66+"))))</f>
        <v>36-50</v>
      </c>
      <c r="D151" t="s">
        <v>11</v>
      </c>
      <c r="E151" t="s">
        <v>34</v>
      </c>
      <c r="F151" t="s">
        <v>30</v>
      </c>
      <c r="G151" s="1">
        <v>45972</v>
      </c>
      <c r="H151" t="s">
        <v>39</v>
      </c>
      <c r="I151" s="2">
        <v>10525.179369001609</v>
      </c>
      <c r="J151">
        <v>371</v>
      </c>
      <c r="K151" t="s">
        <v>18</v>
      </c>
      <c r="L151" s="1">
        <v>45974</v>
      </c>
      <c r="M151" s="6">
        <f>WilsonData[[#This Row],[Discharge Date]]-WilsonData[[#This Row],[Date of Admission]]</f>
        <v>2</v>
      </c>
      <c r="N151" t="s">
        <v>31</v>
      </c>
    </row>
    <row r="152" spans="1:14" x14ac:dyDescent="0.35">
      <c r="A152" t="s">
        <v>958</v>
      </c>
      <c r="B152">
        <v>61</v>
      </c>
      <c r="C152" t="str">
        <f>IF(WilsonData[[#This Row],[Age]]&lt;=18, "0-18", IF(WilsonData[[#This Row],[Age]]&lt;=35,"19-35", IF(WilsonData[[#This Row],[Age]]&lt;=50, "36-50",IF(WilsonData[[#This Row],[Age]]&lt;=65,"51-65", " 66+"))))</f>
        <v>51-65</v>
      </c>
      <c r="D152" t="s">
        <v>20</v>
      </c>
      <c r="E152" t="s">
        <v>23</v>
      </c>
      <c r="F152" t="s">
        <v>30</v>
      </c>
      <c r="G152" s="1">
        <v>46016</v>
      </c>
      <c r="H152" t="s">
        <v>37</v>
      </c>
      <c r="I152" s="2">
        <v>19260.400335808419</v>
      </c>
      <c r="J152">
        <v>172</v>
      </c>
      <c r="K152" t="s">
        <v>18</v>
      </c>
      <c r="L152" s="1">
        <v>46017</v>
      </c>
      <c r="M152" s="6">
        <f>WilsonData[[#This Row],[Discharge Date]]-WilsonData[[#This Row],[Date of Admission]]</f>
        <v>1</v>
      </c>
      <c r="N152" t="s">
        <v>22</v>
      </c>
    </row>
    <row r="153" spans="1:14" x14ac:dyDescent="0.35">
      <c r="A153" t="s">
        <v>959</v>
      </c>
      <c r="B153">
        <v>37</v>
      </c>
      <c r="C153" t="str">
        <f>IF(WilsonData[[#This Row],[Age]]&lt;=18, "0-18", IF(WilsonData[[#This Row],[Age]]&lt;=35,"19-35", IF(WilsonData[[#This Row],[Age]]&lt;=50, "36-50",IF(WilsonData[[#This Row],[Age]]&lt;=65,"51-65", " 66+"))))</f>
        <v>36-50</v>
      </c>
      <c r="D153" t="s">
        <v>11</v>
      </c>
      <c r="E153" t="s">
        <v>33</v>
      </c>
      <c r="F153" t="s">
        <v>30</v>
      </c>
      <c r="G153" s="1">
        <v>45871</v>
      </c>
      <c r="H153" t="s">
        <v>37</v>
      </c>
      <c r="I153" s="2">
        <v>36455.737490200263</v>
      </c>
      <c r="J153">
        <v>411</v>
      </c>
      <c r="K153" t="s">
        <v>18</v>
      </c>
      <c r="L153" s="1">
        <v>45879</v>
      </c>
      <c r="M153" s="6">
        <f>WilsonData[[#This Row],[Discharge Date]]-WilsonData[[#This Row],[Date of Admission]]</f>
        <v>8</v>
      </c>
      <c r="N153" t="s">
        <v>22</v>
      </c>
    </row>
    <row r="154" spans="1:14" x14ac:dyDescent="0.35">
      <c r="A154" t="s">
        <v>960</v>
      </c>
      <c r="B154">
        <v>54</v>
      </c>
      <c r="C154" t="str">
        <f>IF(WilsonData[[#This Row],[Age]]&lt;=18, "0-18", IF(WilsonData[[#This Row],[Age]]&lt;=35,"19-35", IF(WilsonData[[#This Row],[Age]]&lt;=50, "36-50",IF(WilsonData[[#This Row],[Age]]&lt;=65,"51-65", " 66+"))))</f>
        <v>51-65</v>
      </c>
      <c r="D154" t="s">
        <v>20</v>
      </c>
      <c r="E154" t="s">
        <v>26</v>
      </c>
      <c r="F154" t="s">
        <v>30</v>
      </c>
      <c r="G154" s="1">
        <v>46022</v>
      </c>
      <c r="H154" t="s">
        <v>39</v>
      </c>
      <c r="I154" s="2">
        <v>31570.63884216961</v>
      </c>
      <c r="J154">
        <v>208</v>
      </c>
      <c r="K154" t="s">
        <v>18</v>
      </c>
      <c r="L154" s="1">
        <v>46023</v>
      </c>
      <c r="M154" s="6">
        <f>WilsonData[[#This Row],[Discharge Date]]-WilsonData[[#This Row],[Date of Admission]]</f>
        <v>1</v>
      </c>
      <c r="N154" t="s">
        <v>31</v>
      </c>
    </row>
    <row r="155" spans="1:14" x14ac:dyDescent="0.35">
      <c r="A155" t="s">
        <v>961</v>
      </c>
      <c r="B155">
        <v>58</v>
      </c>
      <c r="C155" t="str">
        <f>IF(WilsonData[[#This Row],[Age]]&lt;=18, "0-18", IF(WilsonData[[#This Row],[Age]]&lt;=35,"19-35", IF(WilsonData[[#This Row],[Age]]&lt;=50, "36-50",IF(WilsonData[[#This Row],[Age]]&lt;=65,"51-65", " 66+"))))</f>
        <v>51-65</v>
      </c>
      <c r="D155" t="s">
        <v>11</v>
      </c>
      <c r="E155" t="s">
        <v>33</v>
      </c>
      <c r="F155" t="s">
        <v>32</v>
      </c>
      <c r="G155" s="1">
        <v>45723</v>
      </c>
      <c r="H155" t="s">
        <v>39</v>
      </c>
      <c r="I155" s="2">
        <v>4329.0720970202756</v>
      </c>
      <c r="J155">
        <v>382</v>
      </c>
      <c r="K155" t="s">
        <v>25</v>
      </c>
      <c r="L155" s="1">
        <v>45724</v>
      </c>
      <c r="M155" s="6">
        <f>WilsonData[[#This Row],[Discharge Date]]-WilsonData[[#This Row],[Date of Admission]]</f>
        <v>1</v>
      </c>
      <c r="N155" t="s">
        <v>22</v>
      </c>
    </row>
    <row r="156" spans="1:14" x14ac:dyDescent="0.35">
      <c r="A156" t="s">
        <v>962</v>
      </c>
      <c r="B156">
        <v>77</v>
      </c>
      <c r="C156" t="str">
        <f>IF(WilsonData[[#This Row],[Age]]&lt;=18, "0-18", IF(WilsonData[[#This Row],[Age]]&lt;=35,"19-35", IF(WilsonData[[#This Row],[Age]]&lt;=50, "36-50",IF(WilsonData[[#This Row],[Age]]&lt;=65,"51-65", " 66+"))))</f>
        <v xml:space="preserve"> 66+</v>
      </c>
      <c r="D156" t="s">
        <v>20</v>
      </c>
      <c r="E156" t="s">
        <v>23</v>
      </c>
      <c r="F156" t="s">
        <v>13</v>
      </c>
      <c r="G156" s="1">
        <v>45966</v>
      </c>
      <c r="H156" t="s">
        <v>37</v>
      </c>
      <c r="I156" s="2">
        <v>49367.765083075552</v>
      </c>
      <c r="J156">
        <v>392</v>
      </c>
      <c r="K156" t="s">
        <v>25</v>
      </c>
      <c r="L156" s="1">
        <v>45977</v>
      </c>
      <c r="M156" s="6">
        <f>WilsonData[[#This Row],[Discharge Date]]-WilsonData[[#This Row],[Date of Admission]]</f>
        <v>11</v>
      </c>
      <c r="N156" t="s">
        <v>15</v>
      </c>
    </row>
    <row r="157" spans="1:14" x14ac:dyDescent="0.35">
      <c r="A157" t="s">
        <v>963</v>
      </c>
      <c r="B157">
        <v>80</v>
      </c>
      <c r="C157" t="str">
        <f>IF(WilsonData[[#This Row],[Age]]&lt;=18, "0-18", IF(WilsonData[[#This Row],[Age]]&lt;=35,"19-35", IF(WilsonData[[#This Row],[Age]]&lt;=50, "36-50",IF(WilsonData[[#This Row],[Age]]&lt;=65,"51-65", " 66+"))))</f>
        <v xml:space="preserve"> 66+</v>
      </c>
      <c r="D157" t="s">
        <v>20</v>
      </c>
      <c r="E157" t="s">
        <v>34</v>
      </c>
      <c r="F157" t="s">
        <v>13</v>
      </c>
      <c r="G157" s="1">
        <v>45798</v>
      </c>
      <c r="H157" t="s">
        <v>36</v>
      </c>
      <c r="I157" s="2">
        <v>4993.0296470344574</v>
      </c>
      <c r="J157">
        <v>384</v>
      </c>
      <c r="K157" t="s">
        <v>25</v>
      </c>
      <c r="L157" s="1">
        <v>45805</v>
      </c>
      <c r="M157" s="6">
        <f>WilsonData[[#This Row],[Discharge Date]]-WilsonData[[#This Row],[Date of Admission]]</f>
        <v>7</v>
      </c>
      <c r="N157" t="s">
        <v>15</v>
      </c>
    </row>
    <row r="158" spans="1:14" x14ac:dyDescent="0.35">
      <c r="A158" t="s">
        <v>964</v>
      </c>
      <c r="B158">
        <v>78</v>
      </c>
      <c r="C158" t="str">
        <f>IF(WilsonData[[#This Row],[Age]]&lt;=18, "0-18", IF(WilsonData[[#This Row],[Age]]&lt;=35,"19-35", IF(WilsonData[[#This Row],[Age]]&lt;=50, "36-50",IF(WilsonData[[#This Row],[Age]]&lt;=65,"51-65", " 66+"))))</f>
        <v xml:space="preserve"> 66+</v>
      </c>
      <c r="D158" t="s">
        <v>11</v>
      </c>
      <c r="E158" t="s">
        <v>16</v>
      </c>
      <c r="F158" t="s">
        <v>13</v>
      </c>
      <c r="G158" s="1">
        <v>45964</v>
      </c>
      <c r="H158" t="s">
        <v>39</v>
      </c>
      <c r="I158" s="2">
        <v>20433.618194508021</v>
      </c>
      <c r="J158">
        <v>279</v>
      </c>
      <c r="K158" t="s">
        <v>18</v>
      </c>
      <c r="L158" s="1">
        <v>45966</v>
      </c>
      <c r="M158" s="6">
        <f>WilsonData[[#This Row],[Discharge Date]]-WilsonData[[#This Row],[Date of Admission]]</f>
        <v>2</v>
      </c>
      <c r="N158" t="s">
        <v>15</v>
      </c>
    </row>
    <row r="159" spans="1:14" x14ac:dyDescent="0.35">
      <c r="A159" t="s">
        <v>965</v>
      </c>
      <c r="B159">
        <v>27</v>
      </c>
      <c r="C159" t="str">
        <f>IF(WilsonData[[#This Row],[Age]]&lt;=18, "0-18", IF(WilsonData[[#This Row],[Age]]&lt;=35,"19-35", IF(WilsonData[[#This Row],[Age]]&lt;=50, "36-50",IF(WilsonData[[#This Row],[Age]]&lt;=65,"51-65", " 66+"))))</f>
        <v>19-35</v>
      </c>
      <c r="D159" t="s">
        <v>20</v>
      </c>
      <c r="E159" t="s">
        <v>12</v>
      </c>
      <c r="F159" t="s">
        <v>30</v>
      </c>
      <c r="G159" s="1">
        <v>45907</v>
      </c>
      <c r="H159" t="s">
        <v>37</v>
      </c>
      <c r="I159" s="2">
        <v>19465.7478546848</v>
      </c>
      <c r="J159">
        <v>173</v>
      </c>
      <c r="K159" t="s">
        <v>25</v>
      </c>
      <c r="L159" s="1">
        <v>45919</v>
      </c>
      <c r="M159" s="6">
        <f>WilsonData[[#This Row],[Discharge Date]]-WilsonData[[#This Row],[Date of Admission]]</f>
        <v>12</v>
      </c>
      <c r="N159" t="s">
        <v>27</v>
      </c>
    </row>
    <row r="160" spans="1:14" x14ac:dyDescent="0.35">
      <c r="A160" t="s">
        <v>966</v>
      </c>
      <c r="B160">
        <v>30</v>
      </c>
      <c r="C160" t="str">
        <f>IF(WilsonData[[#This Row],[Age]]&lt;=18, "0-18", IF(WilsonData[[#This Row],[Age]]&lt;=35,"19-35", IF(WilsonData[[#This Row],[Age]]&lt;=50, "36-50",IF(WilsonData[[#This Row],[Age]]&lt;=65,"51-65", " 66+"))))</f>
        <v>19-35</v>
      </c>
      <c r="D160" t="s">
        <v>11</v>
      </c>
      <c r="E160" t="s">
        <v>16</v>
      </c>
      <c r="F160" t="s">
        <v>13</v>
      </c>
      <c r="G160" s="1">
        <v>45777</v>
      </c>
      <c r="H160" t="s">
        <v>39</v>
      </c>
      <c r="I160" s="2">
        <v>48066.241643821748</v>
      </c>
      <c r="J160">
        <v>130</v>
      </c>
      <c r="K160" t="s">
        <v>25</v>
      </c>
      <c r="L160" s="1">
        <v>45790</v>
      </c>
      <c r="M160" s="6">
        <f>WilsonData[[#This Row],[Discharge Date]]-WilsonData[[#This Row],[Date of Admission]]</f>
        <v>13</v>
      </c>
      <c r="N160" t="s">
        <v>27</v>
      </c>
    </row>
    <row r="161" spans="1:14" x14ac:dyDescent="0.35">
      <c r="A161" t="s">
        <v>967</v>
      </c>
      <c r="B161">
        <v>38</v>
      </c>
      <c r="C161" t="str">
        <f>IF(WilsonData[[#This Row],[Age]]&lt;=18, "0-18", IF(WilsonData[[#This Row],[Age]]&lt;=35,"19-35", IF(WilsonData[[#This Row],[Age]]&lt;=50, "36-50",IF(WilsonData[[#This Row],[Age]]&lt;=65,"51-65", " 66+"))))</f>
        <v>36-50</v>
      </c>
      <c r="D161" t="s">
        <v>20</v>
      </c>
      <c r="E161" t="s">
        <v>12</v>
      </c>
      <c r="F161" t="s">
        <v>17</v>
      </c>
      <c r="G161" s="1">
        <v>45834</v>
      </c>
      <c r="H161" t="s">
        <v>37</v>
      </c>
      <c r="I161" s="2">
        <v>41763.641007320242</v>
      </c>
      <c r="J161">
        <v>209</v>
      </c>
      <c r="K161" t="s">
        <v>25</v>
      </c>
      <c r="L161" s="1">
        <v>45841</v>
      </c>
      <c r="M161" s="6">
        <f>WilsonData[[#This Row],[Discharge Date]]-WilsonData[[#This Row],[Date of Admission]]</f>
        <v>7</v>
      </c>
      <c r="N161" t="s">
        <v>19</v>
      </c>
    </row>
    <row r="162" spans="1:14" x14ac:dyDescent="0.35">
      <c r="A162" t="s">
        <v>968</v>
      </c>
      <c r="B162">
        <v>56</v>
      </c>
      <c r="C162" t="str">
        <f>IF(WilsonData[[#This Row],[Age]]&lt;=18, "0-18", IF(WilsonData[[#This Row],[Age]]&lt;=35,"19-35", IF(WilsonData[[#This Row],[Age]]&lt;=50, "36-50",IF(WilsonData[[#This Row],[Age]]&lt;=65,"51-65", " 66+"))))</f>
        <v>51-65</v>
      </c>
      <c r="D162" t="s">
        <v>20</v>
      </c>
      <c r="E162" t="s">
        <v>21</v>
      </c>
      <c r="F162" t="s">
        <v>30</v>
      </c>
      <c r="G162" s="1">
        <v>45945</v>
      </c>
      <c r="H162" t="s">
        <v>36</v>
      </c>
      <c r="I162" s="2">
        <v>41552.120000541348</v>
      </c>
      <c r="J162">
        <v>398</v>
      </c>
      <c r="K162" t="s">
        <v>25</v>
      </c>
      <c r="L162" s="1">
        <v>45949</v>
      </c>
      <c r="M162" s="6">
        <f>WilsonData[[#This Row],[Discharge Date]]-WilsonData[[#This Row],[Date of Admission]]</f>
        <v>4</v>
      </c>
      <c r="N162" t="s">
        <v>22</v>
      </c>
    </row>
    <row r="163" spans="1:14" x14ac:dyDescent="0.35">
      <c r="A163" t="s">
        <v>969</v>
      </c>
      <c r="B163">
        <v>83</v>
      </c>
      <c r="C163" t="str">
        <f>IF(WilsonData[[#This Row],[Age]]&lt;=18, "0-18", IF(WilsonData[[#This Row],[Age]]&lt;=35,"19-35", IF(WilsonData[[#This Row],[Age]]&lt;=50, "36-50",IF(WilsonData[[#This Row],[Age]]&lt;=65,"51-65", " 66+"))))</f>
        <v xml:space="preserve"> 66+</v>
      </c>
      <c r="D163" t="s">
        <v>20</v>
      </c>
      <c r="E163" t="s">
        <v>12</v>
      </c>
      <c r="F163" t="s">
        <v>13</v>
      </c>
      <c r="G163" s="1">
        <v>45742</v>
      </c>
      <c r="H163" t="s">
        <v>37</v>
      </c>
      <c r="I163" s="2">
        <v>40580.751165894333</v>
      </c>
      <c r="J163">
        <v>213</v>
      </c>
      <c r="K163" t="s">
        <v>25</v>
      </c>
      <c r="L163" s="1">
        <v>45749</v>
      </c>
      <c r="M163" s="6">
        <f>WilsonData[[#This Row],[Discharge Date]]-WilsonData[[#This Row],[Date of Admission]]</f>
        <v>7</v>
      </c>
      <c r="N163" t="s">
        <v>27</v>
      </c>
    </row>
    <row r="164" spans="1:14" x14ac:dyDescent="0.35">
      <c r="A164" t="s">
        <v>970</v>
      </c>
      <c r="B164">
        <v>71</v>
      </c>
      <c r="C164" t="str">
        <f>IF(WilsonData[[#This Row],[Age]]&lt;=18, "0-18", IF(WilsonData[[#This Row],[Age]]&lt;=35,"19-35", IF(WilsonData[[#This Row],[Age]]&lt;=50, "36-50",IF(WilsonData[[#This Row],[Age]]&lt;=65,"51-65", " 66+"))))</f>
        <v xml:space="preserve"> 66+</v>
      </c>
      <c r="D164" t="s">
        <v>20</v>
      </c>
      <c r="E164" t="s">
        <v>34</v>
      </c>
      <c r="F164" t="s">
        <v>24</v>
      </c>
      <c r="G164" s="1">
        <v>45855</v>
      </c>
      <c r="H164" t="s">
        <v>39</v>
      </c>
      <c r="I164" s="2">
        <v>43866.882683449403</v>
      </c>
      <c r="J164">
        <v>314</v>
      </c>
      <c r="K164" t="s">
        <v>25</v>
      </c>
      <c r="L164" s="1">
        <v>45868</v>
      </c>
      <c r="M164" s="6">
        <f>WilsonData[[#This Row],[Discharge Date]]-WilsonData[[#This Row],[Date of Admission]]</f>
        <v>13</v>
      </c>
      <c r="N164" t="s">
        <v>27</v>
      </c>
    </row>
    <row r="165" spans="1:14" x14ac:dyDescent="0.35">
      <c r="A165" t="s">
        <v>971</v>
      </c>
      <c r="B165">
        <v>73</v>
      </c>
      <c r="C165" t="str">
        <f>IF(WilsonData[[#This Row],[Age]]&lt;=18, "0-18", IF(WilsonData[[#This Row],[Age]]&lt;=35,"19-35", IF(WilsonData[[#This Row],[Age]]&lt;=50, "36-50",IF(WilsonData[[#This Row],[Age]]&lt;=65,"51-65", " 66+"))))</f>
        <v xml:space="preserve"> 66+</v>
      </c>
      <c r="D165" t="s">
        <v>20</v>
      </c>
      <c r="E165" t="s">
        <v>34</v>
      </c>
      <c r="F165" t="s">
        <v>28</v>
      </c>
      <c r="G165" s="1">
        <v>45967</v>
      </c>
      <c r="H165" t="s">
        <v>36</v>
      </c>
      <c r="I165" s="2">
        <v>35451.087032809599</v>
      </c>
      <c r="J165">
        <v>128</v>
      </c>
      <c r="K165" t="s">
        <v>25</v>
      </c>
      <c r="L165" s="1">
        <v>45979</v>
      </c>
      <c r="M165" s="6">
        <f>WilsonData[[#This Row],[Discharge Date]]-WilsonData[[#This Row],[Date of Admission]]</f>
        <v>12</v>
      </c>
      <c r="N165" t="s">
        <v>15</v>
      </c>
    </row>
    <row r="166" spans="1:14" x14ac:dyDescent="0.35">
      <c r="A166" t="s">
        <v>972</v>
      </c>
      <c r="B166">
        <v>80</v>
      </c>
      <c r="C166" t="str">
        <f>IF(WilsonData[[#This Row],[Age]]&lt;=18, "0-18", IF(WilsonData[[#This Row],[Age]]&lt;=35,"19-35", IF(WilsonData[[#This Row],[Age]]&lt;=50, "36-50",IF(WilsonData[[#This Row],[Age]]&lt;=65,"51-65", " 66+"))))</f>
        <v xml:space="preserve"> 66+</v>
      </c>
      <c r="D166" t="s">
        <v>11</v>
      </c>
      <c r="E166" t="s">
        <v>23</v>
      </c>
      <c r="F166" t="s">
        <v>30</v>
      </c>
      <c r="G166" s="1">
        <v>45683</v>
      </c>
      <c r="H166" t="s">
        <v>37</v>
      </c>
      <c r="I166" s="2">
        <v>23309.746558565668</v>
      </c>
      <c r="J166">
        <v>107</v>
      </c>
      <c r="K166" t="s">
        <v>18</v>
      </c>
      <c r="L166" s="1">
        <v>45689</v>
      </c>
      <c r="M166" s="6">
        <f>WilsonData[[#This Row],[Discharge Date]]-WilsonData[[#This Row],[Date of Admission]]</f>
        <v>6</v>
      </c>
      <c r="N166" t="s">
        <v>19</v>
      </c>
    </row>
    <row r="167" spans="1:14" x14ac:dyDescent="0.35">
      <c r="A167" t="s">
        <v>973</v>
      </c>
      <c r="B167">
        <v>42</v>
      </c>
      <c r="C167" t="str">
        <f>IF(WilsonData[[#This Row],[Age]]&lt;=18, "0-18", IF(WilsonData[[#This Row],[Age]]&lt;=35,"19-35", IF(WilsonData[[#This Row],[Age]]&lt;=50, "36-50",IF(WilsonData[[#This Row],[Age]]&lt;=65,"51-65", " 66+"))))</f>
        <v>36-50</v>
      </c>
      <c r="D167" t="s">
        <v>11</v>
      </c>
      <c r="E167" t="s">
        <v>12</v>
      </c>
      <c r="F167" t="s">
        <v>24</v>
      </c>
      <c r="G167" s="1">
        <v>45696</v>
      </c>
      <c r="H167" t="s">
        <v>37</v>
      </c>
      <c r="I167" s="2">
        <v>34014.462811270692</v>
      </c>
      <c r="J167">
        <v>273</v>
      </c>
      <c r="K167" t="s">
        <v>25</v>
      </c>
      <c r="L167" s="1">
        <v>45704</v>
      </c>
      <c r="M167" s="6">
        <f>WilsonData[[#This Row],[Discharge Date]]-WilsonData[[#This Row],[Date of Admission]]</f>
        <v>8</v>
      </c>
      <c r="N167" t="s">
        <v>22</v>
      </c>
    </row>
    <row r="168" spans="1:14" x14ac:dyDescent="0.35">
      <c r="A168" t="s">
        <v>974</v>
      </c>
      <c r="B168">
        <v>37</v>
      </c>
      <c r="C168" t="str">
        <f>IF(WilsonData[[#This Row],[Age]]&lt;=18, "0-18", IF(WilsonData[[#This Row],[Age]]&lt;=35,"19-35", IF(WilsonData[[#This Row],[Age]]&lt;=50, "36-50",IF(WilsonData[[#This Row],[Age]]&lt;=65,"51-65", " 66+"))))</f>
        <v>36-50</v>
      </c>
      <c r="D168" t="s">
        <v>11</v>
      </c>
      <c r="E168" t="s">
        <v>34</v>
      </c>
      <c r="F168" t="s">
        <v>13</v>
      </c>
      <c r="G168" s="1">
        <v>45857</v>
      </c>
      <c r="H168" t="s">
        <v>39</v>
      </c>
      <c r="I168" s="2">
        <v>9181.8052137783634</v>
      </c>
      <c r="J168">
        <v>252</v>
      </c>
      <c r="K168" t="s">
        <v>25</v>
      </c>
      <c r="L168" s="1">
        <v>45867</v>
      </c>
      <c r="M168" s="6">
        <f>WilsonData[[#This Row],[Discharge Date]]-WilsonData[[#This Row],[Date of Admission]]</f>
        <v>10</v>
      </c>
      <c r="N168" t="s">
        <v>27</v>
      </c>
    </row>
    <row r="169" spans="1:14" x14ac:dyDescent="0.35">
      <c r="A169" t="s">
        <v>975</v>
      </c>
      <c r="B169">
        <v>67</v>
      </c>
      <c r="C169" t="str">
        <f>IF(WilsonData[[#This Row],[Age]]&lt;=18, "0-18", IF(WilsonData[[#This Row],[Age]]&lt;=35,"19-35", IF(WilsonData[[#This Row],[Age]]&lt;=50, "36-50",IF(WilsonData[[#This Row],[Age]]&lt;=65,"51-65", " 66+"))))</f>
        <v xml:space="preserve"> 66+</v>
      </c>
      <c r="D169" t="s">
        <v>11</v>
      </c>
      <c r="E169" t="s">
        <v>23</v>
      </c>
      <c r="F169" t="s">
        <v>32</v>
      </c>
      <c r="G169" s="1">
        <v>45688</v>
      </c>
      <c r="H169" t="s">
        <v>39</v>
      </c>
      <c r="I169" s="2">
        <v>25703.094811721279</v>
      </c>
      <c r="J169">
        <v>281</v>
      </c>
      <c r="K169" t="s">
        <v>18</v>
      </c>
      <c r="L169" s="1">
        <v>45699</v>
      </c>
      <c r="M169" s="6">
        <f>WilsonData[[#This Row],[Discharge Date]]-WilsonData[[#This Row],[Date of Admission]]</f>
        <v>11</v>
      </c>
      <c r="N169" t="s">
        <v>27</v>
      </c>
    </row>
    <row r="170" spans="1:14" x14ac:dyDescent="0.35">
      <c r="A170" t="s">
        <v>976</v>
      </c>
      <c r="B170">
        <v>28</v>
      </c>
      <c r="C170" t="str">
        <f>IF(WilsonData[[#This Row],[Age]]&lt;=18, "0-18", IF(WilsonData[[#This Row],[Age]]&lt;=35,"19-35", IF(WilsonData[[#This Row],[Age]]&lt;=50, "36-50",IF(WilsonData[[#This Row],[Age]]&lt;=65,"51-65", " 66+"))))</f>
        <v>19-35</v>
      </c>
      <c r="D170" t="s">
        <v>20</v>
      </c>
      <c r="E170" t="s">
        <v>34</v>
      </c>
      <c r="F170" t="s">
        <v>24</v>
      </c>
      <c r="G170" s="1">
        <v>45687</v>
      </c>
      <c r="H170" t="s">
        <v>37</v>
      </c>
      <c r="I170" s="2">
        <v>38849.366081997061</v>
      </c>
      <c r="J170">
        <v>220</v>
      </c>
      <c r="K170" t="s">
        <v>25</v>
      </c>
      <c r="L170" s="1">
        <v>45689</v>
      </c>
      <c r="M170" s="6">
        <f>WilsonData[[#This Row],[Discharge Date]]-WilsonData[[#This Row],[Date of Admission]]</f>
        <v>2</v>
      </c>
      <c r="N170" t="s">
        <v>31</v>
      </c>
    </row>
    <row r="171" spans="1:14" x14ac:dyDescent="0.35">
      <c r="A171" t="s">
        <v>977</v>
      </c>
      <c r="B171">
        <v>60</v>
      </c>
      <c r="C171" t="str">
        <f>IF(WilsonData[[#This Row],[Age]]&lt;=18, "0-18", IF(WilsonData[[#This Row],[Age]]&lt;=35,"19-35", IF(WilsonData[[#This Row],[Age]]&lt;=50, "36-50",IF(WilsonData[[#This Row],[Age]]&lt;=65,"51-65", " 66+"))))</f>
        <v>51-65</v>
      </c>
      <c r="D171" t="s">
        <v>11</v>
      </c>
      <c r="E171" t="s">
        <v>29</v>
      </c>
      <c r="F171" t="s">
        <v>13</v>
      </c>
      <c r="G171" s="1">
        <v>45725</v>
      </c>
      <c r="H171" t="s">
        <v>39</v>
      </c>
      <c r="I171" s="2">
        <v>28085.03790706952</v>
      </c>
      <c r="J171">
        <v>218</v>
      </c>
      <c r="K171" t="s">
        <v>18</v>
      </c>
      <c r="L171" s="1">
        <v>45730</v>
      </c>
      <c r="M171" s="6">
        <f>WilsonData[[#This Row],[Discharge Date]]-WilsonData[[#This Row],[Date of Admission]]</f>
        <v>5</v>
      </c>
      <c r="N171" t="s">
        <v>31</v>
      </c>
    </row>
    <row r="172" spans="1:14" x14ac:dyDescent="0.35">
      <c r="A172" t="s">
        <v>978</v>
      </c>
      <c r="B172">
        <v>76</v>
      </c>
      <c r="C172" t="str">
        <f>IF(WilsonData[[#This Row],[Age]]&lt;=18, "0-18", IF(WilsonData[[#This Row],[Age]]&lt;=35,"19-35", IF(WilsonData[[#This Row],[Age]]&lt;=50, "36-50",IF(WilsonData[[#This Row],[Age]]&lt;=65,"51-65", " 66+"))))</f>
        <v xml:space="preserve"> 66+</v>
      </c>
      <c r="D172" t="s">
        <v>20</v>
      </c>
      <c r="E172" t="s">
        <v>16</v>
      </c>
      <c r="F172" t="s">
        <v>17</v>
      </c>
      <c r="G172" s="1">
        <v>45774</v>
      </c>
      <c r="H172" t="s">
        <v>37</v>
      </c>
      <c r="I172" s="2">
        <v>5808.0200857434884</v>
      </c>
      <c r="J172">
        <v>327</v>
      </c>
      <c r="K172" t="s">
        <v>18</v>
      </c>
      <c r="L172" s="1">
        <v>45781</v>
      </c>
      <c r="M172" s="6">
        <f>WilsonData[[#This Row],[Discharge Date]]-WilsonData[[#This Row],[Date of Admission]]</f>
        <v>7</v>
      </c>
      <c r="N172" t="s">
        <v>19</v>
      </c>
    </row>
    <row r="173" spans="1:14" x14ac:dyDescent="0.35">
      <c r="A173" t="s">
        <v>979</v>
      </c>
      <c r="B173">
        <v>32</v>
      </c>
      <c r="C173" t="str">
        <f>IF(WilsonData[[#This Row],[Age]]&lt;=18, "0-18", IF(WilsonData[[#This Row],[Age]]&lt;=35,"19-35", IF(WilsonData[[#This Row],[Age]]&lt;=50, "36-50",IF(WilsonData[[#This Row],[Age]]&lt;=65,"51-65", " 66+"))))</f>
        <v>19-35</v>
      </c>
      <c r="D173" t="s">
        <v>20</v>
      </c>
      <c r="E173" t="s">
        <v>33</v>
      </c>
      <c r="F173" t="s">
        <v>24</v>
      </c>
      <c r="G173" s="1">
        <v>45959</v>
      </c>
      <c r="H173" t="s">
        <v>36</v>
      </c>
      <c r="I173" s="2">
        <v>43824.209008108519</v>
      </c>
      <c r="J173">
        <v>298</v>
      </c>
      <c r="K173" t="s">
        <v>25</v>
      </c>
      <c r="L173" s="1">
        <v>45961</v>
      </c>
      <c r="M173" s="6">
        <f>WilsonData[[#This Row],[Discharge Date]]-WilsonData[[#This Row],[Date of Admission]]</f>
        <v>2</v>
      </c>
      <c r="N173" t="s">
        <v>19</v>
      </c>
    </row>
    <row r="174" spans="1:14" x14ac:dyDescent="0.35">
      <c r="A174" t="s">
        <v>980</v>
      </c>
      <c r="B174">
        <v>42</v>
      </c>
      <c r="C174" t="str">
        <f>IF(WilsonData[[#This Row],[Age]]&lt;=18, "0-18", IF(WilsonData[[#This Row],[Age]]&lt;=35,"19-35", IF(WilsonData[[#This Row],[Age]]&lt;=50, "36-50",IF(WilsonData[[#This Row],[Age]]&lt;=65,"51-65", " 66+"))))</f>
        <v>36-50</v>
      </c>
      <c r="D174" t="s">
        <v>20</v>
      </c>
      <c r="E174" t="s">
        <v>29</v>
      </c>
      <c r="F174" t="s">
        <v>13</v>
      </c>
      <c r="G174" s="1">
        <v>45724</v>
      </c>
      <c r="H174" t="s">
        <v>36</v>
      </c>
      <c r="I174" s="2">
        <v>34662.847580718742</v>
      </c>
      <c r="J174">
        <v>255</v>
      </c>
      <c r="K174" t="s">
        <v>25</v>
      </c>
      <c r="L174" s="1">
        <v>45732</v>
      </c>
      <c r="M174" s="6">
        <f>WilsonData[[#This Row],[Discharge Date]]-WilsonData[[#This Row],[Date of Admission]]</f>
        <v>8</v>
      </c>
      <c r="N174" t="s">
        <v>15</v>
      </c>
    </row>
    <row r="175" spans="1:14" x14ac:dyDescent="0.35">
      <c r="A175" t="s">
        <v>981</v>
      </c>
      <c r="B175">
        <v>46</v>
      </c>
      <c r="C175" t="str">
        <f>IF(WilsonData[[#This Row],[Age]]&lt;=18, "0-18", IF(WilsonData[[#This Row],[Age]]&lt;=35,"19-35", IF(WilsonData[[#This Row],[Age]]&lt;=50, "36-50",IF(WilsonData[[#This Row],[Age]]&lt;=65,"51-65", " 66+"))))</f>
        <v>36-50</v>
      </c>
      <c r="D175" t="s">
        <v>20</v>
      </c>
      <c r="E175" t="s">
        <v>23</v>
      </c>
      <c r="F175" t="s">
        <v>30</v>
      </c>
      <c r="G175" s="1">
        <v>45964</v>
      </c>
      <c r="H175" t="s">
        <v>39</v>
      </c>
      <c r="I175" s="2">
        <v>12614.016082537441</v>
      </c>
      <c r="J175">
        <v>426</v>
      </c>
      <c r="K175" t="s">
        <v>18</v>
      </c>
      <c r="L175" s="1">
        <v>45974</v>
      </c>
      <c r="M175" s="6">
        <f>WilsonData[[#This Row],[Discharge Date]]-WilsonData[[#This Row],[Date of Admission]]</f>
        <v>10</v>
      </c>
      <c r="N175" t="s">
        <v>22</v>
      </c>
    </row>
    <row r="176" spans="1:14" x14ac:dyDescent="0.35">
      <c r="A176" t="s">
        <v>982</v>
      </c>
      <c r="B176">
        <v>43</v>
      </c>
      <c r="C176" t="str">
        <f>IF(WilsonData[[#This Row],[Age]]&lt;=18, "0-18", IF(WilsonData[[#This Row],[Age]]&lt;=35,"19-35", IF(WilsonData[[#This Row],[Age]]&lt;=50, "36-50",IF(WilsonData[[#This Row],[Age]]&lt;=65,"51-65", " 66+"))))</f>
        <v>36-50</v>
      </c>
      <c r="D176" t="s">
        <v>20</v>
      </c>
      <c r="E176" t="s">
        <v>26</v>
      </c>
      <c r="F176" t="s">
        <v>17</v>
      </c>
      <c r="G176" s="1">
        <v>45795</v>
      </c>
      <c r="H176" t="s">
        <v>37</v>
      </c>
      <c r="I176" s="2">
        <v>7911.1512275112191</v>
      </c>
      <c r="J176">
        <v>202</v>
      </c>
      <c r="K176" t="s">
        <v>25</v>
      </c>
      <c r="L176" s="1">
        <v>45800</v>
      </c>
      <c r="M176" s="6">
        <f>WilsonData[[#This Row],[Discharge Date]]-WilsonData[[#This Row],[Date of Admission]]</f>
        <v>5</v>
      </c>
      <c r="N176" t="s">
        <v>31</v>
      </c>
    </row>
    <row r="177" spans="1:14" x14ac:dyDescent="0.35">
      <c r="A177" t="s">
        <v>983</v>
      </c>
      <c r="B177">
        <v>44</v>
      </c>
      <c r="C177" t="str">
        <f>IF(WilsonData[[#This Row],[Age]]&lt;=18, "0-18", IF(WilsonData[[#This Row],[Age]]&lt;=35,"19-35", IF(WilsonData[[#This Row],[Age]]&lt;=50, "36-50",IF(WilsonData[[#This Row],[Age]]&lt;=65,"51-65", " 66+"))))</f>
        <v>36-50</v>
      </c>
      <c r="D177" t="s">
        <v>11</v>
      </c>
      <c r="E177" t="s">
        <v>21</v>
      </c>
      <c r="F177" t="s">
        <v>30</v>
      </c>
      <c r="G177" s="1">
        <v>45754</v>
      </c>
      <c r="H177" t="s">
        <v>37</v>
      </c>
      <c r="I177" s="2">
        <v>32092.548177050379</v>
      </c>
      <c r="J177">
        <v>416</v>
      </c>
      <c r="K177" t="s">
        <v>18</v>
      </c>
      <c r="L177" s="1">
        <v>45757</v>
      </c>
      <c r="M177" s="6">
        <f>WilsonData[[#This Row],[Discharge Date]]-WilsonData[[#This Row],[Date of Admission]]</f>
        <v>3</v>
      </c>
      <c r="N177" t="s">
        <v>22</v>
      </c>
    </row>
    <row r="178" spans="1:14" x14ac:dyDescent="0.35">
      <c r="A178" t="s">
        <v>984</v>
      </c>
      <c r="B178">
        <v>53</v>
      </c>
      <c r="C178" t="str">
        <f>IF(WilsonData[[#This Row],[Age]]&lt;=18, "0-18", IF(WilsonData[[#This Row],[Age]]&lt;=35,"19-35", IF(WilsonData[[#This Row],[Age]]&lt;=50, "36-50",IF(WilsonData[[#This Row],[Age]]&lt;=65,"51-65", " 66+"))))</f>
        <v>51-65</v>
      </c>
      <c r="D178" t="s">
        <v>11</v>
      </c>
      <c r="E178" t="s">
        <v>34</v>
      </c>
      <c r="F178" t="s">
        <v>28</v>
      </c>
      <c r="G178" s="1">
        <v>45667</v>
      </c>
      <c r="H178" t="s">
        <v>39</v>
      </c>
      <c r="I178" s="2">
        <v>35852.726121806823</v>
      </c>
      <c r="J178">
        <v>442</v>
      </c>
      <c r="K178" t="s">
        <v>18</v>
      </c>
      <c r="L178" s="1">
        <v>45673</v>
      </c>
      <c r="M178" s="6">
        <f>WilsonData[[#This Row],[Discharge Date]]-WilsonData[[#This Row],[Date of Admission]]</f>
        <v>6</v>
      </c>
      <c r="N178" t="s">
        <v>31</v>
      </c>
    </row>
    <row r="179" spans="1:14" x14ac:dyDescent="0.35">
      <c r="A179" t="s">
        <v>985</v>
      </c>
      <c r="B179">
        <v>43</v>
      </c>
      <c r="C179" t="str">
        <f>IF(WilsonData[[#This Row],[Age]]&lt;=18, "0-18", IF(WilsonData[[#This Row],[Age]]&lt;=35,"19-35", IF(WilsonData[[#This Row],[Age]]&lt;=50, "36-50",IF(WilsonData[[#This Row],[Age]]&lt;=65,"51-65", " 66+"))))</f>
        <v>36-50</v>
      </c>
      <c r="D179" t="s">
        <v>20</v>
      </c>
      <c r="E179" t="s">
        <v>16</v>
      </c>
      <c r="F179" t="s">
        <v>30</v>
      </c>
      <c r="G179" s="1">
        <v>45709</v>
      </c>
      <c r="H179" t="s">
        <v>39</v>
      </c>
      <c r="I179" s="2">
        <v>11583.981532530361</v>
      </c>
      <c r="J179">
        <v>158</v>
      </c>
      <c r="K179" t="s">
        <v>18</v>
      </c>
      <c r="L179" s="1">
        <v>45716</v>
      </c>
      <c r="M179" s="6">
        <f>WilsonData[[#This Row],[Discharge Date]]-WilsonData[[#This Row],[Date of Admission]]</f>
        <v>7</v>
      </c>
      <c r="N179" t="s">
        <v>27</v>
      </c>
    </row>
    <row r="180" spans="1:14" x14ac:dyDescent="0.35">
      <c r="A180" t="s">
        <v>986</v>
      </c>
      <c r="B180">
        <v>58</v>
      </c>
      <c r="C180" t="str">
        <f>IF(WilsonData[[#This Row],[Age]]&lt;=18, "0-18", IF(WilsonData[[#This Row],[Age]]&lt;=35,"19-35", IF(WilsonData[[#This Row],[Age]]&lt;=50, "36-50",IF(WilsonData[[#This Row],[Age]]&lt;=65,"51-65", " 66+"))))</f>
        <v>51-65</v>
      </c>
      <c r="D180" t="s">
        <v>11</v>
      </c>
      <c r="E180" t="s">
        <v>12</v>
      </c>
      <c r="F180" t="s">
        <v>13</v>
      </c>
      <c r="G180" s="1">
        <v>45883</v>
      </c>
      <c r="H180" t="s">
        <v>39</v>
      </c>
      <c r="I180" s="2">
        <v>49375.424740498398</v>
      </c>
      <c r="J180">
        <v>464</v>
      </c>
      <c r="K180" t="s">
        <v>25</v>
      </c>
      <c r="L180" s="1">
        <v>45888</v>
      </c>
      <c r="M180" s="6">
        <f>WilsonData[[#This Row],[Discharge Date]]-WilsonData[[#This Row],[Date of Admission]]</f>
        <v>5</v>
      </c>
      <c r="N180" t="s">
        <v>27</v>
      </c>
    </row>
    <row r="181" spans="1:14" x14ac:dyDescent="0.35">
      <c r="A181" t="s">
        <v>987</v>
      </c>
      <c r="B181">
        <v>82</v>
      </c>
      <c r="C181" t="str">
        <f>IF(WilsonData[[#This Row],[Age]]&lt;=18, "0-18", IF(WilsonData[[#This Row],[Age]]&lt;=35,"19-35", IF(WilsonData[[#This Row],[Age]]&lt;=50, "36-50",IF(WilsonData[[#This Row],[Age]]&lt;=65,"51-65", " 66+"))))</f>
        <v xml:space="preserve"> 66+</v>
      </c>
      <c r="D181" t="s">
        <v>11</v>
      </c>
      <c r="E181" t="s">
        <v>23</v>
      </c>
      <c r="F181" t="s">
        <v>13</v>
      </c>
      <c r="G181" s="1">
        <v>45926</v>
      </c>
      <c r="H181" t="s">
        <v>37</v>
      </c>
      <c r="I181" s="2">
        <v>37512.302782120831</v>
      </c>
      <c r="J181">
        <v>125</v>
      </c>
      <c r="K181" t="s">
        <v>25</v>
      </c>
      <c r="L181" s="1">
        <v>45935</v>
      </c>
      <c r="M181" s="6">
        <f>WilsonData[[#This Row],[Discharge Date]]-WilsonData[[#This Row],[Date of Admission]]</f>
        <v>9</v>
      </c>
      <c r="N181" t="s">
        <v>15</v>
      </c>
    </row>
    <row r="182" spans="1:14" x14ac:dyDescent="0.35">
      <c r="A182" t="s">
        <v>988</v>
      </c>
      <c r="B182">
        <v>65</v>
      </c>
      <c r="C182" t="str">
        <f>IF(WilsonData[[#This Row],[Age]]&lt;=18, "0-18", IF(WilsonData[[#This Row],[Age]]&lt;=35,"19-35", IF(WilsonData[[#This Row],[Age]]&lt;=50, "36-50",IF(WilsonData[[#This Row],[Age]]&lt;=65,"51-65", " 66+"))))</f>
        <v>51-65</v>
      </c>
      <c r="D182" t="s">
        <v>20</v>
      </c>
      <c r="E182" t="s">
        <v>23</v>
      </c>
      <c r="F182" t="s">
        <v>28</v>
      </c>
      <c r="G182" s="1">
        <v>45949</v>
      </c>
      <c r="H182" t="s">
        <v>37</v>
      </c>
      <c r="I182" s="2">
        <v>18535.912251779551</v>
      </c>
      <c r="J182">
        <v>452</v>
      </c>
      <c r="K182" t="s">
        <v>25</v>
      </c>
      <c r="L182" s="1">
        <v>45959</v>
      </c>
      <c r="M182" s="6">
        <f>WilsonData[[#This Row],[Discharge Date]]-WilsonData[[#This Row],[Date of Admission]]</f>
        <v>10</v>
      </c>
      <c r="N182" t="s">
        <v>31</v>
      </c>
    </row>
    <row r="183" spans="1:14" x14ac:dyDescent="0.35">
      <c r="A183" t="s">
        <v>989</v>
      </c>
      <c r="B183">
        <v>45</v>
      </c>
      <c r="C183" t="str">
        <f>IF(WilsonData[[#This Row],[Age]]&lt;=18, "0-18", IF(WilsonData[[#This Row],[Age]]&lt;=35,"19-35", IF(WilsonData[[#This Row],[Age]]&lt;=50, "36-50",IF(WilsonData[[#This Row],[Age]]&lt;=65,"51-65", " 66+"))))</f>
        <v>36-50</v>
      </c>
      <c r="D183" t="s">
        <v>11</v>
      </c>
      <c r="E183" t="s">
        <v>33</v>
      </c>
      <c r="F183" t="s">
        <v>13</v>
      </c>
      <c r="G183" s="1">
        <v>45921</v>
      </c>
      <c r="H183" t="s">
        <v>37</v>
      </c>
      <c r="I183" s="2">
        <v>31822.46418563676</v>
      </c>
      <c r="J183">
        <v>296</v>
      </c>
      <c r="K183" t="s">
        <v>25</v>
      </c>
      <c r="L183" s="1">
        <v>45932</v>
      </c>
      <c r="M183" s="6">
        <f>WilsonData[[#This Row],[Discharge Date]]-WilsonData[[#This Row],[Date of Admission]]</f>
        <v>11</v>
      </c>
      <c r="N183" t="s">
        <v>15</v>
      </c>
    </row>
    <row r="184" spans="1:14" x14ac:dyDescent="0.35">
      <c r="A184" t="s">
        <v>990</v>
      </c>
      <c r="B184">
        <v>26</v>
      </c>
      <c r="C184" t="str">
        <f>IF(WilsonData[[#This Row],[Age]]&lt;=18, "0-18", IF(WilsonData[[#This Row],[Age]]&lt;=35,"19-35", IF(WilsonData[[#This Row],[Age]]&lt;=50, "36-50",IF(WilsonData[[#This Row],[Age]]&lt;=65,"51-65", " 66+"))))</f>
        <v>19-35</v>
      </c>
      <c r="D184" t="s">
        <v>11</v>
      </c>
      <c r="E184" t="s">
        <v>16</v>
      </c>
      <c r="F184" t="s">
        <v>28</v>
      </c>
      <c r="G184" s="1">
        <v>45830</v>
      </c>
      <c r="H184" t="s">
        <v>39</v>
      </c>
      <c r="I184" s="2">
        <v>36980.612257696521</v>
      </c>
      <c r="J184">
        <v>476</v>
      </c>
      <c r="K184" t="s">
        <v>18</v>
      </c>
      <c r="L184" s="1">
        <v>45840</v>
      </c>
      <c r="M184" s="6">
        <f>WilsonData[[#This Row],[Discharge Date]]-WilsonData[[#This Row],[Date of Admission]]</f>
        <v>10</v>
      </c>
      <c r="N184" t="s">
        <v>15</v>
      </c>
    </row>
    <row r="185" spans="1:14" x14ac:dyDescent="0.35">
      <c r="A185" t="s">
        <v>991</v>
      </c>
      <c r="B185">
        <v>48</v>
      </c>
      <c r="C185" t="str">
        <f>IF(WilsonData[[#This Row],[Age]]&lt;=18, "0-18", IF(WilsonData[[#This Row],[Age]]&lt;=35,"19-35", IF(WilsonData[[#This Row],[Age]]&lt;=50, "36-50",IF(WilsonData[[#This Row],[Age]]&lt;=65,"51-65", " 66+"))))</f>
        <v>36-50</v>
      </c>
      <c r="D185" t="s">
        <v>11</v>
      </c>
      <c r="E185" t="s">
        <v>33</v>
      </c>
      <c r="F185" t="s">
        <v>13</v>
      </c>
      <c r="G185" s="1">
        <v>45667</v>
      </c>
      <c r="H185" t="s">
        <v>37</v>
      </c>
      <c r="I185" s="2">
        <v>21451.218366239911</v>
      </c>
      <c r="J185">
        <v>125</v>
      </c>
      <c r="K185" t="s">
        <v>18</v>
      </c>
      <c r="L185" s="1">
        <v>45673</v>
      </c>
      <c r="M185" s="6">
        <f>WilsonData[[#This Row],[Discharge Date]]-WilsonData[[#This Row],[Date of Admission]]</f>
        <v>6</v>
      </c>
      <c r="N185" t="s">
        <v>19</v>
      </c>
    </row>
    <row r="186" spans="1:14" x14ac:dyDescent="0.35">
      <c r="A186" t="s">
        <v>992</v>
      </c>
      <c r="B186">
        <v>27</v>
      </c>
      <c r="C186" t="str">
        <f>IF(WilsonData[[#This Row],[Age]]&lt;=18, "0-18", IF(WilsonData[[#This Row],[Age]]&lt;=35,"19-35", IF(WilsonData[[#This Row],[Age]]&lt;=50, "36-50",IF(WilsonData[[#This Row],[Age]]&lt;=65,"51-65", " 66+"))))</f>
        <v>19-35</v>
      </c>
      <c r="D186" t="s">
        <v>20</v>
      </c>
      <c r="E186" t="s">
        <v>21</v>
      </c>
      <c r="F186" t="s">
        <v>30</v>
      </c>
      <c r="G186" s="1">
        <v>45908</v>
      </c>
      <c r="H186" t="s">
        <v>37</v>
      </c>
      <c r="I186" s="2">
        <v>39643.56448076581</v>
      </c>
      <c r="J186">
        <v>230</v>
      </c>
      <c r="K186" t="s">
        <v>25</v>
      </c>
      <c r="L186" s="1">
        <v>45914</v>
      </c>
      <c r="M186" s="6">
        <f>WilsonData[[#This Row],[Discharge Date]]-WilsonData[[#This Row],[Date of Admission]]</f>
        <v>6</v>
      </c>
      <c r="N186" t="s">
        <v>15</v>
      </c>
    </row>
    <row r="187" spans="1:14" x14ac:dyDescent="0.35">
      <c r="A187" t="s">
        <v>993</v>
      </c>
      <c r="B187">
        <v>68</v>
      </c>
      <c r="C187" t="str">
        <f>IF(WilsonData[[#This Row],[Age]]&lt;=18, "0-18", IF(WilsonData[[#This Row],[Age]]&lt;=35,"19-35", IF(WilsonData[[#This Row],[Age]]&lt;=50, "36-50",IF(WilsonData[[#This Row],[Age]]&lt;=65,"51-65", " 66+"))))</f>
        <v xml:space="preserve"> 66+</v>
      </c>
      <c r="D187" t="s">
        <v>20</v>
      </c>
      <c r="E187" t="s">
        <v>21</v>
      </c>
      <c r="F187" t="s">
        <v>30</v>
      </c>
      <c r="G187" s="1">
        <v>45954</v>
      </c>
      <c r="H187" t="s">
        <v>37</v>
      </c>
      <c r="I187" s="2">
        <v>37749.909643891813</v>
      </c>
      <c r="J187">
        <v>420</v>
      </c>
      <c r="K187" t="s">
        <v>18</v>
      </c>
      <c r="L187" s="1">
        <v>45966</v>
      </c>
      <c r="M187" s="6">
        <f>WilsonData[[#This Row],[Discharge Date]]-WilsonData[[#This Row],[Date of Admission]]</f>
        <v>12</v>
      </c>
      <c r="N187" t="s">
        <v>22</v>
      </c>
    </row>
    <row r="188" spans="1:14" x14ac:dyDescent="0.35">
      <c r="A188" t="s">
        <v>994</v>
      </c>
      <c r="B188">
        <v>72</v>
      </c>
      <c r="C188" t="str">
        <f>IF(WilsonData[[#This Row],[Age]]&lt;=18, "0-18", IF(WilsonData[[#This Row],[Age]]&lt;=35,"19-35", IF(WilsonData[[#This Row],[Age]]&lt;=50, "36-50",IF(WilsonData[[#This Row],[Age]]&lt;=65,"51-65", " 66+"))))</f>
        <v xml:space="preserve"> 66+</v>
      </c>
      <c r="D188" t="s">
        <v>20</v>
      </c>
      <c r="E188" t="s">
        <v>16</v>
      </c>
      <c r="F188" t="s">
        <v>17</v>
      </c>
      <c r="G188" s="1">
        <v>46011</v>
      </c>
      <c r="H188" t="s">
        <v>37</v>
      </c>
      <c r="I188" s="2">
        <v>24722.111772600179</v>
      </c>
      <c r="J188">
        <v>115</v>
      </c>
      <c r="K188" t="s">
        <v>18</v>
      </c>
      <c r="L188" s="1">
        <v>46016</v>
      </c>
      <c r="M188" s="6">
        <f>WilsonData[[#This Row],[Discharge Date]]-WilsonData[[#This Row],[Date of Admission]]</f>
        <v>5</v>
      </c>
      <c r="N188" t="s">
        <v>27</v>
      </c>
    </row>
    <row r="189" spans="1:14" x14ac:dyDescent="0.35">
      <c r="A189" t="s">
        <v>995</v>
      </c>
      <c r="B189">
        <v>69</v>
      </c>
      <c r="C189" t="str">
        <f>IF(WilsonData[[#This Row],[Age]]&lt;=18, "0-18", IF(WilsonData[[#This Row],[Age]]&lt;=35,"19-35", IF(WilsonData[[#This Row],[Age]]&lt;=50, "36-50",IF(WilsonData[[#This Row],[Age]]&lt;=65,"51-65", " 66+"))))</f>
        <v xml:space="preserve"> 66+</v>
      </c>
      <c r="D189" t="s">
        <v>20</v>
      </c>
      <c r="E189" t="s">
        <v>16</v>
      </c>
      <c r="F189" t="s">
        <v>30</v>
      </c>
      <c r="G189" s="1">
        <v>45677</v>
      </c>
      <c r="H189" t="s">
        <v>39</v>
      </c>
      <c r="I189" s="2">
        <v>13924.83864927232</v>
      </c>
      <c r="J189">
        <v>269</v>
      </c>
      <c r="K189" t="s">
        <v>25</v>
      </c>
      <c r="L189" s="1">
        <v>45688</v>
      </c>
      <c r="M189" s="6">
        <f>WilsonData[[#This Row],[Discharge Date]]-WilsonData[[#This Row],[Date of Admission]]</f>
        <v>11</v>
      </c>
      <c r="N189" t="s">
        <v>15</v>
      </c>
    </row>
    <row r="190" spans="1:14" x14ac:dyDescent="0.35">
      <c r="A190" t="s">
        <v>996</v>
      </c>
      <c r="B190">
        <v>59</v>
      </c>
      <c r="C190" t="str">
        <f>IF(WilsonData[[#This Row],[Age]]&lt;=18, "0-18", IF(WilsonData[[#This Row],[Age]]&lt;=35,"19-35", IF(WilsonData[[#This Row],[Age]]&lt;=50, "36-50",IF(WilsonData[[#This Row],[Age]]&lt;=65,"51-65", " 66+"))))</f>
        <v>51-65</v>
      </c>
      <c r="D190" t="s">
        <v>11</v>
      </c>
      <c r="E190" t="s">
        <v>34</v>
      </c>
      <c r="F190" t="s">
        <v>28</v>
      </c>
      <c r="G190" s="1">
        <v>45960</v>
      </c>
      <c r="H190" t="s">
        <v>37</v>
      </c>
      <c r="I190" s="2">
        <v>8532.934640820009</v>
      </c>
      <c r="J190">
        <v>382</v>
      </c>
      <c r="K190" t="s">
        <v>18</v>
      </c>
      <c r="L190" s="1">
        <v>45961</v>
      </c>
      <c r="M190" s="6">
        <f>WilsonData[[#This Row],[Discharge Date]]-WilsonData[[#This Row],[Date of Admission]]</f>
        <v>1</v>
      </c>
      <c r="N190" t="s">
        <v>15</v>
      </c>
    </row>
    <row r="191" spans="1:14" x14ac:dyDescent="0.35">
      <c r="A191" t="s">
        <v>997</v>
      </c>
      <c r="B191">
        <v>64</v>
      </c>
      <c r="C191" t="str">
        <f>IF(WilsonData[[#This Row],[Age]]&lt;=18, "0-18", IF(WilsonData[[#This Row],[Age]]&lt;=35,"19-35", IF(WilsonData[[#This Row],[Age]]&lt;=50, "36-50",IF(WilsonData[[#This Row],[Age]]&lt;=65,"51-65", " 66+"))))</f>
        <v>51-65</v>
      </c>
      <c r="D191" t="s">
        <v>11</v>
      </c>
      <c r="E191" t="s">
        <v>23</v>
      </c>
      <c r="F191" t="s">
        <v>28</v>
      </c>
      <c r="G191" s="1">
        <v>45909</v>
      </c>
      <c r="H191" t="s">
        <v>36</v>
      </c>
      <c r="I191" s="2">
        <v>19594.935743510759</v>
      </c>
      <c r="J191">
        <v>298</v>
      </c>
      <c r="K191" t="s">
        <v>25</v>
      </c>
      <c r="L191" s="1">
        <v>45913</v>
      </c>
      <c r="M191" s="6">
        <f>WilsonData[[#This Row],[Discharge Date]]-WilsonData[[#This Row],[Date of Admission]]</f>
        <v>4</v>
      </c>
      <c r="N191" t="s">
        <v>15</v>
      </c>
    </row>
    <row r="192" spans="1:14" x14ac:dyDescent="0.35">
      <c r="A192" t="s">
        <v>998</v>
      </c>
      <c r="B192">
        <v>49</v>
      </c>
      <c r="C192" t="str">
        <f>IF(WilsonData[[#This Row],[Age]]&lt;=18, "0-18", IF(WilsonData[[#This Row],[Age]]&lt;=35,"19-35", IF(WilsonData[[#This Row],[Age]]&lt;=50, "36-50",IF(WilsonData[[#This Row],[Age]]&lt;=65,"51-65", " 66+"))))</f>
        <v>36-50</v>
      </c>
      <c r="D192" t="s">
        <v>20</v>
      </c>
      <c r="E192" t="s">
        <v>26</v>
      </c>
      <c r="F192" t="s">
        <v>30</v>
      </c>
      <c r="G192" s="1">
        <v>45969</v>
      </c>
      <c r="H192" t="s">
        <v>37</v>
      </c>
      <c r="I192" s="2">
        <v>18532.665077670161</v>
      </c>
      <c r="J192">
        <v>204</v>
      </c>
      <c r="K192" t="s">
        <v>25</v>
      </c>
      <c r="L192" s="1">
        <v>45970</v>
      </c>
      <c r="M192" s="6">
        <f>WilsonData[[#This Row],[Discharge Date]]-WilsonData[[#This Row],[Date of Admission]]</f>
        <v>1</v>
      </c>
      <c r="N192" t="s">
        <v>31</v>
      </c>
    </row>
    <row r="193" spans="1:14" x14ac:dyDescent="0.35">
      <c r="A193" t="s">
        <v>999</v>
      </c>
      <c r="B193">
        <v>47</v>
      </c>
      <c r="C193" t="str">
        <f>IF(WilsonData[[#This Row],[Age]]&lt;=18, "0-18", IF(WilsonData[[#This Row],[Age]]&lt;=35,"19-35", IF(WilsonData[[#This Row],[Age]]&lt;=50, "36-50",IF(WilsonData[[#This Row],[Age]]&lt;=65,"51-65", " 66+"))))</f>
        <v>36-50</v>
      </c>
      <c r="D193" t="s">
        <v>20</v>
      </c>
      <c r="E193" t="s">
        <v>16</v>
      </c>
      <c r="F193" t="s">
        <v>30</v>
      </c>
      <c r="G193" s="1">
        <v>45870</v>
      </c>
      <c r="H193" t="s">
        <v>39</v>
      </c>
      <c r="I193" s="2">
        <v>20032.686567134358</v>
      </c>
      <c r="J193">
        <v>231</v>
      </c>
      <c r="K193" t="s">
        <v>25</v>
      </c>
      <c r="L193" s="1">
        <v>45874</v>
      </c>
      <c r="M193" s="6">
        <f>WilsonData[[#This Row],[Discharge Date]]-WilsonData[[#This Row],[Date of Admission]]</f>
        <v>4</v>
      </c>
      <c r="N193" t="s">
        <v>15</v>
      </c>
    </row>
    <row r="194" spans="1:14" x14ac:dyDescent="0.35">
      <c r="A194" t="s">
        <v>1000</v>
      </c>
      <c r="B194">
        <v>68</v>
      </c>
      <c r="C194" t="str">
        <f>IF(WilsonData[[#This Row],[Age]]&lt;=18, "0-18", IF(WilsonData[[#This Row],[Age]]&lt;=35,"19-35", IF(WilsonData[[#This Row],[Age]]&lt;=50, "36-50",IF(WilsonData[[#This Row],[Age]]&lt;=65,"51-65", " 66+"))))</f>
        <v xml:space="preserve"> 66+</v>
      </c>
      <c r="D194" t="s">
        <v>11</v>
      </c>
      <c r="E194" t="s">
        <v>26</v>
      </c>
      <c r="F194" t="s">
        <v>30</v>
      </c>
      <c r="G194" s="1">
        <v>45884</v>
      </c>
      <c r="H194" t="s">
        <v>39</v>
      </c>
      <c r="I194" s="2">
        <v>23088.082118235681</v>
      </c>
      <c r="J194">
        <v>283</v>
      </c>
      <c r="K194" t="s">
        <v>25</v>
      </c>
      <c r="L194" s="1">
        <v>45891</v>
      </c>
      <c r="M194" s="6">
        <f>WilsonData[[#This Row],[Discharge Date]]-WilsonData[[#This Row],[Date of Admission]]</f>
        <v>7</v>
      </c>
      <c r="N194" t="s">
        <v>27</v>
      </c>
    </row>
    <row r="195" spans="1:14" x14ac:dyDescent="0.35">
      <c r="A195" t="s">
        <v>1001</v>
      </c>
      <c r="B195">
        <v>41</v>
      </c>
      <c r="C195" t="str">
        <f>IF(WilsonData[[#This Row],[Age]]&lt;=18, "0-18", IF(WilsonData[[#This Row],[Age]]&lt;=35,"19-35", IF(WilsonData[[#This Row],[Age]]&lt;=50, "36-50",IF(WilsonData[[#This Row],[Age]]&lt;=65,"51-65", " 66+"))))</f>
        <v>36-50</v>
      </c>
      <c r="D195" t="s">
        <v>11</v>
      </c>
      <c r="E195" t="s">
        <v>12</v>
      </c>
      <c r="F195" t="s">
        <v>28</v>
      </c>
      <c r="G195" s="1">
        <v>45848</v>
      </c>
      <c r="H195" t="s">
        <v>39</v>
      </c>
      <c r="I195" s="2">
        <v>6509.4034385260384</v>
      </c>
      <c r="J195">
        <v>138</v>
      </c>
      <c r="K195" t="s">
        <v>25</v>
      </c>
      <c r="L195" s="1">
        <v>45861</v>
      </c>
      <c r="M195" s="6">
        <f>WilsonData[[#This Row],[Discharge Date]]-WilsonData[[#This Row],[Date of Admission]]</f>
        <v>13</v>
      </c>
      <c r="N195" t="s">
        <v>22</v>
      </c>
    </row>
    <row r="196" spans="1:14" x14ac:dyDescent="0.35">
      <c r="A196" t="s">
        <v>1002</v>
      </c>
      <c r="B196">
        <v>41</v>
      </c>
      <c r="C196" t="str">
        <f>IF(WilsonData[[#This Row],[Age]]&lt;=18, "0-18", IF(WilsonData[[#This Row],[Age]]&lt;=35,"19-35", IF(WilsonData[[#This Row],[Age]]&lt;=50, "36-50",IF(WilsonData[[#This Row],[Age]]&lt;=65,"51-65", " 66+"))))</f>
        <v>36-50</v>
      </c>
      <c r="D196" t="s">
        <v>11</v>
      </c>
      <c r="E196" t="s">
        <v>23</v>
      </c>
      <c r="F196" t="s">
        <v>17</v>
      </c>
      <c r="G196" s="1">
        <v>45989</v>
      </c>
      <c r="H196" t="s">
        <v>37</v>
      </c>
      <c r="I196" s="2">
        <v>41327.825678468856</v>
      </c>
      <c r="J196">
        <v>470</v>
      </c>
      <c r="K196" t="s">
        <v>25</v>
      </c>
      <c r="L196" s="1">
        <v>45997</v>
      </c>
      <c r="M196" s="6">
        <f>WilsonData[[#This Row],[Discharge Date]]-WilsonData[[#This Row],[Date of Admission]]</f>
        <v>8</v>
      </c>
      <c r="N196" t="s">
        <v>19</v>
      </c>
    </row>
    <row r="197" spans="1:14" x14ac:dyDescent="0.35">
      <c r="A197" t="s">
        <v>1003</v>
      </c>
      <c r="B197">
        <v>41</v>
      </c>
      <c r="C197" t="str">
        <f>IF(WilsonData[[#This Row],[Age]]&lt;=18, "0-18", IF(WilsonData[[#This Row],[Age]]&lt;=35,"19-35", IF(WilsonData[[#This Row],[Age]]&lt;=50, "36-50",IF(WilsonData[[#This Row],[Age]]&lt;=65,"51-65", " 66+"))))</f>
        <v>36-50</v>
      </c>
      <c r="D197" t="s">
        <v>11</v>
      </c>
      <c r="E197" t="s">
        <v>16</v>
      </c>
      <c r="F197" t="s">
        <v>28</v>
      </c>
      <c r="G197" s="1">
        <v>46001</v>
      </c>
      <c r="H197" t="s">
        <v>36</v>
      </c>
      <c r="I197" s="2">
        <v>41015.538951833318</v>
      </c>
      <c r="J197">
        <v>405</v>
      </c>
      <c r="K197" t="s">
        <v>18</v>
      </c>
      <c r="L197" s="1">
        <v>46007</v>
      </c>
      <c r="M197" s="6">
        <f>WilsonData[[#This Row],[Discharge Date]]-WilsonData[[#This Row],[Date of Admission]]</f>
        <v>6</v>
      </c>
      <c r="N197" t="s">
        <v>22</v>
      </c>
    </row>
    <row r="198" spans="1:14" x14ac:dyDescent="0.35">
      <c r="A198" t="s">
        <v>1004</v>
      </c>
      <c r="B198">
        <v>41</v>
      </c>
      <c r="C198" t="str">
        <f>IF(WilsonData[[#This Row],[Age]]&lt;=18, "0-18", IF(WilsonData[[#This Row],[Age]]&lt;=35,"19-35", IF(WilsonData[[#This Row],[Age]]&lt;=50, "36-50",IF(WilsonData[[#This Row],[Age]]&lt;=65,"51-65", " 66+"))))</f>
        <v>36-50</v>
      </c>
      <c r="D198" t="s">
        <v>20</v>
      </c>
      <c r="E198" t="s">
        <v>21</v>
      </c>
      <c r="F198" t="s">
        <v>24</v>
      </c>
      <c r="G198" s="1">
        <v>45961</v>
      </c>
      <c r="H198" t="s">
        <v>36</v>
      </c>
      <c r="I198" s="2">
        <v>6925.9772458037969</v>
      </c>
      <c r="J198">
        <v>270</v>
      </c>
      <c r="K198" t="s">
        <v>18</v>
      </c>
      <c r="L198" s="1">
        <v>45964</v>
      </c>
      <c r="M198" s="6">
        <f>WilsonData[[#This Row],[Discharge Date]]-WilsonData[[#This Row],[Date of Admission]]</f>
        <v>3</v>
      </c>
      <c r="N198" t="s">
        <v>31</v>
      </c>
    </row>
    <row r="199" spans="1:14" x14ac:dyDescent="0.35">
      <c r="A199" t="s">
        <v>1005</v>
      </c>
      <c r="B199">
        <v>77</v>
      </c>
      <c r="C199" t="str">
        <f>IF(WilsonData[[#This Row],[Age]]&lt;=18, "0-18", IF(WilsonData[[#This Row],[Age]]&lt;=35,"19-35", IF(WilsonData[[#This Row],[Age]]&lt;=50, "36-50",IF(WilsonData[[#This Row],[Age]]&lt;=65,"51-65", " 66+"))))</f>
        <v xml:space="preserve"> 66+</v>
      </c>
      <c r="D199" t="s">
        <v>20</v>
      </c>
      <c r="E199" t="s">
        <v>21</v>
      </c>
      <c r="F199" t="s">
        <v>17</v>
      </c>
      <c r="G199" s="1">
        <v>45779</v>
      </c>
      <c r="H199" t="s">
        <v>37</v>
      </c>
      <c r="I199" s="2">
        <v>4025.674819385139</v>
      </c>
      <c r="J199">
        <v>265</v>
      </c>
      <c r="K199" t="s">
        <v>18</v>
      </c>
      <c r="L199" s="1">
        <v>45780</v>
      </c>
      <c r="M199" s="6">
        <f>WilsonData[[#This Row],[Discharge Date]]-WilsonData[[#This Row],[Date of Admission]]</f>
        <v>1</v>
      </c>
      <c r="N199" t="s">
        <v>27</v>
      </c>
    </row>
    <row r="200" spans="1:14" x14ac:dyDescent="0.35">
      <c r="A200" t="s">
        <v>1006</v>
      </c>
      <c r="B200">
        <v>22</v>
      </c>
      <c r="C200" t="str">
        <f>IF(WilsonData[[#This Row],[Age]]&lt;=18, "0-18", IF(WilsonData[[#This Row],[Age]]&lt;=35,"19-35", IF(WilsonData[[#This Row],[Age]]&lt;=50, "36-50",IF(WilsonData[[#This Row],[Age]]&lt;=65,"51-65", " 66+"))))</f>
        <v>19-35</v>
      </c>
      <c r="D200" t="s">
        <v>11</v>
      </c>
      <c r="E200" t="s">
        <v>16</v>
      </c>
      <c r="F200" t="s">
        <v>28</v>
      </c>
      <c r="G200" s="1">
        <v>45788</v>
      </c>
      <c r="H200" t="s">
        <v>39</v>
      </c>
      <c r="I200" s="2">
        <v>1955.36851816289</v>
      </c>
      <c r="J200">
        <v>331</v>
      </c>
      <c r="K200" t="s">
        <v>18</v>
      </c>
      <c r="L200" s="1">
        <v>45789</v>
      </c>
      <c r="M200" s="6">
        <f>WilsonData[[#This Row],[Discharge Date]]-WilsonData[[#This Row],[Date of Admission]]</f>
        <v>1</v>
      </c>
      <c r="N200" t="s">
        <v>31</v>
      </c>
    </row>
    <row r="201" spans="1:14" x14ac:dyDescent="0.35">
      <c r="A201" t="s">
        <v>1007</v>
      </c>
      <c r="B201">
        <v>79</v>
      </c>
      <c r="C201" t="str">
        <f>IF(WilsonData[[#This Row],[Age]]&lt;=18, "0-18", IF(WilsonData[[#This Row],[Age]]&lt;=35,"19-35", IF(WilsonData[[#This Row],[Age]]&lt;=50, "36-50",IF(WilsonData[[#This Row],[Age]]&lt;=65,"51-65", " 66+"))))</f>
        <v xml:space="preserve"> 66+</v>
      </c>
      <c r="D201" t="s">
        <v>11</v>
      </c>
      <c r="E201" t="s">
        <v>12</v>
      </c>
      <c r="F201" t="s">
        <v>32</v>
      </c>
      <c r="G201" s="1">
        <v>45813</v>
      </c>
      <c r="H201" t="s">
        <v>39</v>
      </c>
      <c r="I201" s="2">
        <v>6573.1326965834824</v>
      </c>
      <c r="J201">
        <v>281</v>
      </c>
      <c r="K201" t="s">
        <v>25</v>
      </c>
      <c r="L201" s="1">
        <v>45815</v>
      </c>
      <c r="M201" s="6">
        <f>WilsonData[[#This Row],[Discharge Date]]-WilsonData[[#This Row],[Date of Admission]]</f>
        <v>2</v>
      </c>
      <c r="N201" t="s">
        <v>19</v>
      </c>
    </row>
    <row r="202" spans="1:14" x14ac:dyDescent="0.35">
      <c r="A202" t="s">
        <v>1008</v>
      </c>
      <c r="B202">
        <v>36</v>
      </c>
      <c r="C202" t="str">
        <f>IF(WilsonData[[#This Row],[Age]]&lt;=18, "0-18", IF(WilsonData[[#This Row],[Age]]&lt;=35,"19-35", IF(WilsonData[[#This Row],[Age]]&lt;=50, "36-50",IF(WilsonData[[#This Row],[Age]]&lt;=65,"51-65", " 66+"))))</f>
        <v>36-50</v>
      </c>
      <c r="D202" t="s">
        <v>11</v>
      </c>
      <c r="E202" t="s">
        <v>12</v>
      </c>
      <c r="F202" t="s">
        <v>32</v>
      </c>
      <c r="G202" s="1">
        <v>45692</v>
      </c>
      <c r="H202" t="s">
        <v>39</v>
      </c>
      <c r="I202" s="2">
        <v>21907.646610373311</v>
      </c>
      <c r="J202">
        <v>246</v>
      </c>
      <c r="K202" t="s">
        <v>18</v>
      </c>
      <c r="L202" s="1">
        <v>45698</v>
      </c>
      <c r="M202" s="6">
        <f>WilsonData[[#This Row],[Discharge Date]]-WilsonData[[#This Row],[Date of Admission]]</f>
        <v>6</v>
      </c>
      <c r="N202" t="s">
        <v>31</v>
      </c>
    </row>
    <row r="203" spans="1:14" x14ac:dyDescent="0.35">
      <c r="A203" t="s">
        <v>1009</v>
      </c>
      <c r="B203">
        <v>57</v>
      </c>
      <c r="C203" t="str">
        <f>IF(WilsonData[[#This Row],[Age]]&lt;=18, "0-18", IF(WilsonData[[#This Row],[Age]]&lt;=35,"19-35", IF(WilsonData[[#This Row],[Age]]&lt;=50, "36-50",IF(WilsonData[[#This Row],[Age]]&lt;=65,"51-65", " 66+"))))</f>
        <v>51-65</v>
      </c>
      <c r="D203" t="s">
        <v>20</v>
      </c>
      <c r="E203" t="s">
        <v>26</v>
      </c>
      <c r="F203" t="s">
        <v>17</v>
      </c>
      <c r="G203" s="1">
        <v>45849</v>
      </c>
      <c r="H203" t="s">
        <v>39</v>
      </c>
      <c r="I203" s="2">
        <v>3827.8608580686769</v>
      </c>
      <c r="J203">
        <v>114</v>
      </c>
      <c r="K203" t="s">
        <v>18</v>
      </c>
      <c r="L203" s="1">
        <v>45857</v>
      </c>
      <c r="M203" s="6">
        <f>WilsonData[[#This Row],[Discharge Date]]-WilsonData[[#This Row],[Date of Admission]]</f>
        <v>8</v>
      </c>
      <c r="N203" t="s">
        <v>27</v>
      </c>
    </row>
    <row r="204" spans="1:14" x14ac:dyDescent="0.35">
      <c r="A204" t="s">
        <v>1010</v>
      </c>
      <c r="B204">
        <v>55</v>
      </c>
      <c r="C204" t="str">
        <f>IF(WilsonData[[#This Row],[Age]]&lt;=18, "0-18", IF(WilsonData[[#This Row],[Age]]&lt;=35,"19-35", IF(WilsonData[[#This Row],[Age]]&lt;=50, "36-50",IF(WilsonData[[#This Row],[Age]]&lt;=65,"51-65", " 66+"))))</f>
        <v>51-65</v>
      </c>
      <c r="D204" t="s">
        <v>20</v>
      </c>
      <c r="E204" t="s">
        <v>16</v>
      </c>
      <c r="F204" t="s">
        <v>24</v>
      </c>
      <c r="G204" s="1">
        <v>45936</v>
      </c>
      <c r="H204" t="s">
        <v>39</v>
      </c>
      <c r="I204" s="2">
        <v>18422.074880086089</v>
      </c>
      <c r="J204">
        <v>401</v>
      </c>
      <c r="K204" t="s">
        <v>18</v>
      </c>
      <c r="L204" s="1">
        <v>45944</v>
      </c>
      <c r="M204" s="6">
        <f>WilsonData[[#This Row],[Discharge Date]]-WilsonData[[#This Row],[Date of Admission]]</f>
        <v>8</v>
      </c>
      <c r="N204" t="s">
        <v>31</v>
      </c>
    </row>
    <row r="205" spans="1:14" x14ac:dyDescent="0.35">
      <c r="A205" t="s">
        <v>1011</v>
      </c>
      <c r="B205">
        <v>57</v>
      </c>
      <c r="C205" t="str">
        <f>IF(WilsonData[[#This Row],[Age]]&lt;=18, "0-18", IF(WilsonData[[#This Row],[Age]]&lt;=35,"19-35", IF(WilsonData[[#This Row],[Age]]&lt;=50, "36-50",IF(WilsonData[[#This Row],[Age]]&lt;=65,"51-65", " 66+"))))</f>
        <v>51-65</v>
      </c>
      <c r="D205" t="s">
        <v>20</v>
      </c>
      <c r="E205" t="s">
        <v>21</v>
      </c>
      <c r="F205" t="s">
        <v>13</v>
      </c>
      <c r="G205" s="1">
        <v>45893</v>
      </c>
      <c r="H205" t="s">
        <v>36</v>
      </c>
      <c r="I205" s="2">
        <v>15480.790812848159</v>
      </c>
      <c r="J205">
        <v>192</v>
      </c>
      <c r="K205" t="s">
        <v>18</v>
      </c>
      <c r="L205" s="1">
        <v>45899</v>
      </c>
      <c r="M205" s="6">
        <f>WilsonData[[#This Row],[Discharge Date]]-WilsonData[[#This Row],[Date of Admission]]</f>
        <v>6</v>
      </c>
      <c r="N205" t="s">
        <v>19</v>
      </c>
    </row>
    <row r="206" spans="1:14" x14ac:dyDescent="0.35">
      <c r="A206" t="s">
        <v>1012</v>
      </c>
      <c r="B206">
        <v>48</v>
      </c>
      <c r="C206" t="str">
        <f>IF(WilsonData[[#This Row],[Age]]&lt;=18, "0-18", IF(WilsonData[[#This Row],[Age]]&lt;=35,"19-35", IF(WilsonData[[#This Row],[Age]]&lt;=50, "36-50",IF(WilsonData[[#This Row],[Age]]&lt;=65,"51-65", " 66+"))))</f>
        <v>36-50</v>
      </c>
      <c r="D206" t="s">
        <v>20</v>
      </c>
      <c r="E206" t="s">
        <v>23</v>
      </c>
      <c r="F206" t="s">
        <v>13</v>
      </c>
      <c r="G206" s="1">
        <v>45685</v>
      </c>
      <c r="H206" t="s">
        <v>36</v>
      </c>
      <c r="I206" s="2">
        <v>15594.83231652533</v>
      </c>
      <c r="J206">
        <v>480</v>
      </c>
      <c r="K206" t="s">
        <v>18</v>
      </c>
      <c r="L206" s="1">
        <v>45692</v>
      </c>
      <c r="M206" s="6">
        <f>WilsonData[[#This Row],[Discharge Date]]-WilsonData[[#This Row],[Date of Admission]]</f>
        <v>7</v>
      </c>
      <c r="N206" t="s">
        <v>19</v>
      </c>
    </row>
    <row r="207" spans="1:14" x14ac:dyDescent="0.35">
      <c r="A207" t="s">
        <v>1013</v>
      </c>
      <c r="B207">
        <v>30</v>
      </c>
      <c r="C207" t="str">
        <f>IF(WilsonData[[#This Row],[Age]]&lt;=18, "0-18", IF(WilsonData[[#This Row],[Age]]&lt;=35,"19-35", IF(WilsonData[[#This Row],[Age]]&lt;=50, "36-50",IF(WilsonData[[#This Row],[Age]]&lt;=65,"51-65", " 66+"))))</f>
        <v>19-35</v>
      </c>
      <c r="D207" t="s">
        <v>20</v>
      </c>
      <c r="E207" t="s">
        <v>12</v>
      </c>
      <c r="F207" t="s">
        <v>17</v>
      </c>
      <c r="G207" s="1">
        <v>45711</v>
      </c>
      <c r="H207" t="s">
        <v>36</v>
      </c>
      <c r="I207" s="2">
        <v>38270.31489433883</v>
      </c>
      <c r="J207">
        <v>178</v>
      </c>
      <c r="K207" t="s">
        <v>25</v>
      </c>
      <c r="L207" s="1">
        <v>45721</v>
      </c>
      <c r="M207" s="6">
        <f>WilsonData[[#This Row],[Discharge Date]]-WilsonData[[#This Row],[Date of Admission]]</f>
        <v>10</v>
      </c>
      <c r="N207" t="s">
        <v>19</v>
      </c>
    </row>
    <row r="208" spans="1:14" x14ac:dyDescent="0.35">
      <c r="A208" t="s">
        <v>1014</v>
      </c>
      <c r="B208">
        <v>84</v>
      </c>
      <c r="C208" t="str">
        <f>IF(WilsonData[[#This Row],[Age]]&lt;=18, "0-18", IF(WilsonData[[#This Row],[Age]]&lt;=35,"19-35", IF(WilsonData[[#This Row],[Age]]&lt;=50, "36-50",IF(WilsonData[[#This Row],[Age]]&lt;=65,"51-65", " 66+"))))</f>
        <v xml:space="preserve"> 66+</v>
      </c>
      <c r="D208" t="s">
        <v>11</v>
      </c>
      <c r="E208" t="s">
        <v>33</v>
      </c>
      <c r="F208" t="s">
        <v>32</v>
      </c>
      <c r="G208" s="1">
        <v>45978</v>
      </c>
      <c r="H208" t="s">
        <v>39</v>
      </c>
      <c r="I208" s="2">
        <v>5358.3327903784866</v>
      </c>
      <c r="J208">
        <v>186</v>
      </c>
      <c r="K208" t="s">
        <v>18</v>
      </c>
      <c r="L208" s="1">
        <v>45987</v>
      </c>
      <c r="M208" s="6">
        <f>WilsonData[[#This Row],[Discharge Date]]-WilsonData[[#This Row],[Date of Admission]]</f>
        <v>9</v>
      </c>
      <c r="N208" t="s">
        <v>27</v>
      </c>
    </row>
    <row r="209" spans="1:14" x14ac:dyDescent="0.35">
      <c r="A209" t="s">
        <v>1015</v>
      </c>
      <c r="B209">
        <v>18</v>
      </c>
      <c r="C209" t="str">
        <f>IF(WilsonData[[#This Row],[Age]]&lt;=18, "0-18", IF(WilsonData[[#This Row],[Age]]&lt;=35,"19-35", IF(WilsonData[[#This Row],[Age]]&lt;=50, "36-50",IF(WilsonData[[#This Row],[Age]]&lt;=65,"51-65", " 66+"))))</f>
        <v>0-18</v>
      </c>
      <c r="D209" t="s">
        <v>20</v>
      </c>
      <c r="E209" t="s">
        <v>26</v>
      </c>
      <c r="F209" t="s">
        <v>13</v>
      </c>
      <c r="G209" s="1">
        <v>45766</v>
      </c>
      <c r="H209" t="s">
        <v>37</v>
      </c>
      <c r="I209" s="2">
        <v>44798.051203568772</v>
      </c>
      <c r="J209">
        <v>105</v>
      </c>
      <c r="K209" t="s">
        <v>25</v>
      </c>
      <c r="L209" s="1">
        <v>45778</v>
      </c>
      <c r="M209" s="6">
        <f>WilsonData[[#This Row],[Discharge Date]]-WilsonData[[#This Row],[Date of Admission]]</f>
        <v>12</v>
      </c>
      <c r="N209" t="s">
        <v>19</v>
      </c>
    </row>
    <row r="210" spans="1:14" x14ac:dyDescent="0.35">
      <c r="A210" t="s">
        <v>1016</v>
      </c>
      <c r="B210">
        <v>28</v>
      </c>
      <c r="C210" t="str">
        <f>IF(WilsonData[[#This Row],[Age]]&lt;=18, "0-18", IF(WilsonData[[#This Row],[Age]]&lt;=35,"19-35", IF(WilsonData[[#This Row],[Age]]&lt;=50, "36-50",IF(WilsonData[[#This Row],[Age]]&lt;=65,"51-65", " 66+"))))</f>
        <v>19-35</v>
      </c>
      <c r="D210" t="s">
        <v>11</v>
      </c>
      <c r="E210" t="s">
        <v>21</v>
      </c>
      <c r="F210" t="s">
        <v>17</v>
      </c>
      <c r="G210" s="1">
        <v>45862</v>
      </c>
      <c r="H210" t="s">
        <v>36</v>
      </c>
      <c r="I210" s="2">
        <v>14332.982262964309</v>
      </c>
      <c r="J210">
        <v>233</v>
      </c>
      <c r="K210" t="s">
        <v>18</v>
      </c>
      <c r="L210" s="1">
        <v>45863</v>
      </c>
      <c r="M210" s="6">
        <f>WilsonData[[#This Row],[Discharge Date]]-WilsonData[[#This Row],[Date of Admission]]</f>
        <v>1</v>
      </c>
      <c r="N210" t="s">
        <v>19</v>
      </c>
    </row>
    <row r="211" spans="1:14" x14ac:dyDescent="0.35">
      <c r="A211" t="s">
        <v>1017</v>
      </c>
      <c r="B211">
        <v>46</v>
      </c>
      <c r="C211" t="str">
        <f>IF(WilsonData[[#This Row],[Age]]&lt;=18, "0-18", IF(WilsonData[[#This Row],[Age]]&lt;=35,"19-35", IF(WilsonData[[#This Row],[Age]]&lt;=50, "36-50",IF(WilsonData[[#This Row],[Age]]&lt;=65,"51-65", " 66+"))))</f>
        <v>36-50</v>
      </c>
      <c r="D211" t="s">
        <v>11</v>
      </c>
      <c r="E211" t="s">
        <v>29</v>
      </c>
      <c r="F211" t="s">
        <v>24</v>
      </c>
      <c r="G211" s="1">
        <v>45815</v>
      </c>
      <c r="H211" t="s">
        <v>37</v>
      </c>
      <c r="I211" s="2">
        <v>13236.430005004269</v>
      </c>
      <c r="J211">
        <v>388</v>
      </c>
      <c r="K211" t="s">
        <v>18</v>
      </c>
      <c r="L211" s="1">
        <v>45820</v>
      </c>
      <c r="M211" s="6">
        <f>WilsonData[[#This Row],[Discharge Date]]-WilsonData[[#This Row],[Date of Admission]]</f>
        <v>5</v>
      </c>
      <c r="N211" t="s">
        <v>31</v>
      </c>
    </row>
    <row r="212" spans="1:14" x14ac:dyDescent="0.35">
      <c r="A212" t="s">
        <v>1018</v>
      </c>
      <c r="B212">
        <v>51</v>
      </c>
      <c r="C212" t="str">
        <f>IF(WilsonData[[#This Row],[Age]]&lt;=18, "0-18", IF(WilsonData[[#This Row],[Age]]&lt;=35,"19-35", IF(WilsonData[[#This Row],[Age]]&lt;=50, "36-50",IF(WilsonData[[#This Row],[Age]]&lt;=65,"51-65", " 66+"))))</f>
        <v>51-65</v>
      </c>
      <c r="D212" t="s">
        <v>20</v>
      </c>
      <c r="E212" t="s">
        <v>34</v>
      </c>
      <c r="F212" t="s">
        <v>17</v>
      </c>
      <c r="G212" s="1">
        <v>45884</v>
      </c>
      <c r="H212" t="s">
        <v>39</v>
      </c>
      <c r="I212" s="2">
        <v>39607.768279087133</v>
      </c>
      <c r="J212">
        <v>272</v>
      </c>
      <c r="K212" t="s">
        <v>25</v>
      </c>
      <c r="L212" s="1">
        <v>45892</v>
      </c>
      <c r="M212" s="6">
        <f>WilsonData[[#This Row],[Discharge Date]]-WilsonData[[#This Row],[Date of Admission]]</f>
        <v>8</v>
      </c>
      <c r="N212" t="s">
        <v>22</v>
      </c>
    </row>
    <row r="213" spans="1:14" x14ac:dyDescent="0.35">
      <c r="A213" t="s">
        <v>1019</v>
      </c>
      <c r="B213">
        <v>35</v>
      </c>
      <c r="C213" t="str">
        <f>IF(WilsonData[[#This Row],[Age]]&lt;=18, "0-18", IF(WilsonData[[#This Row],[Age]]&lt;=35,"19-35", IF(WilsonData[[#This Row],[Age]]&lt;=50, "36-50",IF(WilsonData[[#This Row],[Age]]&lt;=65,"51-65", " 66+"))))</f>
        <v>19-35</v>
      </c>
      <c r="D213" t="s">
        <v>20</v>
      </c>
      <c r="E213" t="s">
        <v>33</v>
      </c>
      <c r="F213" t="s">
        <v>32</v>
      </c>
      <c r="G213" s="1">
        <v>45781</v>
      </c>
      <c r="H213" t="s">
        <v>39</v>
      </c>
      <c r="I213" s="2">
        <v>27684.046934404771</v>
      </c>
      <c r="J213">
        <v>283</v>
      </c>
      <c r="K213" t="s">
        <v>18</v>
      </c>
      <c r="L213" s="1">
        <v>45782</v>
      </c>
      <c r="M213" s="6">
        <f>WilsonData[[#This Row],[Discharge Date]]-WilsonData[[#This Row],[Date of Admission]]</f>
        <v>1</v>
      </c>
      <c r="N213" t="s">
        <v>19</v>
      </c>
    </row>
    <row r="214" spans="1:14" x14ac:dyDescent="0.35">
      <c r="A214" t="s">
        <v>1020</v>
      </c>
      <c r="B214">
        <v>44</v>
      </c>
      <c r="C214" t="str">
        <f>IF(WilsonData[[#This Row],[Age]]&lt;=18, "0-18", IF(WilsonData[[#This Row],[Age]]&lt;=35,"19-35", IF(WilsonData[[#This Row],[Age]]&lt;=50, "36-50",IF(WilsonData[[#This Row],[Age]]&lt;=65,"51-65", " 66+"))))</f>
        <v>36-50</v>
      </c>
      <c r="D214" t="s">
        <v>20</v>
      </c>
      <c r="E214" t="s">
        <v>21</v>
      </c>
      <c r="F214" t="s">
        <v>24</v>
      </c>
      <c r="G214" s="1">
        <v>45972</v>
      </c>
      <c r="H214" t="s">
        <v>37</v>
      </c>
      <c r="I214" s="2">
        <v>6009.4695625819804</v>
      </c>
      <c r="J214">
        <v>104</v>
      </c>
      <c r="K214" t="s">
        <v>18</v>
      </c>
      <c r="L214" s="1">
        <v>45975</v>
      </c>
      <c r="M214" s="6">
        <f>WilsonData[[#This Row],[Discharge Date]]-WilsonData[[#This Row],[Date of Admission]]</f>
        <v>3</v>
      </c>
      <c r="N214" t="s">
        <v>19</v>
      </c>
    </row>
    <row r="215" spans="1:14" x14ac:dyDescent="0.35">
      <c r="A215" t="s">
        <v>1021</v>
      </c>
      <c r="B215">
        <v>82</v>
      </c>
      <c r="C215" t="str">
        <f>IF(WilsonData[[#This Row],[Age]]&lt;=18, "0-18", IF(WilsonData[[#This Row],[Age]]&lt;=35,"19-35", IF(WilsonData[[#This Row],[Age]]&lt;=50, "36-50",IF(WilsonData[[#This Row],[Age]]&lt;=65,"51-65", " 66+"))))</f>
        <v xml:space="preserve"> 66+</v>
      </c>
      <c r="D215" t="s">
        <v>11</v>
      </c>
      <c r="E215" t="s">
        <v>26</v>
      </c>
      <c r="F215" t="s">
        <v>28</v>
      </c>
      <c r="G215" s="1">
        <v>45838</v>
      </c>
      <c r="H215" t="s">
        <v>36</v>
      </c>
      <c r="I215" s="2">
        <v>2004.6195737182529</v>
      </c>
      <c r="J215">
        <v>192</v>
      </c>
      <c r="K215" t="s">
        <v>18</v>
      </c>
      <c r="L215" s="1">
        <v>45839</v>
      </c>
      <c r="M215" s="6">
        <f>WilsonData[[#This Row],[Discharge Date]]-WilsonData[[#This Row],[Date of Admission]]</f>
        <v>1</v>
      </c>
      <c r="N215" t="s">
        <v>27</v>
      </c>
    </row>
    <row r="216" spans="1:14" x14ac:dyDescent="0.35">
      <c r="A216" t="s">
        <v>1022</v>
      </c>
      <c r="B216">
        <v>66</v>
      </c>
      <c r="C216" t="str">
        <f>IF(WilsonData[[#This Row],[Age]]&lt;=18, "0-18", IF(WilsonData[[#This Row],[Age]]&lt;=35,"19-35", IF(WilsonData[[#This Row],[Age]]&lt;=50, "36-50",IF(WilsonData[[#This Row],[Age]]&lt;=65,"51-65", " 66+"))))</f>
        <v xml:space="preserve"> 66+</v>
      </c>
      <c r="D216" t="s">
        <v>20</v>
      </c>
      <c r="E216" t="s">
        <v>12</v>
      </c>
      <c r="F216" t="s">
        <v>24</v>
      </c>
      <c r="G216" s="1">
        <v>45868</v>
      </c>
      <c r="H216" t="s">
        <v>36</v>
      </c>
      <c r="I216" s="2">
        <v>23279.508886608401</v>
      </c>
      <c r="J216">
        <v>481</v>
      </c>
      <c r="K216" t="s">
        <v>25</v>
      </c>
      <c r="L216" s="1">
        <v>45876</v>
      </c>
      <c r="M216" s="6">
        <f>WilsonData[[#This Row],[Discharge Date]]-WilsonData[[#This Row],[Date of Admission]]</f>
        <v>8</v>
      </c>
      <c r="N216" t="s">
        <v>15</v>
      </c>
    </row>
    <row r="217" spans="1:14" x14ac:dyDescent="0.35">
      <c r="A217" t="s">
        <v>1023</v>
      </c>
      <c r="B217">
        <v>64</v>
      </c>
      <c r="C217" t="str">
        <f>IF(WilsonData[[#This Row],[Age]]&lt;=18, "0-18", IF(WilsonData[[#This Row],[Age]]&lt;=35,"19-35", IF(WilsonData[[#This Row],[Age]]&lt;=50, "36-50",IF(WilsonData[[#This Row],[Age]]&lt;=65,"51-65", " 66+"))))</f>
        <v>51-65</v>
      </c>
      <c r="D217" t="s">
        <v>20</v>
      </c>
      <c r="E217" t="s">
        <v>23</v>
      </c>
      <c r="F217" t="s">
        <v>32</v>
      </c>
      <c r="G217" s="1">
        <v>45663</v>
      </c>
      <c r="H217" t="s">
        <v>36</v>
      </c>
      <c r="I217" s="2">
        <v>9003.4844037504099</v>
      </c>
      <c r="J217">
        <v>448</v>
      </c>
      <c r="K217" t="s">
        <v>18</v>
      </c>
      <c r="L217" s="1">
        <v>45675</v>
      </c>
      <c r="M217" s="6">
        <f>WilsonData[[#This Row],[Discharge Date]]-WilsonData[[#This Row],[Date of Admission]]</f>
        <v>12</v>
      </c>
      <c r="N217" t="s">
        <v>19</v>
      </c>
    </row>
    <row r="218" spans="1:14" x14ac:dyDescent="0.35">
      <c r="A218" t="s">
        <v>1024</v>
      </c>
      <c r="B218">
        <v>21</v>
      </c>
      <c r="C218" t="str">
        <f>IF(WilsonData[[#This Row],[Age]]&lt;=18, "0-18", IF(WilsonData[[#This Row],[Age]]&lt;=35,"19-35", IF(WilsonData[[#This Row],[Age]]&lt;=50, "36-50",IF(WilsonData[[#This Row],[Age]]&lt;=65,"51-65", " 66+"))))</f>
        <v>19-35</v>
      </c>
      <c r="D218" t="s">
        <v>11</v>
      </c>
      <c r="E218" t="s">
        <v>23</v>
      </c>
      <c r="F218" t="s">
        <v>30</v>
      </c>
      <c r="G218" s="1">
        <v>45843</v>
      </c>
      <c r="H218" t="s">
        <v>36</v>
      </c>
      <c r="I218" s="2">
        <v>14661.67879715498</v>
      </c>
      <c r="J218">
        <v>388</v>
      </c>
      <c r="K218" t="s">
        <v>18</v>
      </c>
      <c r="L218" s="1">
        <v>45854</v>
      </c>
      <c r="M218" s="6">
        <f>WilsonData[[#This Row],[Discharge Date]]-WilsonData[[#This Row],[Date of Admission]]</f>
        <v>11</v>
      </c>
      <c r="N218" t="s">
        <v>19</v>
      </c>
    </row>
    <row r="219" spans="1:14" x14ac:dyDescent="0.35">
      <c r="A219" t="s">
        <v>1025</v>
      </c>
      <c r="B219">
        <v>34</v>
      </c>
      <c r="C219" t="str">
        <f>IF(WilsonData[[#This Row],[Age]]&lt;=18, "0-18", IF(WilsonData[[#This Row],[Age]]&lt;=35,"19-35", IF(WilsonData[[#This Row],[Age]]&lt;=50, "36-50",IF(WilsonData[[#This Row],[Age]]&lt;=65,"51-65", " 66+"))))</f>
        <v>19-35</v>
      </c>
      <c r="D219" t="s">
        <v>11</v>
      </c>
      <c r="E219" t="s">
        <v>34</v>
      </c>
      <c r="F219" t="s">
        <v>32</v>
      </c>
      <c r="G219" s="1">
        <v>45697</v>
      </c>
      <c r="H219" t="s">
        <v>39</v>
      </c>
      <c r="I219" s="2">
        <v>40092.68952429582</v>
      </c>
      <c r="J219">
        <v>419</v>
      </c>
      <c r="K219" t="s">
        <v>18</v>
      </c>
      <c r="L219" s="1">
        <v>45699</v>
      </c>
      <c r="M219" s="6">
        <f>WilsonData[[#This Row],[Discharge Date]]-WilsonData[[#This Row],[Date of Admission]]</f>
        <v>2</v>
      </c>
      <c r="N219" t="s">
        <v>19</v>
      </c>
    </row>
    <row r="220" spans="1:14" x14ac:dyDescent="0.35">
      <c r="A220" t="s">
        <v>1026</v>
      </c>
      <c r="B220">
        <v>33</v>
      </c>
      <c r="C220" t="str">
        <f>IF(WilsonData[[#This Row],[Age]]&lt;=18, "0-18", IF(WilsonData[[#This Row],[Age]]&lt;=35,"19-35", IF(WilsonData[[#This Row],[Age]]&lt;=50, "36-50",IF(WilsonData[[#This Row],[Age]]&lt;=65,"51-65", " 66+"))))</f>
        <v>19-35</v>
      </c>
      <c r="D220" t="s">
        <v>20</v>
      </c>
      <c r="E220" t="s">
        <v>33</v>
      </c>
      <c r="F220" t="s">
        <v>32</v>
      </c>
      <c r="G220" s="1">
        <v>45827</v>
      </c>
      <c r="H220" t="s">
        <v>39</v>
      </c>
      <c r="I220" s="2">
        <v>1681.0061836567349</v>
      </c>
      <c r="J220">
        <v>300</v>
      </c>
      <c r="K220" t="s">
        <v>25</v>
      </c>
      <c r="L220" s="1">
        <v>45830</v>
      </c>
      <c r="M220" s="6">
        <f>WilsonData[[#This Row],[Discharge Date]]-WilsonData[[#This Row],[Date of Admission]]</f>
        <v>3</v>
      </c>
      <c r="N220" t="s">
        <v>15</v>
      </c>
    </row>
    <row r="221" spans="1:14" x14ac:dyDescent="0.35">
      <c r="A221" t="s">
        <v>1027</v>
      </c>
      <c r="B221">
        <v>72</v>
      </c>
      <c r="C221" t="str">
        <f>IF(WilsonData[[#This Row],[Age]]&lt;=18, "0-18", IF(WilsonData[[#This Row],[Age]]&lt;=35,"19-35", IF(WilsonData[[#This Row],[Age]]&lt;=50, "36-50",IF(WilsonData[[#This Row],[Age]]&lt;=65,"51-65", " 66+"))))</f>
        <v xml:space="preserve"> 66+</v>
      </c>
      <c r="D221" t="s">
        <v>20</v>
      </c>
      <c r="E221" t="s">
        <v>26</v>
      </c>
      <c r="F221" t="s">
        <v>13</v>
      </c>
      <c r="G221" s="1">
        <v>45904</v>
      </c>
      <c r="H221" t="s">
        <v>36</v>
      </c>
      <c r="I221" s="2">
        <v>41397.672973311899</v>
      </c>
      <c r="J221">
        <v>246</v>
      </c>
      <c r="K221" t="s">
        <v>18</v>
      </c>
      <c r="L221" s="1">
        <v>45913</v>
      </c>
      <c r="M221" s="6">
        <f>WilsonData[[#This Row],[Discharge Date]]-WilsonData[[#This Row],[Date of Admission]]</f>
        <v>9</v>
      </c>
      <c r="N221" t="s">
        <v>31</v>
      </c>
    </row>
    <row r="222" spans="1:14" x14ac:dyDescent="0.35">
      <c r="A222" t="s">
        <v>1028</v>
      </c>
      <c r="B222">
        <v>38</v>
      </c>
      <c r="C222" t="str">
        <f>IF(WilsonData[[#This Row],[Age]]&lt;=18, "0-18", IF(WilsonData[[#This Row],[Age]]&lt;=35,"19-35", IF(WilsonData[[#This Row],[Age]]&lt;=50, "36-50",IF(WilsonData[[#This Row],[Age]]&lt;=65,"51-65", " 66+"))))</f>
        <v>36-50</v>
      </c>
      <c r="D222" t="s">
        <v>20</v>
      </c>
      <c r="E222" t="s">
        <v>26</v>
      </c>
      <c r="F222" t="s">
        <v>28</v>
      </c>
      <c r="G222" s="1">
        <v>45801</v>
      </c>
      <c r="H222" t="s">
        <v>36</v>
      </c>
      <c r="I222" s="2">
        <v>4187.8140173778738</v>
      </c>
      <c r="J222">
        <v>196</v>
      </c>
      <c r="K222" t="s">
        <v>18</v>
      </c>
      <c r="L222" s="1">
        <v>45810</v>
      </c>
      <c r="M222" s="6">
        <f>WilsonData[[#This Row],[Discharge Date]]-WilsonData[[#This Row],[Date of Admission]]</f>
        <v>9</v>
      </c>
      <c r="N222" t="s">
        <v>15</v>
      </c>
    </row>
    <row r="223" spans="1:14" x14ac:dyDescent="0.35">
      <c r="A223" t="s">
        <v>1029</v>
      </c>
      <c r="B223">
        <v>24</v>
      </c>
      <c r="C223" t="str">
        <f>IF(WilsonData[[#This Row],[Age]]&lt;=18, "0-18", IF(WilsonData[[#This Row],[Age]]&lt;=35,"19-35", IF(WilsonData[[#This Row],[Age]]&lt;=50, "36-50",IF(WilsonData[[#This Row],[Age]]&lt;=65,"51-65", " 66+"))))</f>
        <v>19-35</v>
      </c>
      <c r="D223" t="s">
        <v>20</v>
      </c>
      <c r="E223" t="s">
        <v>23</v>
      </c>
      <c r="F223" t="s">
        <v>13</v>
      </c>
      <c r="G223" s="1">
        <v>45725</v>
      </c>
      <c r="H223" t="s">
        <v>39</v>
      </c>
      <c r="I223" s="2">
        <v>38672.281955562648</v>
      </c>
      <c r="J223">
        <v>184</v>
      </c>
      <c r="K223" t="s">
        <v>18</v>
      </c>
      <c r="L223" s="1">
        <v>45735</v>
      </c>
      <c r="M223" s="6">
        <f>WilsonData[[#This Row],[Discharge Date]]-WilsonData[[#This Row],[Date of Admission]]</f>
        <v>10</v>
      </c>
      <c r="N223" t="s">
        <v>31</v>
      </c>
    </row>
    <row r="224" spans="1:14" x14ac:dyDescent="0.35">
      <c r="A224" t="s">
        <v>1030</v>
      </c>
      <c r="B224">
        <v>78</v>
      </c>
      <c r="C224" t="str">
        <f>IF(WilsonData[[#This Row],[Age]]&lt;=18, "0-18", IF(WilsonData[[#This Row],[Age]]&lt;=35,"19-35", IF(WilsonData[[#This Row],[Age]]&lt;=50, "36-50",IF(WilsonData[[#This Row],[Age]]&lt;=65,"51-65", " 66+"))))</f>
        <v xml:space="preserve"> 66+</v>
      </c>
      <c r="D224" t="s">
        <v>20</v>
      </c>
      <c r="E224" t="s">
        <v>34</v>
      </c>
      <c r="F224" t="s">
        <v>24</v>
      </c>
      <c r="G224" s="1">
        <v>45884</v>
      </c>
      <c r="H224" t="s">
        <v>39</v>
      </c>
      <c r="I224" s="2">
        <v>34877.75811241677</v>
      </c>
      <c r="J224">
        <v>247</v>
      </c>
      <c r="K224" t="s">
        <v>25</v>
      </c>
      <c r="L224" s="1">
        <v>45888</v>
      </c>
      <c r="M224" s="6">
        <f>WilsonData[[#This Row],[Discharge Date]]-WilsonData[[#This Row],[Date of Admission]]</f>
        <v>4</v>
      </c>
      <c r="N224" t="s">
        <v>22</v>
      </c>
    </row>
    <row r="225" spans="1:14" x14ac:dyDescent="0.35">
      <c r="A225" t="s">
        <v>1031</v>
      </c>
      <c r="B225">
        <v>48</v>
      </c>
      <c r="C225" t="str">
        <f>IF(WilsonData[[#This Row],[Age]]&lt;=18, "0-18", IF(WilsonData[[#This Row],[Age]]&lt;=35,"19-35", IF(WilsonData[[#This Row],[Age]]&lt;=50, "36-50",IF(WilsonData[[#This Row],[Age]]&lt;=65,"51-65", " 66+"))))</f>
        <v>36-50</v>
      </c>
      <c r="D225" t="s">
        <v>11</v>
      </c>
      <c r="E225" t="s">
        <v>26</v>
      </c>
      <c r="F225" t="s">
        <v>24</v>
      </c>
      <c r="G225" s="1">
        <v>45929</v>
      </c>
      <c r="H225" t="s">
        <v>37</v>
      </c>
      <c r="I225" s="2">
        <v>1903.173657905654</v>
      </c>
      <c r="J225">
        <v>145</v>
      </c>
      <c r="K225" t="s">
        <v>18</v>
      </c>
      <c r="L225" s="1">
        <v>45940</v>
      </c>
      <c r="M225" s="6">
        <f>WilsonData[[#This Row],[Discharge Date]]-WilsonData[[#This Row],[Date of Admission]]</f>
        <v>11</v>
      </c>
      <c r="N225" t="s">
        <v>22</v>
      </c>
    </row>
    <row r="226" spans="1:14" x14ac:dyDescent="0.35">
      <c r="A226" t="s">
        <v>1032</v>
      </c>
      <c r="B226">
        <v>71</v>
      </c>
      <c r="C226" t="str">
        <f>IF(WilsonData[[#This Row],[Age]]&lt;=18, "0-18", IF(WilsonData[[#This Row],[Age]]&lt;=35,"19-35", IF(WilsonData[[#This Row],[Age]]&lt;=50, "36-50",IF(WilsonData[[#This Row],[Age]]&lt;=65,"51-65", " 66+"))))</f>
        <v xml:space="preserve"> 66+</v>
      </c>
      <c r="D226" t="s">
        <v>20</v>
      </c>
      <c r="E226" t="s">
        <v>34</v>
      </c>
      <c r="F226" t="s">
        <v>32</v>
      </c>
      <c r="G226" s="1">
        <v>45988</v>
      </c>
      <c r="H226" t="s">
        <v>37</v>
      </c>
      <c r="I226" s="2">
        <v>32445.49574622092</v>
      </c>
      <c r="J226">
        <v>497</v>
      </c>
      <c r="K226" t="s">
        <v>18</v>
      </c>
      <c r="L226" s="1">
        <v>45991</v>
      </c>
      <c r="M226" s="6">
        <f>WilsonData[[#This Row],[Discharge Date]]-WilsonData[[#This Row],[Date of Admission]]</f>
        <v>3</v>
      </c>
      <c r="N226" t="s">
        <v>15</v>
      </c>
    </row>
    <row r="227" spans="1:14" x14ac:dyDescent="0.35">
      <c r="A227" t="s">
        <v>1033</v>
      </c>
      <c r="B227">
        <v>76</v>
      </c>
      <c r="C227" t="str">
        <f>IF(WilsonData[[#This Row],[Age]]&lt;=18, "0-18", IF(WilsonData[[#This Row],[Age]]&lt;=35,"19-35", IF(WilsonData[[#This Row],[Age]]&lt;=50, "36-50",IF(WilsonData[[#This Row],[Age]]&lt;=65,"51-65", " 66+"))))</f>
        <v xml:space="preserve"> 66+</v>
      </c>
      <c r="D227" t="s">
        <v>11</v>
      </c>
      <c r="E227" t="s">
        <v>29</v>
      </c>
      <c r="F227" t="s">
        <v>24</v>
      </c>
      <c r="G227" s="1">
        <v>45677</v>
      </c>
      <c r="H227" t="s">
        <v>37</v>
      </c>
      <c r="I227" s="2">
        <v>1590.072876271553</v>
      </c>
      <c r="J227">
        <v>268</v>
      </c>
      <c r="K227" t="s">
        <v>25</v>
      </c>
      <c r="L227" s="1">
        <v>45690</v>
      </c>
      <c r="M227" s="6">
        <f>WilsonData[[#This Row],[Discharge Date]]-WilsonData[[#This Row],[Date of Admission]]</f>
        <v>13</v>
      </c>
      <c r="N227" t="s">
        <v>27</v>
      </c>
    </row>
    <row r="228" spans="1:14" x14ac:dyDescent="0.35">
      <c r="A228" t="s">
        <v>1034</v>
      </c>
      <c r="B228">
        <v>60</v>
      </c>
      <c r="C228" t="str">
        <f>IF(WilsonData[[#This Row],[Age]]&lt;=18, "0-18", IF(WilsonData[[#This Row],[Age]]&lt;=35,"19-35", IF(WilsonData[[#This Row],[Age]]&lt;=50, "36-50",IF(WilsonData[[#This Row],[Age]]&lt;=65,"51-65", " 66+"))))</f>
        <v>51-65</v>
      </c>
      <c r="D228" t="s">
        <v>20</v>
      </c>
      <c r="E228" t="s">
        <v>12</v>
      </c>
      <c r="F228" t="s">
        <v>32</v>
      </c>
      <c r="G228" s="1">
        <v>45751</v>
      </c>
      <c r="H228" t="s">
        <v>36</v>
      </c>
      <c r="I228" s="2">
        <v>47434.193924261272</v>
      </c>
      <c r="J228">
        <v>448</v>
      </c>
      <c r="K228" t="s">
        <v>18</v>
      </c>
      <c r="L228" s="1">
        <v>45762</v>
      </c>
      <c r="M228" s="6">
        <f>WilsonData[[#This Row],[Discharge Date]]-WilsonData[[#This Row],[Date of Admission]]</f>
        <v>11</v>
      </c>
      <c r="N228" t="s">
        <v>15</v>
      </c>
    </row>
    <row r="229" spans="1:14" x14ac:dyDescent="0.35">
      <c r="A229" t="s">
        <v>1035</v>
      </c>
      <c r="B229">
        <v>68</v>
      </c>
      <c r="C229" t="str">
        <f>IF(WilsonData[[#This Row],[Age]]&lt;=18, "0-18", IF(WilsonData[[#This Row],[Age]]&lt;=35,"19-35", IF(WilsonData[[#This Row],[Age]]&lt;=50, "36-50",IF(WilsonData[[#This Row],[Age]]&lt;=65,"51-65", " 66+"))))</f>
        <v xml:space="preserve"> 66+</v>
      </c>
      <c r="D229" t="s">
        <v>11</v>
      </c>
      <c r="E229" t="s">
        <v>29</v>
      </c>
      <c r="F229" t="s">
        <v>32</v>
      </c>
      <c r="G229" s="1">
        <v>45974</v>
      </c>
      <c r="H229" t="s">
        <v>39</v>
      </c>
      <c r="I229" s="2">
        <v>17387.897948155471</v>
      </c>
      <c r="J229">
        <v>108</v>
      </c>
      <c r="K229" t="s">
        <v>18</v>
      </c>
      <c r="L229" s="1">
        <v>45986</v>
      </c>
      <c r="M229" s="6">
        <f>WilsonData[[#This Row],[Discharge Date]]-WilsonData[[#This Row],[Date of Admission]]</f>
        <v>12</v>
      </c>
      <c r="N229" t="s">
        <v>27</v>
      </c>
    </row>
    <row r="230" spans="1:14" x14ac:dyDescent="0.35">
      <c r="A230" t="s">
        <v>1036</v>
      </c>
      <c r="B230">
        <v>61</v>
      </c>
      <c r="C230" t="str">
        <f>IF(WilsonData[[#This Row],[Age]]&lt;=18, "0-18", IF(WilsonData[[#This Row],[Age]]&lt;=35,"19-35", IF(WilsonData[[#This Row],[Age]]&lt;=50, "36-50",IF(WilsonData[[#This Row],[Age]]&lt;=65,"51-65", " 66+"))))</f>
        <v>51-65</v>
      </c>
      <c r="D230" t="s">
        <v>11</v>
      </c>
      <c r="E230" t="s">
        <v>12</v>
      </c>
      <c r="F230" t="s">
        <v>24</v>
      </c>
      <c r="G230" s="1">
        <v>45697</v>
      </c>
      <c r="H230" t="s">
        <v>39</v>
      </c>
      <c r="I230" s="2">
        <v>13410.78564748242</v>
      </c>
      <c r="J230">
        <v>484</v>
      </c>
      <c r="K230" t="s">
        <v>18</v>
      </c>
      <c r="L230" s="1">
        <v>45705</v>
      </c>
      <c r="M230" s="6">
        <f>WilsonData[[#This Row],[Discharge Date]]-WilsonData[[#This Row],[Date of Admission]]</f>
        <v>8</v>
      </c>
      <c r="N230" t="s">
        <v>15</v>
      </c>
    </row>
    <row r="231" spans="1:14" x14ac:dyDescent="0.35">
      <c r="A231" t="s">
        <v>1037</v>
      </c>
      <c r="B231">
        <v>20</v>
      </c>
      <c r="C231" t="str">
        <f>IF(WilsonData[[#This Row],[Age]]&lt;=18, "0-18", IF(WilsonData[[#This Row],[Age]]&lt;=35,"19-35", IF(WilsonData[[#This Row],[Age]]&lt;=50, "36-50",IF(WilsonData[[#This Row],[Age]]&lt;=65,"51-65", " 66+"))))</f>
        <v>19-35</v>
      </c>
      <c r="D231" t="s">
        <v>20</v>
      </c>
      <c r="E231" t="s">
        <v>12</v>
      </c>
      <c r="F231" t="s">
        <v>24</v>
      </c>
      <c r="G231" s="1">
        <v>45767</v>
      </c>
      <c r="H231" t="s">
        <v>37</v>
      </c>
      <c r="I231" s="2">
        <v>42745.133582142364</v>
      </c>
      <c r="J231">
        <v>432</v>
      </c>
      <c r="K231" t="s">
        <v>25</v>
      </c>
      <c r="L231" s="1">
        <v>45779</v>
      </c>
      <c r="M231" s="6">
        <f>WilsonData[[#This Row],[Discharge Date]]-WilsonData[[#This Row],[Date of Admission]]</f>
        <v>12</v>
      </c>
      <c r="N231" t="s">
        <v>19</v>
      </c>
    </row>
    <row r="232" spans="1:14" x14ac:dyDescent="0.35">
      <c r="A232" t="s">
        <v>1038</v>
      </c>
      <c r="B232">
        <v>51</v>
      </c>
      <c r="C232" t="str">
        <f>IF(WilsonData[[#This Row],[Age]]&lt;=18, "0-18", IF(WilsonData[[#This Row],[Age]]&lt;=35,"19-35", IF(WilsonData[[#This Row],[Age]]&lt;=50, "36-50",IF(WilsonData[[#This Row],[Age]]&lt;=65,"51-65", " 66+"))))</f>
        <v>51-65</v>
      </c>
      <c r="D232" t="s">
        <v>20</v>
      </c>
      <c r="E232" t="s">
        <v>26</v>
      </c>
      <c r="F232" t="s">
        <v>30</v>
      </c>
      <c r="G232" s="1">
        <v>45820</v>
      </c>
      <c r="H232" t="s">
        <v>39</v>
      </c>
      <c r="I232" s="2">
        <v>46292.147371948042</v>
      </c>
      <c r="J232">
        <v>385</v>
      </c>
      <c r="K232" t="s">
        <v>18</v>
      </c>
      <c r="L232" s="1">
        <v>45822</v>
      </c>
      <c r="M232" s="6">
        <f>WilsonData[[#This Row],[Discharge Date]]-WilsonData[[#This Row],[Date of Admission]]</f>
        <v>2</v>
      </c>
      <c r="N232" t="s">
        <v>22</v>
      </c>
    </row>
    <row r="233" spans="1:14" x14ac:dyDescent="0.35">
      <c r="A233" t="s">
        <v>1039</v>
      </c>
      <c r="B233">
        <v>18</v>
      </c>
      <c r="C233" t="str">
        <f>IF(WilsonData[[#This Row],[Age]]&lt;=18, "0-18", IF(WilsonData[[#This Row],[Age]]&lt;=35,"19-35", IF(WilsonData[[#This Row],[Age]]&lt;=50, "36-50",IF(WilsonData[[#This Row],[Age]]&lt;=65,"51-65", " 66+"))))</f>
        <v>0-18</v>
      </c>
      <c r="D233" t="s">
        <v>20</v>
      </c>
      <c r="E233" t="s">
        <v>16</v>
      </c>
      <c r="F233" t="s">
        <v>30</v>
      </c>
      <c r="G233" s="1">
        <v>45745</v>
      </c>
      <c r="H233" t="s">
        <v>39</v>
      </c>
      <c r="I233" s="2">
        <v>45378.483888380753</v>
      </c>
      <c r="J233">
        <v>223</v>
      </c>
      <c r="K233" t="s">
        <v>18</v>
      </c>
      <c r="L233" s="1">
        <v>45747</v>
      </c>
      <c r="M233" s="6">
        <f>WilsonData[[#This Row],[Discharge Date]]-WilsonData[[#This Row],[Date of Admission]]</f>
        <v>2</v>
      </c>
      <c r="N233" t="s">
        <v>27</v>
      </c>
    </row>
    <row r="234" spans="1:14" x14ac:dyDescent="0.35">
      <c r="A234" t="s">
        <v>1040</v>
      </c>
      <c r="B234">
        <v>70</v>
      </c>
      <c r="C234" t="str">
        <f>IF(WilsonData[[#This Row],[Age]]&lt;=18, "0-18", IF(WilsonData[[#This Row],[Age]]&lt;=35,"19-35", IF(WilsonData[[#This Row],[Age]]&lt;=50, "36-50",IF(WilsonData[[#This Row],[Age]]&lt;=65,"51-65", " 66+"))))</f>
        <v xml:space="preserve"> 66+</v>
      </c>
      <c r="D234" t="s">
        <v>20</v>
      </c>
      <c r="E234" t="s">
        <v>12</v>
      </c>
      <c r="F234" t="s">
        <v>30</v>
      </c>
      <c r="G234" s="1">
        <v>45670</v>
      </c>
      <c r="H234" t="s">
        <v>37</v>
      </c>
      <c r="I234" s="2">
        <v>35319.123324266409</v>
      </c>
      <c r="J234">
        <v>419</v>
      </c>
      <c r="K234" t="s">
        <v>25</v>
      </c>
      <c r="L234" s="1">
        <v>45674</v>
      </c>
      <c r="M234" s="6">
        <f>WilsonData[[#This Row],[Discharge Date]]-WilsonData[[#This Row],[Date of Admission]]</f>
        <v>4</v>
      </c>
      <c r="N234" t="s">
        <v>19</v>
      </c>
    </row>
    <row r="235" spans="1:14" x14ac:dyDescent="0.35">
      <c r="A235" t="s">
        <v>1041</v>
      </c>
      <c r="B235">
        <v>82</v>
      </c>
      <c r="C235" t="str">
        <f>IF(WilsonData[[#This Row],[Age]]&lt;=18, "0-18", IF(WilsonData[[#This Row],[Age]]&lt;=35,"19-35", IF(WilsonData[[#This Row],[Age]]&lt;=50, "36-50",IF(WilsonData[[#This Row],[Age]]&lt;=65,"51-65", " 66+"))))</f>
        <v xml:space="preserve"> 66+</v>
      </c>
      <c r="D235" t="s">
        <v>20</v>
      </c>
      <c r="E235" t="s">
        <v>12</v>
      </c>
      <c r="F235" t="s">
        <v>32</v>
      </c>
      <c r="G235" s="1">
        <v>45985</v>
      </c>
      <c r="H235" t="s">
        <v>39</v>
      </c>
      <c r="I235" s="2">
        <v>45914.13809189805</v>
      </c>
      <c r="J235">
        <v>119</v>
      </c>
      <c r="K235" t="s">
        <v>18</v>
      </c>
      <c r="L235" s="1">
        <v>45990</v>
      </c>
      <c r="M235" s="6">
        <f>WilsonData[[#This Row],[Discharge Date]]-WilsonData[[#This Row],[Date of Admission]]</f>
        <v>5</v>
      </c>
      <c r="N235" t="s">
        <v>15</v>
      </c>
    </row>
    <row r="236" spans="1:14" x14ac:dyDescent="0.35">
      <c r="A236" t="s">
        <v>1042</v>
      </c>
      <c r="B236">
        <v>60</v>
      </c>
      <c r="C236" t="str">
        <f>IF(WilsonData[[#This Row],[Age]]&lt;=18, "0-18", IF(WilsonData[[#This Row],[Age]]&lt;=35,"19-35", IF(WilsonData[[#This Row],[Age]]&lt;=50, "36-50",IF(WilsonData[[#This Row],[Age]]&lt;=65,"51-65", " 66+"))))</f>
        <v>51-65</v>
      </c>
      <c r="D236" t="s">
        <v>20</v>
      </c>
      <c r="E236" t="s">
        <v>29</v>
      </c>
      <c r="F236" t="s">
        <v>24</v>
      </c>
      <c r="G236" s="1">
        <v>45817</v>
      </c>
      <c r="H236" t="s">
        <v>37</v>
      </c>
      <c r="I236" s="2">
        <v>4813.3558162763802</v>
      </c>
      <c r="J236">
        <v>260</v>
      </c>
      <c r="K236" t="s">
        <v>18</v>
      </c>
      <c r="L236" s="1">
        <v>45830</v>
      </c>
      <c r="M236" s="6">
        <f>WilsonData[[#This Row],[Discharge Date]]-WilsonData[[#This Row],[Date of Admission]]</f>
        <v>13</v>
      </c>
      <c r="N236" t="s">
        <v>31</v>
      </c>
    </row>
    <row r="237" spans="1:14" x14ac:dyDescent="0.35">
      <c r="A237" t="s">
        <v>969</v>
      </c>
      <c r="B237">
        <v>54</v>
      </c>
      <c r="C237" t="str">
        <f>IF(WilsonData[[#This Row],[Age]]&lt;=18, "0-18", IF(WilsonData[[#This Row],[Age]]&lt;=35,"19-35", IF(WilsonData[[#This Row],[Age]]&lt;=50, "36-50",IF(WilsonData[[#This Row],[Age]]&lt;=65,"51-65", " 66+"))))</f>
        <v>51-65</v>
      </c>
      <c r="D237" t="s">
        <v>20</v>
      </c>
      <c r="E237" t="s">
        <v>12</v>
      </c>
      <c r="F237" t="s">
        <v>32</v>
      </c>
      <c r="G237" s="1">
        <v>45811</v>
      </c>
      <c r="H237" t="s">
        <v>37</v>
      </c>
      <c r="I237" s="2">
        <v>36856.204558072743</v>
      </c>
      <c r="J237">
        <v>264</v>
      </c>
      <c r="K237" t="s">
        <v>25</v>
      </c>
      <c r="L237" s="1">
        <v>45822</v>
      </c>
      <c r="M237" s="6">
        <f>WilsonData[[#This Row],[Discharge Date]]-WilsonData[[#This Row],[Date of Admission]]</f>
        <v>11</v>
      </c>
      <c r="N237" t="s">
        <v>22</v>
      </c>
    </row>
    <row r="238" spans="1:14" x14ac:dyDescent="0.35">
      <c r="A238" t="s">
        <v>1043</v>
      </c>
      <c r="B238">
        <v>47</v>
      </c>
      <c r="C238" t="str">
        <f>IF(WilsonData[[#This Row],[Age]]&lt;=18, "0-18", IF(WilsonData[[#This Row],[Age]]&lt;=35,"19-35", IF(WilsonData[[#This Row],[Age]]&lt;=50, "36-50",IF(WilsonData[[#This Row],[Age]]&lt;=65,"51-65", " 66+"))))</f>
        <v>36-50</v>
      </c>
      <c r="D238" t="s">
        <v>20</v>
      </c>
      <c r="E238" t="s">
        <v>21</v>
      </c>
      <c r="F238" t="s">
        <v>13</v>
      </c>
      <c r="G238" s="1">
        <v>45733</v>
      </c>
      <c r="H238" t="s">
        <v>39</v>
      </c>
      <c r="I238" s="2">
        <v>-68.319620761113356</v>
      </c>
      <c r="J238">
        <v>288</v>
      </c>
      <c r="K238" t="s">
        <v>18</v>
      </c>
      <c r="L238" s="1">
        <v>45745</v>
      </c>
      <c r="M238" s="6">
        <f>WilsonData[[#This Row],[Discharge Date]]-WilsonData[[#This Row],[Date of Admission]]</f>
        <v>12</v>
      </c>
      <c r="N238" t="s">
        <v>19</v>
      </c>
    </row>
    <row r="239" spans="1:14" x14ac:dyDescent="0.35">
      <c r="A239" t="s">
        <v>1044</v>
      </c>
      <c r="B239">
        <v>57</v>
      </c>
      <c r="C239" t="str">
        <f>IF(WilsonData[[#This Row],[Age]]&lt;=18, "0-18", IF(WilsonData[[#This Row],[Age]]&lt;=35,"19-35", IF(WilsonData[[#This Row],[Age]]&lt;=50, "36-50",IF(WilsonData[[#This Row],[Age]]&lt;=65,"51-65", " 66+"))))</f>
        <v>51-65</v>
      </c>
      <c r="D239" t="s">
        <v>11</v>
      </c>
      <c r="E239" t="s">
        <v>21</v>
      </c>
      <c r="F239" t="s">
        <v>30</v>
      </c>
      <c r="G239" s="1">
        <v>45950</v>
      </c>
      <c r="H239" t="s">
        <v>36</v>
      </c>
      <c r="I239" s="2">
        <v>1502.150642159766</v>
      </c>
      <c r="J239">
        <v>351</v>
      </c>
      <c r="K239" t="s">
        <v>25</v>
      </c>
      <c r="L239" s="1">
        <v>45958</v>
      </c>
      <c r="M239" s="6">
        <f>WilsonData[[#This Row],[Discharge Date]]-WilsonData[[#This Row],[Date of Admission]]</f>
        <v>8</v>
      </c>
      <c r="N239" t="s">
        <v>31</v>
      </c>
    </row>
    <row r="240" spans="1:14" x14ac:dyDescent="0.35">
      <c r="A240" t="s">
        <v>1045</v>
      </c>
      <c r="B240">
        <v>52</v>
      </c>
      <c r="C240" t="str">
        <f>IF(WilsonData[[#This Row],[Age]]&lt;=18, "0-18", IF(WilsonData[[#This Row],[Age]]&lt;=35,"19-35", IF(WilsonData[[#This Row],[Age]]&lt;=50, "36-50",IF(WilsonData[[#This Row],[Age]]&lt;=65,"51-65", " 66+"))))</f>
        <v>51-65</v>
      </c>
      <c r="D240" t="s">
        <v>11</v>
      </c>
      <c r="E240" t="s">
        <v>34</v>
      </c>
      <c r="F240" t="s">
        <v>17</v>
      </c>
      <c r="G240" s="1">
        <v>45774</v>
      </c>
      <c r="H240" t="s">
        <v>37</v>
      </c>
      <c r="I240" s="2">
        <v>44150.492444979573</v>
      </c>
      <c r="J240">
        <v>370</v>
      </c>
      <c r="K240" t="s">
        <v>18</v>
      </c>
      <c r="L240" s="1">
        <v>45779</v>
      </c>
      <c r="M240" s="6">
        <f>WilsonData[[#This Row],[Discharge Date]]-WilsonData[[#This Row],[Date of Admission]]</f>
        <v>5</v>
      </c>
      <c r="N240" t="s">
        <v>19</v>
      </c>
    </row>
    <row r="241" spans="1:14" x14ac:dyDescent="0.35">
      <c r="A241" t="s">
        <v>1046</v>
      </c>
      <c r="B241">
        <v>52</v>
      </c>
      <c r="C241" t="str">
        <f>IF(WilsonData[[#This Row],[Age]]&lt;=18, "0-18", IF(WilsonData[[#This Row],[Age]]&lt;=35,"19-35", IF(WilsonData[[#This Row],[Age]]&lt;=50, "36-50",IF(WilsonData[[#This Row],[Age]]&lt;=65,"51-65", " 66+"))))</f>
        <v>51-65</v>
      </c>
      <c r="D241" t="s">
        <v>20</v>
      </c>
      <c r="E241" t="s">
        <v>26</v>
      </c>
      <c r="F241" t="s">
        <v>28</v>
      </c>
      <c r="G241" s="1">
        <v>45689</v>
      </c>
      <c r="H241" t="s">
        <v>37</v>
      </c>
      <c r="I241" s="2">
        <v>44415.218284627997</v>
      </c>
      <c r="J241">
        <v>136</v>
      </c>
      <c r="K241" t="s">
        <v>18</v>
      </c>
      <c r="L241" s="1">
        <v>45700</v>
      </c>
      <c r="M241" s="6">
        <f>WilsonData[[#This Row],[Discharge Date]]-WilsonData[[#This Row],[Date of Admission]]</f>
        <v>11</v>
      </c>
      <c r="N241" t="s">
        <v>31</v>
      </c>
    </row>
    <row r="242" spans="1:14" x14ac:dyDescent="0.35">
      <c r="A242" t="s">
        <v>1047</v>
      </c>
      <c r="B242">
        <v>32</v>
      </c>
      <c r="C242" t="str">
        <f>IF(WilsonData[[#This Row],[Age]]&lt;=18, "0-18", IF(WilsonData[[#This Row],[Age]]&lt;=35,"19-35", IF(WilsonData[[#This Row],[Age]]&lt;=50, "36-50",IF(WilsonData[[#This Row],[Age]]&lt;=65,"51-65", " 66+"))))</f>
        <v>19-35</v>
      </c>
      <c r="D242" t="s">
        <v>20</v>
      </c>
      <c r="E242" t="s">
        <v>23</v>
      </c>
      <c r="F242" t="s">
        <v>28</v>
      </c>
      <c r="G242" s="1">
        <v>45986</v>
      </c>
      <c r="H242" t="s">
        <v>36</v>
      </c>
      <c r="I242" s="2">
        <v>35844.142583219284</v>
      </c>
      <c r="J242">
        <v>340</v>
      </c>
      <c r="K242" t="s">
        <v>25</v>
      </c>
      <c r="L242" s="1">
        <v>45997</v>
      </c>
      <c r="M242" s="6">
        <f>WilsonData[[#This Row],[Discharge Date]]-WilsonData[[#This Row],[Date of Admission]]</f>
        <v>11</v>
      </c>
      <c r="N242" t="s">
        <v>22</v>
      </c>
    </row>
    <row r="243" spans="1:14" x14ac:dyDescent="0.35">
      <c r="A243" t="s">
        <v>1048</v>
      </c>
      <c r="B243">
        <v>60</v>
      </c>
      <c r="C243" t="str">
        <f>IF(WilsonData[[#This Row],[Age]]&lt;=18, "0-18", IF(WilsonData[[#This Row],[Age]]&lt;=35,"19-35", IF(WilsonData[[#This Row],[Age]]&lt;=50, "36-50",IF(WilsonData[[#This Row],[Age]]&lt;=65,"51-65", " 66+"))))</f>
        <v>51-65</v>
      </c>
      <c r="D243" t="s">
        <v>11</v>
      </c>
      <c r="E243" t="s">
        <v>34</v>
      </c>
      <c r="F243" t="s">
        <v>30</v>
      </c>
      <c r="G243" s="1">
        <v>45883</v>
      </c>
      <c r="H243" t="s">
        <v>39</v>
      </c>
      <c r="I243" s="2">
        <v>48916.870957018073</v>
      </c>
      <c r="J243">
        <v>303</v>
      </c>
      <c r="K243" t="s">
        <v>18</v>
      </c>
      <c r="L243" s="1">
        <v>45893</v>
      </c>
      <c r="M243" s="6">
        <f>WilsonData[[#This Row],[Discharge Date]]-WilsonData[[#This Row],[Date of Admission]]</f>
        <v>10</v>
      </c>
      <c r="N243" t="s">
        <v>31</v>
      </c>
    </row>
    <row r="244" spans="1:14" x14ac:dyDescent="0.35">
      <c r="A244" t="s">
        <v>1049</v>
      </c>
      <c r="B244">
        <v>64</v>
      </c>
      <c r="C244" t="str">
        <f>IF(WilsonData[[#This Row],[Age]]&lt;=18, "0-18", IF(WilsonData[[#This Row],[Age]]&lt;=35,"19-35", IF(WilsonData[[#This Row],[Age]]&lt;=50, "36-50",IF(WilsonData[[#This Row],[Age]]&lt;=65,"51-65", " 66+"))))</f>
        <v>51-65</v>
      </c>
      <c r="D244" t="s">
        <v>11</v>
      </c>
      <c r="E244" t="s">
        <v>21</v>
      </c>
      <c r="F244" t="s">
        <v>30</v>
      </c>
      <c r="G244" s="1">
        <v>45700</v>
      </c>
      <c r="H244" t="s">
        <v>36</v>
      </c>
      <c r="I244" s="2">
        <v>16398.561572383809</v>
      </c>
      <c r="J244">
        <v>158</v>
      </c>
      <c r="K244" t="s">
        <v>18</v>
      </c>
      <c r="L244" s="1">
        <v>45712</v>
      </c>
      <c r="M244" s="6">
        <f>WilsonData[[#This Row],[Discharge Date]]-WilsonData[[#This Row],[Date of Admission]]</f>
        <v>12</v>
      </c>
      <c r="N244" t="s">
        <v>19</v>
      </c>
    </row>
    <row r="245" spans="1:14" x14ac:dyDescent="0.35">
      <c r="A245" t="s">
        <v>1050</v>
      </c>
      <c r="B245">
        <v>46</v>
      </c>
      <c r="C245" t="str">
        <f>IF(WilsonData[[#This Row],[Age]]&lt;=18, "0-18", IF(WilsonData[[#This Row],[Age]]&lt;=35,"19-35", IF(WilsonData[[#This Row],[Age]]&lt;=50, "36-50",IF(WilsonData[[#This Row],[Age]]&lt;=65,"51-65", " 66+"))))</f>
        <v>36-50</v>
      </c>
      <c r="D245" t="s">
        <v>11</v>
      </c>
      <c r="E245" t="s">
        <v>33</v>
      </c>
      <c r="F245" t="s">
        <v>30</v>
      </c>
      <c r="G245" s="1">
        <v>45980</v>
      </c>
      <c r="H245" t="s">
        <v>36</v>
      </c>
      <c r="I245" s="2">
        <v>37012.61499485837</v>
      </c>
      <c r="J245">
        <v>367</v>
      </c>
      <c r="K245" t="s">
        <v>25</v>
      </c>
      <c r="L245" s="1">
        <v>45984</v>
      </c>
      <c r="M245" s="6">
        <f>WilsonData[[#This Row],[Discharge Date]]-WilsonData[[#This Row],[Date of Admission]]</f>
        <v>4</v>
      </c>
      <c r="N245" t="s">
        <v>19</v>
      </c>
    </row>
    <row r="246" spans="1:14" x14ac:dyDescent="0.35">
      <c r="A246" t="s">
        <v>1051</v>
      </c>
      <c r="B246">
        <v>79</v>
      </c>
      <c r="C246" t="str">
        <f>IF(WilsonData[[#This Row],[Age]]&lt;=18, "0-18", IF(WilsonData[[#This Row],[Age]]&lt;=35,"19-35", IF(WilsonData[[#This Row],[Age]]&lt;=50, "36-50",IF(WilsonData[[#This Row],[Age]]&lt;=65,"51-65", " 66+"))))</f>
        <v xml:space="preserve"> 66+</v>
      </c>
      <c r="D246" t="s">
        <v>11</v>
      </c>
      <c r="E246" t="s">
        <v>21</v>
      </c>
      <c r="F246" t="s">
        <v>17</v>
      </c>
      <c r="G246" s="1">
        <v>45803</v>
      </c>
      <c r="H246" t="s">
        <v>37</v>
      </c>
      <c r="I246" s="2">
        <v>32498.691267998089</v>
      </c>
      <c r="J246">
        <v>481</v>
      </c>
      <c r="K246" t="s">
        <v>25</v>
      </c>
      <c r="L246" s="1">
        <v>45806</v>
      </c>
      <c r="M246" s="6">
        <f>WilsonData[[#This Row],[Discharge Date]]-WilsonData[[#This Row],[Date of Admission]]</f>
        <v>3</v>
      </c>
      <c r="N246" t="s">
        <v>31</v>
      </c>
    </row>
    <row r="247" spans="1:14" x14ac:dyDescent="0.35">
      <c r="A247" t="s">
        <v>1052</v>
      </c>
      <c r="B247">
        <v>66</v>
      </c>
      <c r="C247" t="str">
        <f>IF(WilsonData[[#This Row],[Age]]&lt;=18, "0-18", IF(WilsonData[[#This Row],[Age]]&lt;=35,"19-35", IF(WilsonData[[#This Row],[Age]]&lt;=50, "36-50",IF(WilsonData[[#This Row],[Age]]&lt;=65,"51-65", " 66+"))))</f>
        <v xml:space="preserve"> 66+</v>
      </c>
      <c r="D247" t="s">
        <v>20</v>
      </c>
      <c r="E247" t="s">
        <v>21</v>
      </c>
      <c r="F247" t="s">
        <v>13</v>
      </c>
      <c r="G247" s="1">
        <v>45902</v>
      </c>
      <c r="H247" t="s">
        <v>37</v>
      </c>
      <c r="I247" s="2">
        <v>15465.12504561622</v>
      </c>
      <c r="J247">
        <v>392</v>
      </c>
      <c r="K247" t="s">
        <v>25</v>
      </c>
      <c r="L247" s="1">
        <v>45913</v>
      </c>
      <c r="M247" s="6">
        <f>WilsonData[[#This Row],[Discharge Date]]-WilsonData[[#This Row],[Date of Admission]]</f>
        <v>11</v>
      </c>
      <c r="N247" t="s">
        <v>22</v>
      </c>
    </row>
    <row r="248" spans="1:14" x14ac:dyDescent="0.35">
      <c r="A248" t="s">
        <v>1053</v>
      </c>
      <c r="B248">
        <v>23</v>
      </c>
      <c r="C248" t="str">
        <f>IF(WilsonData[[#This Row],[Age]]&lt;=18, "0-18", IF(WilsonData[[#This Row],[Age]]&lt;=35,"19-35", IF(WilsonData[[#This Row],[Age]]&lt;=50, "36-50",IF(WilsonData[[#This Row],[Age]]&lt;=65,"51-65", " 66+"))))</f>
        <v>19-35</v>
      </c>
      <c r="D248" t="s">
        <v>11</v>
      </c>
      <c r="E248" t="s">
        <v>16</v>
      </c>
      <c r="F248" t="s">
        <v>13</v>
      </c>
      <c r="G248" s="1">
        <v>45666</v>
      </c>
      <c r="H248" t="s">
        <v>36</v>
      </c>
      <c r="I248" s="2">
        <v>35005.753942432697</v>
      </c>
      <c r="J248">
        <v>326</v>
      </c>
      <c r="K248" t="s">
        <v>18</v>
      </c>
      <c r="L248" s="1">
        <v>45669</v>
      </c>
      <c r="M248" s="6">
        <f>WilsonData[[#This Row],[Discharge Date]]-WilsonData[[#This Row],[Date of Admission]]</f>
        <v>3</v>
      </c>
      <c r="N248" t="s">
        <v>31</v>
      </c>
    </row>
    <row r="249" spans="1:14" x14ac:dyDescent="0.35">
      <c r="A249" t="s">
        <v>1054</v>
      </c>
      <c r="B249">
        <v>61</v>
      </c>
      <c r="C249" t="str">
        <f>IF(WilsonData[[#This Row],[Age]]&lt;=18, "0-18", IF(WilsonData[[#This Row],[Age]]&lt;=35,"19-35", IF(WilsonData[[#This Row],[Age]]&lt;=50, "36-50",IF(WilsonData[[#This Row],[Age]]&lt;=65,"51-65", " 66+"))))</f>
        <v>51-65</v>
      </c>
      <c r="D249" t="s">
        <v>20</v>
      </c>
      <c r="E249" t="s">
        <v>16</v>
      </c>
      <c r="F249" t="s">
        <v>30</v>
      </c>
      <c r="G249" s="1">
        <v>45958</v>
      </c>
      <c r="H249" t="s">
        <v>37</v>
      </c>
      <c r="I249" s="2">
        <v>20372.19047269196</v>
      </c>
      <c r="J249">
        <v>379</v>
      </c>
      <c r="K249" t="s">
        <v>25</v>
      </c>
      <c r="L249" s="1">
        <v>45970</v>
      </c>
      <c r="M249" s="6">
        <f>WilsonData[[#This Row],[Discharge Date]]-WilsonData[[#This Row],[Date of Admission]]</f>
        <v>12</v>
      </c>
      <c r="N249" t="s">
        <v>31</v>
      </c>
    </row>
    <row r="250" spans="1:14" x14ac:dyDescent="0.35">
      <c r="A250" t="s">
        <v>1055</v>
      </c>
      <c r="B250">
        <v>63</v>
      </c>
      <c r="C250" t="str">
        <f>IF(WilsonData[[#This Row],[Age]]&lt;=18, "0-18", IF(WilsonData[[#This Row],[Age]]&lt;=35,"19-35", IF(WilsonData[[#This Row],[Age]]&lt;=50, "36-50",IF(WilsonData[[#This Row],[Age]]&lt;=65,"51-65", " 66+"))))</f>
        <v>51-65</v>
      </c>
      <c r="D250" t="s">
        <v>11</v>
      </c>
      <c r="E250" t="s">
        <v>26</v>
      </c>
      <c r="F250" t="s">
        <v>32</v>
      </c>
      <c r="G250" s="1">
        <v>46004</v>
      </c>
      <c r="H250" t="s">
        <v>37</v>
      </c>
      <c r="I250" s="2">
        <v>36260.227756632477</v>
      </c>
      <c r="J250">
        <v>463</v>
      </c>
      <c r="K250" t="s">
        <v>18</v>
      </c>
      <c r="L250" s="1">
        <v>46018</v>
      </c>
      <c r="M250" s="6">
        <f>WilsonData[[#This Row],[Discharge Date]]-WilsonData[[#This Row],[Date of Admission]]</f>
        <v>14</v>
      </c>
      <c r="N250" t="s">
        <v>19</v>
      </c>
    </row>
    <row r="251" spans="1:14" x14ac:dyDescent="0.35">
      <c r="A251" t="s">
        <v>1056</v>
      </c>
      <c r="B251">
        <v>28</v>
      </c>
      <c r="C251" t="str">
        <f>IF(WilsonData[[#This Row],[Age]]&lt;=18, "0-18", IF(WilsonData[[#This Row],[Age]]&lt;=35,"19-35", IF(WilsonData[[#This Row],[Age]]&lt;=50, "36-50",IF(WilsonData[[#This Row],[Age]]&lt;=65,"51-65", " 66+"))))</f>
        <v>19-35</v>
      </c>
      <c r="D251" t="s">
        <v>11</v>
      </c>
      <c r="E251" t="s">
        <v>33</v>
      </c>
      <c r="F251" t="s">
        <v>13</v>
      </c>
      <c r="G251" s="1">
        <v>45826</v>
      </c>
      <c r="H251" t="s">
        <v>39</v>
      </c>
      <c r="I251" s="2">
        <v>6802.0976449092777</v>
      </c>
      <c r="J251">
        <v>209</v>
      </c>
      <c r="K251" t="s">
        <v>25</v>
      </c>
      <c r="L251" s="1">
        <v>45837</v>
      </c>
      <c r="M251" s="6">
        <f>WilsonData[[#This Row],[Discharge Date]]-WilsonData[[#This Row],[Date of Admission]]</f>
        <v>11</v>
      </c>
      <c r="N251" t="s">
        <v>31</v>
      </c>
    </row>
    <row r="252" spans="1:14" x14ac:dyDescent="0.35">
      <c r="A252" t="s">
        <v>1057</v>
      </c>
      <c r="B252">
        <v>57</v>
      </c>
      <c r="C252" t="str">
        <f>IF(WilsonData[[#This Row],[Age]]&lt;=18, "0-18", IF(WilsonData[[#This Row],[Age]]&lt;=35,"19-35", IF(WilsonData[[#This Row],[Age]]&lt;=50, "36-50",IF(WilsonData[[#This Row],[Age]]&lt;=65,"51-65", " 66+"))))</f>
        <v>51-65</v>
      </c>
      <c r="D252" t="s">
        <v>20</v>
      </c>
      <c r="E252" t="s">
        <v>29</v>
      </c>
      <c r="F252" t="s">
        <v>30</v>
      </c>
      <c r="G252" s="1">
        <v>45950</v>
      </c>
      <c r="H252" t="s">
        <v>37</v>
      </c>
      <c r="I252" s="2">
        <v>11898.809555485161</v>
      </c>
      <c r="J252">
        <v>177</v>
      </c>
      <c r="K252" t="s">
        <v>18</v>
      </c>
      <c r="L252" s="1">
        <v>45954</v>
      </c>
      <c r="M252" s="6">
        <f>WilsonData[[#This Row],[Discharge Date]]-WilsonData[[#This Row],[Date of Admission]]</f>
        <v>4</v>
      </c>
      <c r="N252" t="s">
        <v>22</v>
      </c>
    </row>
    <row r="253" spans="1:14" x14ac:dyDescent="0.35">
      <c r="A253" t="s">
        <v>1058</v>
      </c>
      <c r="B253">
        <v>20</v>
      </c>
      <c r="C253" t="str">
        <f>IF(WilsonData[[#This Row],[Age]]&lt;=18, "0-18", IF(WilsonData[[#This Row],[Age]]&lt;=35,"19-35", IF(WilsonData[[#This Row],[Age]]&lt;=50, "36-50",IF(WilsonData[[#This Row],[Age]]&lt;=65,"51-65", " 66+"))))</f>
        <v>19-35</v>
      </c>
      <c r="D253" t="s">
        <v>20</v>
      </c>
      <c r="E253" t="s">
        <v>26</v>
      </c>
      <c r="F253" t="s">
        <v>28</v>
      </c>
      <c r="G253" s="1">
        <v>45979</v>
      </c>
      <c r="H253" t="s">
        <v>39</v>
      </c>
      <c r="I253" s="2">
        <v>44073.679816247837</v>
      </c>
      <c r="J253">
        <v>257</v>
      </c>
      <c r="K253" t="s">
        <v>25</v>
      </c>
      <c r="L253" s="1">
        <v>45990</v>
      </c>
      <c r="M253" s="6">
        <f>WilsonData[[#This Row],[Discharge Date]]-WilsonData[[#This Row],[Date of Admission]]</f>
        <v>11</v>
      </c>
      <c r="N253" t="s">
        <v>15</v>
      </c>
    </row>
    <row r="254" spans="1:14" x14ac:dyDescent="0.35">
      <c r="A254" t="s">
        <v>1059</v>
      </c>
      <c r="B254">
        <v>48</v>
      </c>
      <c r="C254" t="str">
        <f>IF(WilsonData[[#This Row],[Age]]&lt;=18, "0-18", IF(WilsonData[[#This Row],[Age]]&lt;=35,"19-35", IF(WilsonData[[#This Row],[Age]]&lt;=50, "36-50",IF(WilsonData[[#This Row],[Age]]&lt;=65,"51-65", " 66+"))))</f>
        <v>36-50</v>
      </c>
      <c r="D254" t="s">
        <v>11</v>
      </c>
      <c r="E254" t="s">
        <v>16</v>
      </c>
      <c r="F254" t="s">
        <v>17</v>
      </c>
      <c r="G254" s="1">
        <v>45753</v>
      </c>
      <c r="H254" t="s">
        <v>37</v>
      </c>
      <c r="I254" s="2">
        <v>9809.1879612655321</v>
      </c>
      <c r="J254">
        <v>148</v>
      </c>
      <c r="K254" t="s">
        <v>25</v>
      </c>
      <c r="L254" s="1">
        <v>45760</v>
      </c>
      <c r="M254" s="6">
        <f>WilsonData[[#This Row],[Discharge Date]]-WilsonData[[#This Row],[Date of Admission]]</f>
        <v>7</v>
      </c>
      <c r="N254" t="s">
        <v>31</v>
      </c>
    </row>
    <row r="255" spans="1:14" x14ac:dyDescent="0.35">
      <c r="A255" t="s">
        <v>1060</v>
      </c>
      <c r="B255">
        <v>47</v>
      </c>
      <c r="C255" t="str">
        <f>IF(WilsonData[[#This Row],[Age]]&lt;=18, "0-18", IF(WilsonData[[#This Row],[Age]]&lt;=35,"19-35", IF(WilsonData[[#This Row],[Age]]&lt;=50, "36-50",IF(WilsonData[[#This Row],[Age]]&lt;=65,"51-65", " 66+"))))</f>
        <v>36-50</v>
      </c>
      <c r="D255" t="s">
        <v>11</v>
      </c>
      <c r="E255" t="s">
        <v>34</v>
      </c>
      <c r="F255" t="s">
        <v>13</v>
      </c>
      <c r="G255" s="1">
        <v>45752</v>
      </c>
      <c r="H255" t="s">
        <v>37</v>
      </c>
      <c r="I255" s="2">
        <v>24227.504396388249</v>
      </c>
      <c r="J255">
        <v>486</v>
      </c>
      <c r="K255" t="s">
        <v>25</v>
      </c>
      <c r="L255" s="1">
        <v>45765</v>
      </c>
      <c r="M255" s="6">
        <f>WilsonData[[#This Row],[Discharge Date]]-WilsonData[[#This Row],[Date of Admission]]</f>
        <v>13</v>
      </c>
      <c r="N255" t="s">
        <v>31</v>
      </c>
    </row>
    <row r="256" spans="1:14" x14ac:dyDescent="0.35">
      <c r="A256" t="s">
        <v>1061</v>
      </c>
      <c r="B256">
        <v>68</v>
      </c>
      <c r="C256" t="str">
        <f>IF(WilsonData[[#This Row],[Age]]&lt;=18, "0-18", IF(WilsonData[[#This Row],[Age]]&lt;=35,"19-35", IF(WilsonData[[#This Row],[Age]]&lt;=50, "36-50",IF(WilsonData[[#This Row],[Age]]&lt;=65,"51-65", " 66+"))))</f>
        <v xml:space="preserve"> 66+</v>
      </c>
      <c r="D256" t="s">
        <v>20</v>
      </c>
      <c r="E256" t="s">
        <v>21</v>
      </c>
      <c r="F256" t="s">
        <v>13</v>
      </c>
      <c r="G256" s="1">
        <v>45709</v>
      </c>
      <c r="H256" t="s">
        <v>36</v>
      </c>
      <c r="I256" s="2">
        <v>26546.076911096439</v>
      </c>
      <c r="J256">
        <v>101</v>
      </c>
      <c r="K256" t="s">
        <v>25</v>
      </c>
      <c r="L256" s="1">
        <v>45719</v>
      </c>
      <c r="M256" s="6">
        <f>WilsonData[[#This Row],[Discharge Date]]-WilsonData[[#This Row],[Date of Admission]]</f>
        <v>10</v>
      </c>
      <c r="N256" t="s">
        <v>19</v>
      </c>
    </row>
    <row r="257" spans="1:14" x14ac:dyDescent="0.35">
      <c r="A257" t="s">
        <v>1062</v>
      </c>
      <c r="B257">
        <v>33</v>
      </c>
      <c r="C257" t="str">
        <f>IF(WilsonData[[#This Row],[Age]]&lt;=18, "0-18", IF(WilsonData[[#This Row],[Age]]&lt;=35,"19-35", IF(WilsonData[[#This Row],[Age]]&lt;=50, "36-50",IF(WilsonData[[#This Row],[Age]]&lt;=65,"51-65", " 66+"))))</f>
        <v>19-35</v>
      </c>
      <c r="D257" t="s">
        <v>20</v>
      </c>
      <c r="E257" t="s">
        <v>16</v>
      </c>
      <c r="F257" t="s">
        <v>24</v>
      </c>
      <c r="G257" s="1">
        <v>45676</v>
      </c>
      <c r="H257" t="s">
        <v>37</v>
      </c>
      <c r="I257" s="2">
        <v>49277.839359361613</v>
      </c>
      <c r="J257">
        <v>260</v>
      </c>
      <c r="K257" t="s">
        <v>25</v>
      </c>
      <c r="L257" s="1">
        <v>45678</v>
      </c>
      <c r="M257" s="6">
        <f>WilsonData[[#This Row],[Discharge Date]]-WilsonData[[#This Row],[Date of Admission]]</f>
        <v>2</v>
      </c>
      <c r="N257" t="s">
        <v>15</v>
      </c>
    </row>
    <row r="258" spans="1:14" x14ac:dyDescent="0.35">
      <c r="A258" t="s">
        <v>1063</v>
      </c>
      <c r="B258">
        <v>25</v>
      </c>
      <c r="C258" t="str">
        <f>IF(WilsonData[[#This Row],[Age]]&lt;=18, "0-18", IF(WilsonData[[#This Row],[Age]]&lt;=35,"19-35", IF(WilsonData[[#This Row],[Age]]&lt;=50, "36-50",IF(WilsonData[[#This Row],[Age]]&lt;=65,"51-65", " 66+"))))</f>
        <v>19-35</v>
      </c>
      <c r="D258" t="s">
        <v>20</v>
      </c>
      <c r="E258" t="s">
        <v>33</v>
      </c>
      <c r="F258" t="s">
        <v>13</v>
      </c>
      <c r="G258" s="1">
        <v>45660</v>
      </c>
      <c r="H258" t="s">
        <v>39</v>
      </c>
      <c r="I258" s="2">
        <v>37362.728019042581</v>
      </c>
      <c r="J258">
        <v>440</v>
      </c>
      <c r="K258" t="s">
        <v>25</v>
      </c>
      <c r="L258" s="1">
        <v>45665</v>
      </c>
      <c r="M258" s="6">
        <f>WilsonData[[#This Row],[Discharge Date]]-WilsonData[[#This Row],[Date of Admission]]</f>
        <v>5</v>
      </c>
      <c r="N258" t="s">
        <v>27</v>
      </c>
    </row>
    <row r="259" spans="1:14" x14ac:dyDescent="0.35">
      <c r="A259" t="s">
        <v>1064</v>
      </c>
      <c r="B259">
        <v>63</v>
      </c>
      <c r="C259" t="str">
        <f>IF(WilsonData[[#This Row],[Age]]&lt;=18, "0-18", IF(WilsonData[[#This Row],[Age]]&lt;=35,"19-35", IF(WilsonData[[#This Row],[Age]]&lt;=50, "36-50",IF(WilsonData[[#This Row],[Age]]&lt;=65,"51-65", " 66+"))))</f>
        <v>51-65</v>
      </c>
      <c r="D259" t="s">
        <v>11</v>
      </c>
      <c r="E259" t="s">
        <v>21</v>
      </c>
      <c r="F259" t="s">
        <v>17</v>
      </c>
      <c r="G259" s="1">
        <v>45822</v>
      </c>
      <c r="H259" t="s">
        <v>39</v>
      </c>
      <c r="I259" s="2">
        <v>19307.568465508219</v>
      </c>
      <c r="J259">
        <v>403</v>
      </c>
      <c r="K259" t="s">
        <v>18</v>
      </c>
      <c r="L259" s="1">
        <v>45836</v>
      </c>
      <c r="M259" s="6">
        <f>WilsonData[[#This Row],[Discharge Date]]-WilsonData[[#This Row],[Date of Admission]]</f>
        <v>14</v>
      </c>
      <c r="N259" t="s">
        <v>19</v>
      </c>
    </row>
    <row r="260" spans="1:14" x14ac:dyDescent="0.35">
      <c r="A260" t="s">
        <v>1065</v>
      </c>
      <c r="B260">
        <v>41</v>
      </c>
      <c r="C260" t="str">
        <f>IF(WilsonData[[#This Row],[Age]]&lt;=18, "0-18", IF(WilsonData[[#This Row],[Age]]&lt;=35,"19-35", IF(WilsonData[[#This Row],[Age]]&lt;=50, "36-50",IF(WilsonData[[#This Row],[Age]]&lt;=65,"51-65", " 66+"))))</f>
        <v>36-50</v>
      </c>
      <c r="D260" t="s">
        <v>20</v>
      </c>
      <c r="E260" t="s">
        <v>26</v>
      </c>
      <c r="F260" t="s">
        <v>13</v>
      </c>
      <c r="G260" s="1">
        <v>45988</v>
      </c>
      <c r="H260" t="s">
        <v>39</v>
      </c>
      <c r="I260" s="2">
        <v>7518.7657046318081</v>
      </c>
      <c r="J260">
        <v>176</v>
      </c>
      <c r="K260" t="s">
        <v>18</v>
      </c>
      <c r="L260" s="1">
        <v>45989</v>
      </c>
      <c r="M260" s="6">
        <f>WilsonData[[#This Row],[Discharge Date]]-WilsonData[[#This Row],[Date of Admission]]</f>
        <v>1</v>
      </c>
      <c r="N260" t="s">
        <v>19</v>
      </c>
    </row>
    <row r="261" spans="1:14" x14ac:dyDescent="0.35">
      <c r="A261" t="s">
        <v>1066</v>
      </c>
      <c r="B261">
        <v>36</v>
      </c>
      <c r="C261" t="str">
        <f>IF(WilsonData[[#This Row],[Age]]&lt;=18, "0-18", IF(WilsonData[[#This Row],[Age]]&lt;=35,"19-35", IF(WilsonData[[#This Row],[Age]]&lt;=50, "36-50",IF(WilsonData[[#This Row],[Age]]&lt;=65,"51-65", " 66+"))))</f>
        <v>36-50</v>
      </c>
      <c r="D261" t="s">
        <v>20</v>
      </c>
      <c r="E261" t="s">
        <v>34</v>
      </c>
      <c r="F261" t="s">
        <v>24</v>
      </c>
      <c r="G261" s="1">
        <v>45786</v>
      </c>
      <c r="H261" t="s">
        <v>36</v>
      </c>
      <c r="I261" s="2">
        <v>9400.3344645859161</v>
      </c>
      <c r="J261">
        <v>222</v>
      </c>
      <c r="K261" t="s">
        <v>18</v>
      </c>
      <c r="L261" s="1">
        <v>45790</v>
      </c>
      <c r="M261" s="6">
        <f>WilsonData[[#This Row],[Discharge Date]]-WilsonData[[#This Row],[Date of Admission]]</f>
        <v>4</v>
      </c>
      <c r="N261" t="s">
        <v>19</v>
      </c>
    </row>
    <row r="262" spans="1:14" x14ac:dyDescent="0.35">
      <c r="A262" t="s">
        <v>1067</v>
      </c>
      <c r="B262">
        <v>30</v>
      </c>
      <c r="C262" t="str">
        <f>IF(WilsonData[[#This Row],[Age]]&lt;=18, "0-18", IF(WilsonData[[#This Row],[Age]]&lt;=35,"19-35", IF(WilsonData[[#This Row],[Age]]&lt;=50, "36-50",IF(WilsonData[[#This Row],[Age]]&lt;=65,"51-65", " 66+"))))</f>
        <v>19-35</v>
      </c>
      <c r="D262" t="s">
        <v>11</v>
      </c>
      <c r="E262" t="s">
        <v>34</v>
      </c>
      <c r="F262" t="s">
        <v>32</v>
      </c>
      <c r="G262" s="1">
        <v>45865</v>
      </c>
      <c r="H262" t="s">
        <v>39</v>
      </c>
      <c r="I262" s="2">
        <v>31270.684820988368</v>
      </c>
      <c r="J262">
        <v>458</v>
      </c>
      <c r="K262" t="s">
        <v>25</v>
      </c>
      <c r="L262" s="1">
        <v>45872</v>
      </c>
      <c r="M262" s="6">
        <f>WilsonData[[#This Row],[Discharge Date]]-WilsonData[[#This Row],[Date of Admission]]</f>
        <v>7</v>
      </c>
      <c r="N262" t="s">
        <v>27</v>
      </c>
    </row>
    <row r="263" spans="1:14" x14ac:dyDescent="0.35">
      <c r="A263" t="s">
        <v>1068</v>
      </c>
      <c r="B263">
        <v>34</v>
      </c>
      <c r="C263" t="str">
        <f>IF(WilsonData[[#This Row],[Age]]&lt;=18, "0-18", IF(WilsonData[[#This Row],[Age]]&lt;=35,"19-35", IF(WilsonData[[#This Row],[Age]]&lt;=50, "36-50",IF(WilsonData[[#This Row],[Age]]&lt;=65,"51-65", " 66+"))))</f>
        <v>19-35</v>
      </c>
      <c r="D263" t="s">
        <v>20</v>
      </c>
      <c r="E263" t="s">
        <v>29</v>
      </c>
      <c r="F263" t="s">
        <v>13</v>
      </c>
      <c r="G263" s="1">
        <v>45714</v>
      </c>
      <c r="H263" t="s">
        <v>37</v>
      </c>
      <c r="I263" s="2">
        <v>38636.517201554103</v>
      </c>
      <c r="J263">
        <v>324</v>
      </c>
      <c r="K263" t="s">
        <v>25</v>
      </c>
      <c r="L263" s="1">
        <v>45721</v>
      </c>
      <c r="M263" s="6">
        <f>WilsonData[[#This Row],[Discharge Date]]-WilsonData[[#This Row],[Date of Admission]]</f>
        <v>7</v>
      </c>
      <c r="N263" t="s">
        <v>27</v>
      </c>
    </row>
    <row r="264" spans="1:14" x14ac:dyDescent="0.35">
      <c r="A264" t="s">
        <v>1069</v>
      </c>
      <c r="B264">
        <v>53</v>
      </c>
      <c r="C264" t="str">
        <f>IF(WilsonData[[#This Row],[Age]]&lt;=18, "0-18", IF(WilsonData[[#This Row],[Age]]&lt;=35,"19-35", IF(WilsonData[[#This Row],[Age]]&lt;=50, "36-50",IF(WilsonData[[#This Row],[Age]]&lt;=65,"51-65", " 66+"))))</f>
        <v>51-65</v>
      </c>
      <c r="D264" t="s">
        <v>11</v>
      </c>
      <c r="E264" t="s">
        <v>12</v>
      </c>
      <c r="F264" t="s">
        <v>28</v>
      </c>
      <c r="G264" s="1">
        <v>45907</v>
      </c>
      <c r="H264" t="s">
        <v>39</v>
      </c>
      <c r="I264" s="2">
        <v>18221.30001628229</v>
      </c>
      <c r="J264">
        <v>116</v>
      </c>
      <c r="K264" t="s">
        <v>25</v>
      </c>
      <c r="L264" s="1">
        <v>45920</v>
      </c>
      <c r="M264" s="6">
        <f>WilsonData[[#This Row],[Discharge Date]]-WilsonData[[#This Row],[Date of Admission]]</f>
        <v>13</v>
      </c>
      <c r="N264" t="s">
        <v>15</v>
      </c>
    </row>
    <row r="265" spans="1:14" x14ac:dyDescent="0.35">
      <c r="A265" t="s">
        <v>1070</v>
      </c>
      <c r="B265">
        <v>50</v>
      </c>
      <c r="C265" t="str">
        <f>IF(WilsonData[[#This Row],[Age]]&lt;=18, "0-18", IF(WilsonData[[#This Row],[Age]]&lt;=35,"19-35", IF(WilsonData[[#This Row],[Age]]&lt;=50, "36-50",IF(WilsonData[[#This Row],[Age]]&lt;=65,"51-65", " 66+"))))</f>
        <v>36-50</v>
      </c>
      <c r="D265" t="s">
        <v>20</v>
      </c>
      <c r="E265" t="s">
        <v>12</v>
      </c>
      <c r="F265" t="s">
        <v>32</v>
      </c>
      <c r="G265" s="1">
        <v>45728</v>
      </c>
      <c r="H265" t="s">
        <v>39</v>
      </c>
      <c r="I265" s="2">
        <v>49112.824113704017</v>
      </c>
      <c r="J265">
        <v>143</v>
      </c>
      <c r="K265" t="s">
        <v>25</v>
      </c>
      <c r="L265" s="1">
        <v>45740</v>
      </c>
      <c r="M265" s="6">
        <f>WilsonData[[#This Row],[Discharge Date]]-WilsonData[[#This Row],[Date of Admission]]</f>
        <v>12</v>
      </c>
      <c r="N265" t="s">
        <v>15</v>
      </c>
    </row>
    <row r="266" spans="1:14" x14ac:dyDescent="0.35">
      <c r="A266" t="s">
        <v>1071</v>
      </c>
      <c r="B266">
        <v>37</v>
      </c>
      <c r="C266" t="str">
        <f>IF(WilsonData[[#This Row],[Age]]&lt;=18, "0-18", IF(WilsonData[[#This Row],[Age]]&lt;=35,"19-35", IF(WilsonData[[#This Row],[Age]]&lt;=50, "36-50",IF(WilsonData[[#This Row],[Age]]&lt;=65,"51-65", " 66+"))))</f>
        <v>36-50</v>
      </c>
      <c r="D266" t="s">
        <v>11</v>
      </c>
      <c r="E266" t="s">
        <v>16</v>
      </c>
      <c r="F266" t="s">
        <v>30</v>
      </c>
      <c r="G266" s="1">
        <v>45771</v>
      </c>
      <c r="H266" t="s">
        <v>37</v>
      </c>
      <c r="I266" s="2">
        <v>48615.662096945467</v>
      </c>
      <c r="J266">
        <v>154</v>
      </c>
      <c r="K266" t="s">
        <v>18</v>
      </c>
      <c r="L266" s="1">
        <v>45773</v>
      </c>
      <c r="M266" s="6">
        <f>WilsonData[[#This Row],[Discharge Date]]-WilsonData[[#This Row],[Date of Admission]]</f>
        <v>2</v>
      </c>
      <c r="N266" t="s">
        <v>15</v>
      </c>
    </row>
    <row r="267" spans="1:14" x14ac:dyDescent="0.35">
      <c r="A267" t="s">
        <v>1072</v>
      </c>
      <c r="B267">
        <v>29</v>
      </c>
      <c r="C267" t="str">
        <f>IF(WilsonData[[#This Row],[Age]]&lt;=18, "0-18", IF(WilsonData[[#This Row],[Age]]&lt;=35,"19-35", IF(WilsonData[[#This Row],[Age]]&lt;=50, "36-50",IF(WilsonData[[#This Row],[Age]]&lt;=65,"51-65", " 66+"))))</f>
        <v>19-35</v>
      </c>
      <c r="D267" t="s">
        <v>20</v>
      </c>
      <c r="E267" t="s">
        <v>26</v>
      </c>
      <c r="F267" t="s">
        <v>17</v>
      </c>
      <c r="G267" s="1">
        <v>46019</v>
      </c>
      <c r="H267" t="s">
        <v>37</v>
      </c>
      <c r="I267" s="2">
        <v>6603.0979711016907</v>
      </c>
      <c r="J267">
        <v>495</v>
      </c>
      <c r="K267" t="s">
        <v>18</v>
      </c>
      <c r="L267" s="1">
        <v>46021</v>
      </c>
      <c r="M267" s="6">
        <f>WilsonData[[#This Row],[Discharge Date]]-WilsonData[[#This Row],[Date of Admission]]</f>
        <v>2</v>
      </c>
      <c r="N267" t="s">
        <v>15</v>
      </c>
    </row>
    <row r="268" spans="1:14" x14ac:dyDescent="0.35">
      <c r="A268" t="s">
        <v>1073</v>
      </c>
      <c r="B268">
        <v>62</v>
      </c>
      <c r="C268" t="str">
        <f>IF(WilsonData[[#This Row],[Age]]&lt;=18, "0-18", IF(WilsonData[[#This Row],[Age]]&lt;=35,"19-35", IF(WilsonData[[#This Row],[Age]]&lt;=50, "36-50",IF(WilsonData[[#This Row],[Age]]&lt;=65,"51-65", " 66+"))))</f>
        <v>51-65</v>
      </c>
      <c r="D268" t="s">
        <v>11</v>
      </c>
      <c r="E268" t="s">
        <v>23</v>
      </c>
      <c r="F268" t="s">
        <v>24</v>
      </c>
      <c r="G268" s="1">
        <v>45745</v>
      </c>
      <c r="H268" t="s">
        <v>37</v>
      </c>
      <c r="I268" s="2">
        <v>37288.546771709742</v>
      </c>
      <c r="J268">
        <v>408</v>
      </c>
      <c r="K268" t="s">
        <v>18</v>
      </c>
      <c r="L268" s="1">
        <v>45757</v>
      </c>
      <c r="M268" s="6">
        <f>WilsonData[[#This Row],[Discharge Date]]-WilsonData[[#This Row],[Date of Admission]]</f>
        <v>12</v>
      </c>
      <c r="N268" t="s">
        <v>22</v>
      </c>
    </row>
    <row r="269" spans="1:14" x14ac:dyDescent="0.35">
      <c r="A269" t="s">
        <v>1074</v>
      </c>
      <c r="B269">
        <v>25</v>
      </c>
      <c r="C269" t="str">
        <f>IF(WilsonData[[#This Row],[Age]]&lt;=18, "0-18", IF(WilsonData[[#This Row],[Age]]&lt;=35,"19-35", IF(WilsonData[[#This Row],[Age]]&lt;=50, "36-50",IF(WilsonData[[#This Row],[Age]]&lt;=65,"51-65", " 66+"))))</f>
        <v>19-35</v>
      </c>
      <c r="D269" t="s">
        <v>11</v>
      </c>
      <c r="E269" t="s">
        <v>26</v>
      </c>
      <c r="F269" t="s">
        <v>28</v>
      </c>
      <c r="G269" s="1">
        <v>45726</v>
      </c>
      <c r="H269" t="s">
        <v>36</v>
      </c>
      <c r="I269" s="2">
        <v>552.47113145317439</v>
      </c>
      <c r="J269">
        <v>173</v>
      </c>
      <c r="K269" t="s">
        <v>25</v>
      </c>
      <c r="L269" s="1">
        <v>45731</v>
      </c>
      <c r="M269" s="6">
        <f>WilsonData[[#This Row],[Discharge Date]]-WilsonData[[#This Row],[Date of Admission]]</f>
        <v>5</v>
      </c>
      <c r="N269" t="s">
        <v>15</v>
      </c>
    </row>
    <row r="270" spans="1:14" x14ac:dyDescent="0.35">
      <c r="A270" t="s">
        <v>1075</v>
      </c>
      <c r="B270">
        <v>61</v>
      </c>
      <c r="C270" t="str">
        <f>IF(WilsonData[[#This Row],[Age]]&lt;=18, "0-18", IF(WilsonData[[#This Row],[Age]]&lt;=35,"19-35", IF(WilsonData[[#This Row],[Age]]&lt;=50, "36-50",IF(WilsonData[[#This Row],[Age]]&lt;=65,"51-65", " 66+"))))</f>
        <v>51-65</v>
      </c>
      <c r="D270" t="s">
        <v>11</v>
      </c>
      <c r="E270" t="s">
        <v>16</v>
      </c>
      <c r="F270" t="s">
        <v>13</v>
      </c>
      <c r="G270" s="1">
        <v>45947</v>
      </c>
      <c r="H270" t="s">
        <v>39</v>
      </c>
      <c r="I270" s="2">
        <v>4528.0775657350168</v>
      </c>
      <c r="J270">
        <v>494</v>
      </c>
      <c r="K270" t="s">
        <v>18</v>
      </c>
      <c r="L270" s="1">
        <v>45957</v>
      </c>
      <c r="M270" s="6">
        <f>WilsonData[[#This Row],[Discharge Date]]-WilsonData[[#This Row],[Date of Admission]]</f>
        <v>10</v>
      </c>
      <c r="N270" t="s">
        <v>15</v>
      </c>
    </row>
    <row r="271" spans="1:14" x14ac:dyDescent="0.35">
      <c r="A271" t="s">
        <v>1076</v>
      </c>
      <c r="B271">
        <v>79</v>
      </c>
      <c r="C271" t="str">
        <f>IF(WilsonData[[#This Row],[Age]]&lt;=18, "0-18", IF(WilsonData[[#This Row],[Age]]&lt;=35,"19-35", IF(WilsonData[[#This Row],[Age]]&lt;=50, "36-50",IF(WilsonData[[#This Row],[Age]]&lt;=65,"51-65", " 66+"))))</f>
        <v xml:space="preserve"> 66+</v>
      </c>
      <c r="D271" t="s">
        <v>11</v>
      </c>
      <c r="E271" t="s">
        <v>12</v>
      </c>
      <c r="F271" t="s">
        <v>32</v>
      </c>
      <c r="G271" s="1">
        <v>45665</v>
      </c>
      <c r="H271" t="s">
        <v>37</v>
      </c>
      <c r="I271" s="2">
        <v>37114.740802724838</v>
      </c>
      <c r="J271">
        <v>147</v>
      </c>
      <c r="K271" t="s">
        <v>18</v>
      </c>
      <c r="L271" s="1">
        <v>45666</v>
      </c>
      <c r="M271" s="6">
        <f>WilsonData[[#This Row],[Discharge Date]]-WilsonData[[#This Row],[Date of Admission]]</f>
        <v>1</v>
      </c>
      <c r="N271" t="s">
        <v>19</v>
      </c>
    </row>
    <row r="272" spans="1:14" x14ac:dyDescent="0.35">
      <c r="A272" t="s">
        <v>1077</v>
      </c>
      <c r="B272">
        <v>28</v>
      </c>
      <c r="C272" t="str">
        <f>IF(WilsonData[[#This Row],[Age]]&lt;=18, "0-18", IF(WilsonData[[#This Row],[Age]]&lt;=35,"19-35", IF(WilsonData[[#This Row],[Age]]&lt;=50, "36-50",IF(WilsonData[[#This Row],[Age]]&lt;=65,"51-65", " 66+"))))</f>
        <v>19-35</v>
      </c>
      <c r="D272" t="s">
        <v>20</v>
      </c>
      <c r="E272" t="s">
        <v>16</v>
      </c>
      <c r="F272" t="s">
        <v>32</v>
      </c>
      <c r="G272" s="1">
        <v>45821</v>
      </c>
      <c r="H272" t="s">
        <v>36</v>
      </c>
      <c r="I272" s="2">
        <v>29452.243295981931</v>
      </c>
      <c r="J272">
        <v>208</v>
      </c>
      <c r="K272" t="s">
        <v>25</v>
      </c>
      <c r="L272" s="1">
        <v>45829</v>
      </c>
      <c r="M272" s="6">
        <f>WilsonData[[#This Row],[Discharge Date]]-WilsonData[[#This Row],[Date of Admission]]</f>
        <v>8</v>
      </c>
      <c r="N272" t="s">
        <v>22</v>
      </c>
    </row>
    <row r="273" spans="1:14" x14ac:dyDescent="0.35">
      <c r="A273" t="s">
        <v>1078</v>
      </c>
      <c r="B273">
        <v>80</v>
      </c>
      <c r="C273" t="str">
        <f>IF(WilsonData[[#This Row],[Age]]&lt;=18, "0-18", IF(WilsonData[[#This Row],[Age]]&lt;=35,"19-35", IF(WilsonData[[#This Row],[Age]]&lt;=50, "36-50",IF(WilsonData[[#This Row],[Age]]&lt;=65,"51-65", " 66+"))))</f>
        <v xml:space="preserve"> 66+</v>
      </c>
      <c r="D273" t="s">
        <v>20</v>
      </c>
      <c r="E273" t="s">
        <v>34</v>
      </c>
      <c r="F273" t="s">
        <v>24</v>
      </c>
      <c r="G273" s="1">
        <v>45791</v>
      </c>
      <c r="H273" t="s">
        <v>37</v>
      </c>
      <c r="I273" s="2">
        <v>45853.230988562733</v>
      </c>
      <c r="J273">
        <v>194</v>
      </c>
      <c r="K273" t="s">
        <v>18</v>
      </c>
      <c r="L273" s="1">
        <v>45792</v>
      </c>
      <c r="M273" s="6">
        <f>WilsonData[[#This Row],[Discharge Date]]-WilsonData[[#This Row],[Date of Admission]]</f>
        <v>1</v>
      </c>
      <c r="N273" t="s">
        <v>27</v>
      </c>
    </row>
    <row r="274" spans="1:14" x14ac:dyDescent="0.35">
      <c r="A274" t="s">
        <v>1079</v>
      </c>
      <c r="B274">
        <v>22</v>
      </c>
      <c r="C274" t="str">
        <f>IF(WilsonData[[#This Row],[Age]]&lt;=18, "0-18", IF(WilsonData[[#This Row],[Age]]&lt;=35,"19-35", IF(WilsonData[[#This Row],[Age]]&lt;=50, "36-50",IF(WilsonData[[#This Row],[Age]]&lt;=65,"51-65", " 66+"))))</f>
        <v>19-35</v>
      </c>
      <c r="D274" t="s">
        <v>20</v>
      </c>
      <c r="E274" t="s">
        <v>23</v>
      </c>
      <c r="F274" t="s">
        <v>30</v>
      </c>
      <c r="G274" s="1">
        <v>46014</v>
      </c>
      <c r="H274" t="s">
        <v>37</v>
      </c>
      <c r="I274" s="2">
        <v>5798.3774833590096</v>
      </c>
      <c r="J274">
        <v>338</v>
      </c>
      <c r="K274" t="s">
        <v>25</v>
      </c>
      <c r="L274" s="1">
        <v>46016</v>
      </c>
      <c r="M274" s="6">
        <f>WilsonData[[#This Row],[Discharge Date]]-WilsonData[[#This Row],[Date of Admission]]</f>
        <v>2</v>
      </c>
      <c r="N274" t="s">
        <v>27</v>
      </c>
    </row>
    <row r="275" spans="1:14" x14ac:dyDescent="0.35">
      <c r="A275" t="s">
        <v>1080</v>
      </c>
      <c r="B275">
        <v>75</v>
      </c>
      <c r="C275" t="str">
        <f>IF(WilsonData[[#This Row],[Age]]&lt;=18, "0-18", IF(WilsonData[[#This Row],[Age]]&lt;=35,"19-35", IF(WilsonData[[#This Row],[Age]]&lt;=50, "36-50",IF(WilsonData[[#This Row],[Age]]&lt;=65,"51-65", " 66+"))))</f>
        <v xml:space="preserve"> 66+</v>
      </c>
      <c r="D275" t="s">
        <v>11</v>
      </c>
      <c r="E275" t="s">
        <v>12</v>
      </c>
      <c r="F275" t="s">
        <v>28</v>
      </c>
      <c r="G275" s="1">
        <v>45891</v>
      </c>
      <c r="H275" t="s">
        <v>39</v>
      </c>
      <c r="I275" s="2">
        <v>45898.334385357572</v>
      </c>
      <c r="J275">
        <v>464</v>
      </c>
      <c r="K275" t="s">
        <v>25</v>
      </c>
      <c r="L275" s="1">
        <v>45905</v>
      </c>
      <c r="M275" s="6">
        <f>WilsonData[[#This Row],[Discharge Date]]-WilsonData[[#This Row],[Date of Admission]]</f>
        <v>14</v>
      </c>
      <c r="N275" t="s">
        <v>19</v>
      </c>
    </row>
    <row r="276" spans="1:14" x14ac:dyDescent="0.35">
      <c r="A276" t="s">
        <v>1081</v>
      </c>
      <c r="B276">
        <v>58</v>
      </c>
      <c r="C276" t="str">
        <f>IF(WilsonData[[#This Row],[Age]]&lt;=18, "0-18", IF(WilsonData[[#This Row],[Age]]&lt;=35,"19-35", IF(WilsonData[[#This Row],[Age]]&lt;=50, "36-50",IF(WilsonData[[#This Row],[Age]]&lt;=65,"51-65", " 66+"))))</f>
        <v>51-65</v>
      </c>
      <c r="D276" t="s">
        <v>20</v>
      </c>
      <c r="E276" t="s">
        <v>34</v>
      </c>
      <c r="F276" t="s">
        <v>17</v>
      </c>
      <c r="G276" s="1">
        <v>45817</v>
      </c>
      <c r="H276" t="s">
        <v>37</v>
      </c>
      <c r="I276" s="2">
        <v>44607.341294051468</v>
      </c>
      <c r="J276">
        <v>476</v>
      </c>
      <c r="K276" t="s">
        <v>25</v>
      </c>
      <c r="L276" s="1">
        <v>45818</v>
      </c>
      <c r="M276" s="6">
        <f>WilsonData[[#This Row],[Discharge Date]]-WilsonData[[#This Row],[Date of Admission]]</f>
        <v>1</v>
      </c>
      <c r="N276" t="s">
        <v>27</v>
      </c>
    </row>
    <row r="277" spans="1:14" x14ac:dyDescent="0.35">
      <c r="A277" t="s">
        <v>1082</v>
      </c>
      <c r="B277">
        <v>42</v>
      </c>
      <c r="C277" t="str">
        <f>IF(WilsonData[[#This Row],[Age]]&lt;=18, "0-18", IF(WilsonData[[#This Row],[Age]]&lt;=35,"19-35", IF(WilsonData[[#This Row],[Age]]&lt;=50, "36-50",IF(WilsonData[[#This Row],[Age]]&lt;=65,"51-65", " 66+"))))</f>
        <v>36-50</v>
      </c>
      <c r="D277" t="s">
        <v>11</v>
      </c>
      <c r="E277" t="s">
        <v>33</v>
      </c>
      <c r="F277" t="s">
        <v>13</v>
      </c>
      <c r="G277" s="1">
        <v>45905</v>
      </c>
      <c r="H277" t="s">
        <v>36</v>
      </c>
      <c r="I277" s="2">
        <v>48639.30239751943</v>
      </c>
      <c r="J277">
        <v>141</v>
      </c>
      <c r="K277" t="s">
        <v>18</v>
      </c>
      <c r="L277" s="1">
        <v>45912</v>
      </c>
      <c r="M277" s="6">
        <f>WilsonData[[#This Row],[Discharge Date]]-WilsonData[[#This Row],[Date of Admission]]</f>
        <v>7</v>
      </c>
      <c r="N277" t="s">
        <v>22</v>
      </c>
    </row>
    <row r="278" spans="1:14" x14ac:dyDescent="0.35">
      <c r="A278" t="s">
        <v>1083</v>
      </c>
      <c r="B278">
        <v>46</v>
      </c>
      <c r="C278" t="str">
        <f>IF(WilsonData[[#This Row],[Age]]&lt;=18, "0-18", IF(WilsonData[[#This Row],[Age]]&lt;=35,"19-35", IF(WilsonData[[#This Row],[Age]]&lt;=50, "36-50",IF(WilsonData[[#This Row],[Age]]&lt;=65,"51-65", " 66+"))))</f>
        <v>36-50</v>
      </c>
      <c r="D278" t="s">
        <v>20</v>
      </c>
      <c r="E278" t="s">
        <v>34</v>
      </c>
      <c r="F278" t="s">
        <v>28</v>
      </c>
      <c r="G278" s="1">
        <v>45678</v>
      </c>
      <c r="H278" t="s">
        <v>39</v>
      </c>
      <c r="I278" s="2">
        <v>17107.631339002721</v>
      </c>
      <c r="J278">
        <v>138</v>
      </c>
      <c r="K278" t="s">
        <v>18</v>
      </c>
      <c r="L278" s="1">
        <v>45687</v>
      </c>
      <c r="M278" s="6">
        <f>WilsonData[[#This Row],[Discharge Date]]-WilsonData[[#This Row],[Date of Admission]]</f>
        <v>9</v>
      </c>
      <c r="N278" t="s">
        <v>22</v>
      </c>
    </row>
    <row r="279" spans="1:14" x14ac:dyDescent="0.35">
      <c r="A279" t="s">
        <v>1084</v>
      </c>
      <c r="B279">
        <v>65</v>
      </c>
      <c r="C279" t="str">
        <f>IF(WilsonData[[#This Row],[Age]]&lt;=18, "0-18", IF(WilsonData[[#This Row],[Age]]&lt;=35,"19-35", IF(WilsonData[[#This Row],[Age]]&lt;=50, "36-50",IF(WilsonData[[#This Row],[Age]]&lt;=65,"51-65", " 66+"))))</f>
        <v>51-65</v>
      </c>
      <c r="D279" t="s">
        <v>20</v>
      </c>
      <c r="E279" t="s">
        <v>33</v>
      </c>
      <c r="F279" t="s">
        <v>13</v>
      </c>
      <c r="G279" s="1">
        <v>45700</v>
      </c>
      <c r="H279" t="s">
        <v>37</v>
      </c>
      <c r="I279" s="2">
        <v>23435.933207455069</v>
      </c>
      <c r="J279">
        <v>325</v>
      </c>
      <c r="K279" t="s">
        <v>18</v>
      </c>
      <c r="L279" s="1">
        <v>45705</v>
      </c>
      <c r="M279" s="6">
        <f>WilsonData[[#This Row],[Discharge Date]]-WilsonData[[#This Row],[Date of Admission]]</f>
        <v>5</v>
      </c>
      <c r="N279" t="s">
        <v>15</v>
      </c>
    </row>
    <row r="280" spans="1:14" x14ac:dyDescent="0.35">
      <c r="A280" t="s">
        <v>1085</v>
      </c>
      <c r="B280">
        <v>47</v>
      </c>
      <c r="C280" t="str">
        <f>IF(WilsonData[[#This Row],[Age]]&lt;=18, "0-18", IF(WilsonData[[#This Row],[Age]]&lt;=35,"19-35", IF(WilsonData[[#This Row],[Age]]&lt;=50, "36-50",IF(WilsonData[[#This Row],[Age]]&lt;=65,"51-65", " 66+"))))</f>
        <v>36-50</v>
      </c>
      <c r="D280" t="s">
        <v>11</v>
      </c>
      <c r="E280" t="s">
        <v>23</v>
      </c>
      <c r="F280" t="s">
        <v>28</v>
      </c>
      <c r="G280" s="1">
        <v>45974</v>
      </c>
      <c r="H280" t="s">
        <v>39</v>
      </c>
      <c r="I280" s="2">
        <v>38896.791016608622</v>
      </c>
      <c r="J280">
        <v>437</v>
      </c>
      <c r="K280" t="s">
        <v>18</v>
      </c>
      <c r="L280" s="1">
        <v>45987</v>
      </c>
      <c r="M280" s="6">
        <f>WilsonData[[#This Row],[Discharge Date]]-WilsonData[[#This Row],[Date of Admission]]</f>
        <v>13</v>
      </c>
      <c r="N280" t="s">
        <v>27</v>
      </c>
    </row>
    <row r="281" spans="1:14" x14ac:dyDescent="0.35">
      <c r="A281" t="s">
        <v>319</v>
      </c>
      <c r="B281">
        <v>66</v>
      </c>
      <c r="C281" t="str">
        <f>IF(WilsonData[[#This Row],[Age]]&lt;=18, "0-18", IF(WilsonData[[#This Row],[Age]]&lt;=35,"19-35", IF(WilsonData[[#This Row],[Age]]&lt;=50, "36-50",IF(WilsonData[[#This Row],[Age]]&lt;=65,"51-65", " 66+"))))</f>
        <v xml:space="preserve"> 66+</v>
      </c>
      <c r="D281" t="s">
        <v>11</v>
      </c>
      <c r="E281" t="s">
        <v>21</v>
      </c>
      <c r="F281" t="s">
        <v>17</v>
      </c>
      <c r="G281" s="1">
        <v>45714</v>
      </c>
      <c r="H281" t="s">
        <v>37</v>
      </c>
      <c r="I281" s="2">
        <v>43001.222429068293</v>
      </c>
      <c r="J281">
        <v>231</v>
      </c>
      <c r="K281" t="s">
        <v>18</v>
      </c>
      <c r="L281" s="1">
        <v>45716</v>
      </c>
      <c r="M281" s="6">
        <f>WilsonData[[#This Row],[Discharge Date]]-WilsonData[[#This Row],[Date of Admission]]</f>
        <v>2</v>
      </c>
      <c r="N281" t="s">
        <v>15</v>
      </c>
    </row>
    <row r="282" spans="1:14" x14ac:dyDescent="0.35">
      <c r="A282" t="s">
        <v>1086</v>
      </c>
      <c r="B282">
        <v>74</v>
      </c>
      <c r="C282" t="str">
        <f>IF(WilsonData[[#This Row],[Age]]&lt;=18, "0-18", IF(WilsonData[[#This Row],[Age]]&lt;=35,"19-35", IF(WilsonData[[#This Row],[Age]]&lt;=50, "36-50",IF(WilsonData[[#This Row],[Age]]&lt;=65,"51-65", " 66+"))))</f>
        <v xml:space="preserve"> 66+</v>
      </c>
      <c r="D282" t="s">
        <v>20</v>
      </c>
      <c r="E282" t="s">
        <v>16</v>
      </c>
      <c r="F282" t="s">
        <v>30</v>
      </c>
      <c r="G282" s="1">
        <v>45901</v>
      </c>
      <c r="H282" t="s">
        <v>39</v>
      </c>
      <c r="I282" s="2">
        <v>43646.964459925191</v>
      </c>
      <c r="J282">
        <v>494</v>
      </c>
      <c r="K282" t="s">
        <v>18</v>
      </c>
      <c r="L282" s="1">
        <v>45902</v>
      </c>
      <c r="M282" s="6">
        <f>WilsonData[[#This Row],[Discharge Date]]-WilsonData[[#This Row],[Date of Admission]]</f>
        <v>1</v>
      </c>
      <c r="N282" t="s">
        <v>31</v>
      </c>
    </row>
    <row r="283" spans="1:14" x14ac:dyDescent="0.35">
      <c r="A283" t="s">
        <v>1087</v>
      </c>
      <c r="B283">
        <v>85</v>
      </c>
      <c r="C283" t="str">
        <f>IF(WilsonData[[#This Row],[Age]]&lt;=18, "0-18", IF(WilsonData[[#This Row],[Age]]&lt;=35,"19-35", IF(WilsonData[[#This Row],[Age]]&lt;=50, "36-50",IF(WilsonData[[#This Row],[Age]]&lt;=65,"51-65", " 66+"))))</f>
        <v xml:space="preserve"> 66+</v>
      </c>
      <c r="D283" t="s">
        <v>20</v>
      </c>
      <c r="E283" t="s">
        <v>34</v>
      </c>
      <c r="F283" t="s">
        <v>30</v>
      </c>
      <c r="G283" s="1">
        <v>45779</v>
      </c>
      <c r="H283" t="s">
        <v>37</v>
      </c>
      <c r="I283" s="2">
        <v>32784.881528278027</v>
      </c>
      <c r="J283">
        <v>192</v>
      </c>
      <c r="K283" t="s">
        <v>18</v>
      </c>
      <c r="L283" s="1">
        <v>45781</v>
      </c>
      <c r="M283" s="6">
        <f>WilsonData[[#This Row],[Discharge Date]]-WilsonData[[#This Row],[Date of Admission]]</f>
        <v>2</v>
      </c>
      <c r="N283" t="s">
        <v>31</v>
      </c>
    </row>
    <row r="284" spans="1:14" x14ac:dyDescent="0.35">
      <c r="A284" t="s">
        <v>1088</v>
      </c>
      <c r="B284">
        <v>24</v>
      </c>
      <c r="C284" t="str">
        <f>IF(WilsonData[[#This Row],[Age]]&lt;=18, "0-18", IF(WilsonData[[#This Row],[Age]]&lt;=35,"19-35", IF(WilsonData[[#This Row],[Age]]&lt;=50, "36-50",IF(WilsonData[[#This Row],[Age]]&lt;=65,"51-65", " 66+"))))</f>
        <v>19-35</v>
      </c>
      <c r="D284" t="s">
        <v>11</v>
      </c>
      <c r="E284" t="s">
        <v>29</v>
      </c>
      <c r="F284" t="s">
        <v>28</v>
      </c>
      <c r="G284" s="1">
        <v>45774</v>
      </c>
      <c r="H284" t="s">
        <v>37</v>
      </c>
      <c r="I284" s="2">
        <v>47226.355718550709</v>
      </c>
      <c r="J284">
        <v>268</v>
      </c>
      <c r="K284" t="s">
        <v>25</v>
      </c>
      <c r="L284" s="1">
        <v>45776</v>
      </c>
      <c r="M284" s="6">
        <f>WilsonData[[#This Row],[Discharge Date]]-WilsonData[[#This Row],[Date of Admission]]</f>
        <v>2</v>
      </c>
      <c r="N284" t="s">
        <v>27</v>
      </c>
    </row>
    <row r="285" spans="1:14" x14ac:dyDescent="0.35">
      <c r="A285" t="s">
        <v>1089</v>
      </c>
      <c r="B285">
        <v>19</v>
      </c>
      <c r="C285" t="str">
        <f>IF(WilsonData[[#This Row],[Age]]&lt;=18, "0-18", IF(WilsonData[[#This Row],[Age]]&lt;=35,"19-35", IF(WilsonData[[#This Row],[Age]]&lt;=50, "36-50",IF(WilsonData[[#This Row],[Age]]&lt;=65,"51-65", " 66+"))))</f>
        <v>19-35</v>
      </c>
      <c r="D285" t="s">
        <v>11</v>
      </c>
      <c r="E285" t="s">
        <v>33</v>
      </c>
      <c r="F285" t="s">
        <v>17</v>
      </c>
      <c r="G285" s="1">
        <v>45744</v>
      </c>
      <c r="H285" t="s">
        <v>36</v>
      </c>
      <c r="I285" s="2">
        <v>24251.869526322051</v>
      </c>
      <c r="J285">
        <v>170</v>
      </c>
      <c r="K285" t="s">
        <v>25</v>
      </c>
      <c r="L285" s="1">
        <v>45751</v>
      </c>
      <c r="M285" s="6">
        <f>WilsonData[[#This Row],[Discharge Date]]-WilsonData[[#This Row],[Date of Admission]]</f>
        <v>7</v>
      </c>
      <c r="N285" t="s">
        <v>31</v>
      </c>
    </row>
    <row r="286" spans="1:14" x14ac:dyDescent="0.35">
      <c r="A286" t="s">
        <v>1090</v>
      </c>
      <c r="B286">
        <v>33</v>
      </c>
      <c r="C286" t="str">
        <f>IF(WilsonData[[#This Row],[Age]]&lt;=18, "0-18", IF(WilsonData[[#This Row],[Age]]&lt;=35,"19-35", IF(WilsonData[[#This Row],[Age]]&lt;=50, "36-50",IF(WilsonData[[#This Row],[Age]]&lt;=65,"51-65", " 66+"))))</f>
        <v>19-35</v>
      </c>
      <c r="D286" t="s">
        <v>11</v>
      </c>
      <c r="E286" t="s">
        <v>16</v>
      </c>
      <c r="F286" t="s">
        <v>30</v>
      </c>
      <c r="G286" s="1">
        <v>45917</v>
      </c>
      <c r="H286" t="s">
        <v>37</v>
      </c>
      <c r="I286" s="2">
        <v>6139.0386793870066</v>
      </c>
      <c r="J286">
        <v>199</v>
      </c>
      <c r="K286" t="s">
        <v>18</v>
      </c>
      <c r="L286" s="1">
        <v>45928</v>
      </c>
      <c r="M286" s="6">
        <f>WilsonData[[#This Row],[Discharge Date]]-WilsonData[[#This Row],[Date of Admission]]</f>
        <v>11</v>
      </c>
      <c r="N286" t="s">
        <v>27</v>
      </c>
    </row>
    <row r="287" spans="1:14" x14ac:dyDescent="0.35">
      <c r="A287" t="s">
        <v>1091</v>
      </c>
      <c r="B287">
        <v>19</v>
      </c>
      <c r="C287" t="str">
        <f>IF(WilsonData[[#This Row],[Age]]&lt;=18, "0-18", IF(WilsonData[[#This Row],[Age]]&lt;=35,"19-35", IF(WilsonData[[#This Row],[Age]]&lt;=50, "36-50",IF(WilsonData[[#This Row],[Age]]&lt;=65,"51-65", " 66+"))))</f>
        <v>19-35</v>
      </c>
      <c r="D287" t="s">
        <v>11</v>
      </c>
      <c r="E287" t="s">
        <v>26</v>
      </c>
      <c r="F287" t="s">
        <v>30</v>
      </c>
      <c r="G287" s="1">
        <v>45995</v>
      </c>
      <c r="H287" t="s">
        <v>36</v>
      </c>
      <c r="I287" s="2">
        <v>2635.0093102148221</v>
      </c>
      <c r="J287">
        <v>236</v>
      </c>
      <c r="K287" t="s">
        <v>18</v>
      </c>
      <c r="L287" s="1">
        <v>46005</v>
      </c>
      <c r="M287" s="6">
        <f>WilsonData[[#This Row],[Discharge Date]]-WilsonData[[#This Row],[Date of Admission]]</f>
        <v>10</v>
      </c>
      <c r="N287" t="s">
        <v>27</v>
      </c>
    </row>
    <row r="288" spans="1:14" x14ac:dyDescent="0.35">
      <c r="A288" t="s">
        <v>1092</v>
      </c>
      <c r="B288">
        <v>20</v>
      </c>
      <c r="C288" t="str">
        <f>IF(WilsonData[[#This Row],[Age]]&lt;=18, "0-18", IF(WilsonData[[#This Row],[Age]]&lt;=35,"19-35", IF(WilsonData[[#This Row],[Age]]&lt;=50, "36-50",IF(WilsonData[[#This Row],[Age]]&lt;=65,"51-65", " 66+"))))</f>
        <v>19-35</v>
      </c>
      <c r="D288" t="s">
        <v>20</v>
      </c>
      <c r="E288" t="s">
        <v>34</v>
      </c>
      <c r="F288" t="s">
        <v>17</v>
      </c>
      <c r="G288" s="1">
        <v>45659</v>
      </c>
      <c r="H288" t="s">
        <v>36</v>
      </c>
      <c r="I288" s="2">
        <v>11150.563686100681</v>
      </c>
      <c r="J288">
        <v>134</v>
      </c>
      <c r="K288" t="s">
        <v>18</v>
      </c>
      <c r="L288" s="1">
        <v>45660</v>
      </c>
      <c r="M288" s="6">
        <f>WilsonData[[#This Row],[Discharge Date]]-WilsonData[[#This Row],[Date of Admission]]</f>
        <v>1</v>
      </c>
      <c r="N288" t="s">
        <v>31</v>
      </c>
    </row>
    <row r="289" spans="1:14" x14ac:dyDescent="0.35">
      <c r="A289" t="s">
        <v>1093</v>
      </c>
      <c r="B289">
        <v>84</v>
      </c>
      <c r="C289" t="str">
        <f>IF(WilsonData[[#This Row],[Age]]&lt;=18, "0-18", IF(WilsonData[[#This Row],[Age]]&lt;=35,"19-35", IF(WilsonData[[#This Row],[Age]]&lt;=50, "36-50",IF(WilsonData[[#This Row],[Age]]&lt;=65,"51-65", " 66+"))))</f>
        <v xml:space="preserve"> 66+</v>
      </c>
      <c r="D289" t="s">
        <v>11</v>
      </c>
      <c r="E289" t="s">
        <v>21</v>
      </c>
      <c r="F289" t="s">
        <v>32</v>
      </c>
      <c r="G289" s="1">
        <v>45933</v>
      </c>
      <c r="H289" t="s">
        <v>39</v>
      </c>
      <c r="I289" s="2">
        <v>39776.67135155655</v>
      </c>
      <c r="J289">
        <v>194</v>
      </c>
      <c r="K289" t="s">
        <v>25</v>
      </c>
      <c r="L289" s="1">
        <v>45935</v>
      </c>
      <c r="M289" s="6">
        <f>WilsonData[[#This Row],[Discharge Date]]-WilsonData[[#This Row],[Date of Admission]]</f>
        <v>2</v>
      </c>
      <c r="N289" t="s">
        <v>15</v>
      </c>
    </row>
    <row r="290" spans="1:14" x14ac:dyDescent="0.35">
      <c r="A290" t="s">
        <v>1094</v>
      </c>
      <c r="B290">
        <v>20</v>
      </c>
      <c r="C290" t="str">
        <f>IF(WilsonData[[#This Row],[Age]]&lt;=18, "0-18", IF(WilsonData[[#This Row],[Age]]&lt;=35,"19-35", IF(WilsonData[[#This Row],[Age]]&lt;=50, "36-50",IF(WilsonData[[#This Row],[Age]]&lt;=65,"51-65", " 66+"))))</f>
        <v>19-35</v>
      </c>
      <c r="D290" t="s">
        <v>11</v>
      </c>
      <c r="E290" t="s">
        <v>16</v>
      </c>
      <c r="F290" t="s">
        <v>30</v>
      </c>
      <c r="G290" s="1">
        <v>45665</v>
      </c>
      <c r="H290" t="s">
        <v>36</v>
      </c>
      <c r="I290" s="2">
        <v>38649.409857675171</v>
      </c>
      <c r="J290">
        <v>277</v>
      </c>
      <c r="K290" t="s">
        <v>25</v>
      </c>
      <c r="L290" s="1">
        <v>45667</v>
      </c>
      <c r="M290" s="6">
        <f>WilsonData[[#This Row],[Discharge Date]]-WilsonData[[#This Row],[Date of Admission]]</f>
        <v>2</v>
      </c>
      <c r="N290" t="s">
        <v>15</v>
      </c>
    </row>
    <row r="291" spans="1:14" x14ac:dyDescent="0.35">
      <c r="A291" t="s">
        <v>1095</v>
      </c>
      <c r="B291">
        <v>82</v>
      </c>
      <c r="C291" t="str">
        <f>IF(WilsonData[[#This Row],[Age]]&lt;=18, "0-18", IF(WilsonData[[#This Row],[Age]]&lt;=35,"19-35", IF(WilsonData[[#This Row],[Age]]&lt;=50, "36-50",IF(WilsonData[[#This Row],[Age]]&lt;=65,"51-65", " 66+"))))</f>
        <v xml:space="preserve"> 66+</v>
      </c>
      <c r="D291" t="s">
        <v>11</v>
      </c>
      <c r="E291" t="s">
        <v>23</v>
      </c>
      <c r="F291" t="s">
        <v>24</v>
      </c>
      <c r="G291" s="1">
        <v>45825</v>
      </c>
      <c r="H291" t="s">
        <v>37</v>
      </c>
      <c r="I291" s="2">
        <v>42135.895928237856</v>
      </c>
      <c r="J291">
        <v>370</v>
      </c>
      <c r="K291" t="s">
        <v>25</v>
      </c>
      <c r="L291" s="1">
        <v>45833</v>
      </c>
      <c r="M291" s="6">
        <f>WilsonData[[#This Row],[Discharge Date]]-WilsonData[[#This Row],[Date of Admission]]</f>
        <v>8</v>
      </c>
      <c r="N291" t="s">
        <v>19</v>
      </c>
    </row>
    <row r="292" spans="1:14" x14ac:dyDescent="0.35">
      <c r="A292" t="s">
        <v>1096</v>
      </c>
      <c r="B292">
        <v>22</v>
      </c>
      <c r="C292" t="str">
        <f>IF(WilsonData[[#This Row],[Age]]&lt;=18, "0-18", IF(WilsonData[[#This Row],[Age]]&lt;=35,"19-35", IF(WilsonData[[#This Row],[Age]]&lt;=50, "36-50",IF(WilsonData[[#This Row],[Age]]&lt;=65,"51-65", " 66+"))))</f>
        <v>19-35</v>
      </c>
      <c r="D292" t="s">
        <v>20</v>
      </c>
      <c r="E292" t="s">
        <v>23</v>
      </c>
      <c r="F292" t="s">
        <v>28</v>
      </c>
      <c r="G292" s="1">
        <v>45718</v>
      </c>
      <c r="H292" t="s">
        <v>36</v>
      </c>
      <c r="I292" s="2">
        <v>25889.10014762872</v>
      </c>
      <c r="J292">
        <v>445</v>
      </c>
      <c r="K292" t="s">
        <v>25</v>
      </c>
      <c r="L292" s="1">
        <v>45728</v>
      </c>
      <c r="M292" s="6">
        <f>WilsonData[[#This Row],[Discharge Date]]-WilsonData[[#This Row],[Date of Admission]]</f>
        <v>10</v>
      </c>
      <c r="N292" t="s">
        <v>27</v>
      </c>
    </row>
    <row r="293" spans="1:14" x14ac:dyDescent="0.35">
      <c r="A293" t="s">
        <v>1097</v>
      </c>
      <c r="B293">
        <v>68</v>
      </c>
      <c r="C293" t="str">
        <f>IF(WilsonData[[#This Row],[Age]]&lt;=18, "0-18", IF(WilsonData[[#This Row],[Age]]&lt;=35,"19-35", IF(WilsonData[[#This Row],[Age]]&lt;=50, "36-50",IF(WilsonData[[#This Row],[Age]]&lt;=65,"51-65", " 66+"))))</f>
        <v xml:space="preserve"> 66+</v>
      </c>
      <c r="D293" t="s">
        <v>11</v>
      </c>
      <c r="E293" t="s">
        <v>16</v>
      </c>
      <c r="F293" t="s">
        <v>24</v>
      </c>
      <c r="G293" s="1">
        <v>45819</v>
      </c>
      <c r="H293" t="s">
        <v>37</v>
      </c>
      <c r="I293" s="2">
        <v>30988.775982701001</v>
      </c>
      <c r="J293">
        <v>146</v>
      </c>
      <c r="K293" t="s">
        <v>25</v>
      </c>
      <c r="L293" s="1">
        <v>45822</v>
      </c>
      <c r="M293" s="6">
        <f>WilsonData[[#This Row],[Discharge Date]]-WilsonData[[#This Row],[Date of Admission]]</f>
        <v>3</v>
      </c>
      <c r="N293" t="s">
        <v>27</v>
      </c>
    </row>
    <row r="294" spans="1:14" x14ac:dyDescent="0.35">
      <c r="A294" t="s">
        <v>1098</v>
      </c>
      <c r="B294">
        <v>21</v>
      </c>
      <c r="C294" t="str">
        <f>IF(WilsonData[[#This Row],[Age]]&lt;=18, "0-18", IF(WilsonData[[#This Row],[Age]]&lt;=35,"19-35", IF(WilsonData[[#This Row],[Age]]&lt;=50, "36-50",IF(WilsonData[[#This Row],[Age]]&lt;=65,"51-65", " 66+"))))</f>
        <v>19-35</v>
      </c>
      <c r="D294" t="s">
        <v>11</v>
      </c>
      <c r="E294" t="s">
        <v>26</v>
      </c>
      <c r="F294" t="s">
        <v>17</v>
      </c>
      <c r="G294" s="1">
        <v>45945</v>
      </c>
      <c r="H294" t="s">
        <v>37</v>
      </c>
      <c r="I294" s="2">
        <v>32032.764032635019</v>
      </c>
      <c r="J294">
        <v>408</v>
      </c>
      <c r="K294" t="s">
        <v>18</v>
      </c>
      <c r="L294" s="1">
        <v>45958</v>
      </c>
      <c r="M294" s="6">
        <f>WilsonData[[#This Row],[Discharge Date]]-WilsonData[[#This Row],[Date of Admission]]</f>
        <v>13</v>
      </c>
      <c r="N294" t="s">
        <v>27</v>
      </c>
    </row>
    <row r="295" spans="1:14" x14ac:dyDescent="0.35">
      <c r="A295" t="s">
        <v>1099</v>
      </c>
      <c r="B295">
        <v>52</v>
      </c>
      <c r="C295" t="str">
        <f>IF(WilsonData[[#This Row],[Age]]&lt;=18, "0-18", IF(WilsonData[[#This Row],[Age]]&lt;=35,"19-35", IF(WilsonData[[#This Row],[Age]]&lt;=50, "36-50",IF(WilsonData[[#This Row],[Age]]&lt;=65,"51-65", " 66+"))))</f>
        <v>51-65</v>
      </c>
      <c r="D295" t="s">
        <v>20</v>
      </c>
      <c r="E295" t="s">
        <v>34</v>
      </c>
      <c r="F295" t="s">
        <v>17</v>
      </c>
      <c r="G295" s="1">
        <v>45879</v>
      </c>
      <c r="H295" t="s">
        <v>39</v>
      </c>
      <c r="I295" s="2">
        <v>22695.732990980359</v>
      </c>
      <c r="J295">
        <v>404</v>
      </c>
      <c r="K295" t="s">
        <v>25</v>
      </c>
      <c r="L295" s="1">
        <v>45889</v>
      </c>
      <c r="M295" s="6">
        <f>WilsonData[[#This Row],[Discharge Date]]-WilsonData[[#This Row],[Date of Admission]]</f>
        <v>10</v>
      </c>
      <c r="N295" t="s">
        <v>19</v>
      </c>
    </row>
    <row r="296" spans="1:14" x14ac:dyDescent="0.35">
      <c r="A296" t="s">
        <v>1100</v>
      </c>
      <c r="B296">
        <v>24</v>
      </c>
      <c r="C296" t="str">
        <f>IF(WilsonData[[#This Row],[Age]]&lt;=18, "0-18", IF(WilsonData[[#This Row],[Age]]&lt;=35,"19-35", IF(WilsonData[[#This Row],[Age]]&lt;=50, "36-50",IF(WilsonData[[#This Row],[Age]]&lt;=65,"51-65", " 66+"))))</f>
        <v>19-35</v>
      </c>
      <c r="D296" t="s">
        <v>20</v>
      </c>
      <c r="E296" t="s">
        <v>34</v>
      </c>
      <c r="F296" t="s">
        <v>28</v>
      </c>
      <c r="G296" s="1">
        <v>45694</v>
      </c>
      <c r="H296" t="s">
        <v>36</v>
      </c>
      <c r="I296" s="2">
        <v>14683.1068093924</v>
      </c>
      <c r="J296">
        <v>151</v>
      </c>
      <c r="K296" t="s">
        <v>25</v>
      </c>
      <c r="L296" s="1">
        <v>45698</v>
      </c>
      <c r="M296" s="6">
        <f>WilsonData[[#This Row],[Discharge Date]]-WilsonData[[#This Row],[Date of Admission]]</f>
        <v>4</v>
      </c>
      <c r="N296" t="s">
        <v>22</v>
      </c>
    </row>
    <row r="297" spans="1:14" x14ac:dyDescent="0.35">
      <c r="A297" t="s">
        <v>1101</v>
      </c>
      <c r="B297">
        <v>55</v>
      </c>
      <c r="C297" t="str">
        <f>IF(WilsonData[[#This Row],[Age]]&lt;=18, "0-18", IF(WilsonData[[#This Row],[Age]]&lt;=35,"19-35", IF(WilsonData[[#This Row],[Age]]&lt;=50, "36-50",IF(WilsonData[[#This Row],[Age]]&lt;=65,"51-65", " 66+"))))</f>
        <v>51-65</v>
      </c>
      <c r="D297" t="s">
        <v>20</v>
      </c>
      <c r="E297" t="s">
        <v>12</v>
      </c>
      <c r="F297" t="s">
        <v>17</v>
      </c>
      <c r="G297" s="1">
        <v>45701</v>
      </c>
      <c r="H297" t="s">
        <v>39</v>
      </c>
      <c r="I297" s="2">
        <v>16663.221949700612</v>
      </c>
      <c r="J297">
        <v>399</v>
      </c>
      <c r="K297" t="s">
        <v>18</v>
      </c>
      <c r="L297" s="1">
        <v>45708</v>
      </c>
      <c r="M297" s="6">
        <f>WilsonData[[#This Row],[Discharge Date]]-WilsonData[[#This Row],[Date of Admission]]</f>
        <v>7</v>
      </c>
      <c r="N297" t="s">
        <v>19</v>
      </c>
    </row>
    <row r="298" spans="1:14" x14ac:dyDescent="0.35">
      <c r="A298" t="s">
        <v>1102</v>
      </c>
      <c r="B298">
        <v>68</v>
      </c>
      <c r="C298" t="str">
        <f>IF(WilsonData[[#This Row],[Age]]&lt;=18, "0-18", IF(WilsonData[[#This Row],[Age]]&lt;=35,"19-35", IF(WilsonData[[#This Row],[Age]]&lt;=50, "36-50",IF(WilsonData[[#This Row],[Age]]&lt;=65,"51-65", " 66+"))))</f>
        <v xml:space="preserve"> 66+</v>
      </c>
      <c r="D298" t="s">
        <v>11</v>
      </c>
      <c r="E298" t="s">
        <v>26</v>
      </c>
      <c r="F298" t="s">
        <v>32</v>
      </c>
      <c r="G298" s="1">
        <v>45886</v>
      </c>
      <c r="H298" t="s">
        <v>36</v>
      </c>
      <c r="I298" s="2">
        <v>29693.33339983421</v>
      </c>
      <c r="J298">
        <v>434</v>
      </c>
      <c r="K298" t="s">
        <v>18</v>
      </c>
      <c r="L298" s="1">
        <v>45888</v>
      </c>
      <c r="M298" s="6">
        <f>WilsonData[[#This Row],[Discharge Date]]-WilsonData[[#This Row],[Date of Admission]]</f>
        <v>2</v>
      </c>
      <c r="N298" t="s">
        <v>22</v>
      </c>
    </row>
    <row r="299" spans="1:14" x14ac:dyDescent="0.35">
      <c r="A299" t="s">
        <v>1103</v>
      </c>
      <c r="B299">
        <v>41</v>
      </c>
      <c r="C299" t="str">
        <f>IF(WilsonData[[#This Row],[Age]]&lt;=18, "0-18", IF(WilsonData[[#This Row],[Age]]&lt;=35,"19-35", IF(WilsonData[[#This Row],[Age]]&lt;=50, "36-50",IF(WilsonData[[#This Row],[Age]]&lt;=65,"51-65", " 66+"))))</f>
        <v>36-50</v>
      </c>
      <c r="D299" t="s">
        <v>11</v>
      </c>
      <c r="E299" t="s">
        <v>16</v>
      </c>
      <c r="F299" t="s">
        <v>32</v>
      </c>
      <c r="G299" s="1">
        <v>45808</v>
      </c>
      <c r="H299" t="s">
        <v>37</v>
      </c>
      <c r="I299" s="2">
        <v>28436.20900544136</v>
      </c>
      <c r="J299">
        <v>443</v>
      </c>
      <c r="K299" t="s">
        <v>25</v>
      </c>
      <c r="L299" s="1">
        <v>45810</v>
      </c>
      <c r="M299" s="6">
        <f>WilsonData[[#This Row],[Discharge Date]]-WilsonData[[#This Row],[Date of Admission]]</f>
        <v>2</v>
      </c>
      <c r="N299" t="s">
        <v>27</v>
      </c>
    </row>
    <row r="300" spans="1:14" x14ac:dyDescent="0.35">
      <c r="A300" t="s">
        <v>1104</v>
      </c>
      <c r="B300">
        <v>37</v>
      </c>
      <c r="C300" t="str">
        <f>IF(WilsonData[[#This Row],[Age]]&lt;=18, "0-18", IF(WilsonData[[#This Row],[Age]]&lt;=35,"19-35", IF(WilsonData[[#This Row],[Age]]&lt;=50, "36-50",IF(WilsonData[[#This Row],[Age]]&lt;=65,"51-65", " 66+"))))</f>
        <v>36-50</v>
      </c>
      <c r="D300" t="s">
        <v>20</v>
      </c>
      <c r="E300" t="s">
        <v>16</v>
      </c>
      <c r="F300" t="s">
        <v>13</v>
      </c>
      <c r="G300" s="1">
        <v>45962</v>
      </c>
      <c r="H300" t="s">
        <v>37</v>
      </c>
      <c r="I300" s="2">
        <v>37033.843591424084</v>
      </c>
      <c r="J300">
        <v>237</v>
      </c>
      <c r="K300" t="s">
        <v>18</v>
      </c>
      <c r="L300" s="1">
        <v>45975</v>
      </c>
      <c r="M300" s="6">
        <f>WilsonData[[#This Row],[Discharge Date]]-WilsonData[[#This Row],[Date of Admission]]</f>
        <v>13</v>
      </c>
      <c r="N300" t="s">
        <v>15</v>
      </c>
    </row>
    <row r="301" spans="1:14" x14ac:dyDescent="0.35">
      <c r="A301" t="s">
        <v>1105</v>
      </c>
      <c r="B301">
        <v>61</v>
      </c>
      <c r="C301" t="str">
        <f>IF(WilsonData[[#This Row],[Age]]&lt;=18, "0-18", IF(WilsonData[[#This Row],[Age]]&lt;=35,"19-35", IF(WilsonData[[#This Row],[Age]]&lt;=50, "36-50",IF(WilsonData[[#This Row],[Age]]&lt;=65,"51-65", " 66+"))))</f>
        <v>51-65</v>
      </c>
      <c r="D301" t="s">
        <v>11</v>
      </c>
      <c r="E301" t="s">
        <v>29</v>
      </c>
      <c r="F301" t="s">
        <v>30</v>
      </c>
      <c r="G301" s="1">
        <v>45755</v>
      </c>
      <c r="H301" t="s">
        <v>39</v>
      </c>
      <c r="I301" s="2">
        <v>17054.481978924741</v>
      </c>
      <c r="J301">
        <v>124</v>
      </c>
      <c r="K301" t="s">
        <v>18</v>
      </c>
      <c r="L301" s="1">
        <v>45757</v>
      </c>
      <c r="M301" s="6">
        <f>WilsonData[[#This Row],[Discharge Date]]-WilsonData[[#This Row],[Date of Admission]]</f>
        <v>2</v>
      </c>
      <c r="N301" t="s">
        <v>15</v>
      </c>
    </row>
    <row r="302" spans="1:14" x14ac:dyDescent="0.35">
      <c r="A302" t="s">
        <v>1106</v>
      </c>
      <c r="B302">
        <v>81</v>
      </c>
      <c r="C302" t="str">
        <f>IF(WilsonData[[#This Row],[Age]]&lt;=18, "0-18", IF(WilsonData[[#This Row],[Age]]&lt;=35,"19-35", IF(WilsonData[[#This Row],[Age]]&lt;=50, "36-50",IF(WilsonData[[#This Row],[Age]]&lt;=65,"51-65", " 66+"))))</f>
        <v xml:space="preserve"> 66+</v>
      </c>
      <c r="D302" t="s">
        <v>20</v>
      </c>
      <c r="E302" t="s">
        <v>34</v>
      </c>
      <c r="F302" t="s">
        <v>24</v>
      </c>
      <c r="G302" s="1">
        <v>45809</v>
      </c>
      <c r="H302" t="s">
        <v>36</v>
      </c>
      <c r="I302" s="2">
        <v>29683.307513197211</v>
      </c>
      <c r="J302">
        <v>168</v>
      </c>
      <c r="K302" t="s">
        <v>25</v>
      </c>
      <c r="L302" s="1">
        <v>45820</v>
      </c>
      <c r="M302" s="6">
        <f>WilsonData[[#This Row],[Discharge Date]]-WilsonData[[#This Row],[Date of Admission]]</f>
        <v>11</v>
      </c>
      <c r="N302" t="s">
        <v>15</v>
      </c>
    </row>
    <row r="303" spans="1:14" x14ac:dyDescent="0.35">
      <c r="A303" t="s">
        <v>1107</v>
      </c>
      <c r="B303">
        <v>58</v>
      </c>
      <c r="C303" t="str">
        <f>IF(WilsonData[[#This Row],[Age]]&lt;=18, "0-18", IF(WilsonData[[#This Row],[Age]]&lt;=35,"19-35", IF(WilsonData[[#This Row],[Age]]&lt;=50, "36-50",IF(WilsonData[[#This Row],[Age]]&lt;=65,"51-65", " 66+"))))</f>
        <v>51-65</v>
      </c>
      <c r="D303" t="s">
        <v>11</v>
      </c>
      <c r="E303" t="s">
        <v>33</v>
      </c>
      <c r="F303" t="s">
        <v>32</v>
      </c>
      <c r="G303" s="1">
        <v>45847</v>
      </c>
      <c r="H303" t="s">
        <v>39</v>
      </c>
      <c r="I303" s="2">
        <v>47340.747449676513</v>
      </c>
      <c r="J303">
        <v>455</v>
      </c>
      <c r="K303" t="s">
        <v>18</v>
      </c>
      <c r="L303" s="1">
        <v>45855</v>
      </c>
      <c r="M303" s="6">
        <f>WilsonData[[#This Row],[Discharge Date]]-WilsonData[[#This Row],[Date of Admission]]</f>
        <v>8</v>
      </c>
      <c r="N303" t="s">
        <v>31</v>
      </c>
    </row>
    <row r="304" spans="1:14" x14ac:dyDescent="0.35">
      <c r="A304" t="s">
        <v>1108</v>
      </c>
      <c r="B304">
        <v>84</v>
      </c>
      <c r="C304" t="str">
        <f>IF(WilsonData[[#This Row],[Age]]&lt;=18, "0-18", IF(WilsonData[[#This Row],[Age]]&lt;=35,"19-35", IF(WilsonData[[#This Row],[Age]]&lt;=50, "36-50",IF(WilsonData[[#This Row],[Age]]&lt;=65,"51-65", " 66+"))))</f>
        <v xml:space="preserve"> 66+</v>
      </c>
      <c r="D304" t="s">
        <v>20</v>
      </c>
      <c r="E304" t="s">
        <v>33</v>
      </c>
      <c r="F304" t="s">
        <v>17</v>
      </c>
      <c r="G304" s="1">
        <v>45754</v>
      </c>
      <c r="H304" t="s">
        <v>36</v>
      </c>
      <c r="I304" s="2">
        <v>27984.930289228181</v>
      </c>
      <c r="J304">
        <v>240</v>
      </c>
      <c r="K304" t="s">
        <v>25</v>
      </c>
      <c r="L304" s="1">
        <v>45756</v>
      </c>
      <c r="M304" s="6">
        <f>WilsonData[[#This Row],[Discharge Date]]-WilsonData[[#This Row],[Date of Admission]]</f>
        <v>2</v>
      </c>
      <c r="N304" t="s">
        <v>22</v>
      </c>
    </row>
    <row r="305" spans="1:14" x14ac:dyDescent="0.35">
      <c r="A305" t="s">
        <v>1109</v>
      </c>
      <c r="B305">
        <v>23</v>
      </c>
      <c r="C305" t="str">
        <f>IF(WilsonData[[#This Row],[Age]]&lt;=18, "0-18", IF(WilsonData[[#This Row],[Age]]&lt;=35,"19-35", IF(WilsonData[[#This Row],[Age]]&lt;=50, "36-50",IF(WilsonData[[#This Row],[Age]]&lt;=65,"51-65", " 66+"))))</f>
        <v>19-35</v>
      </c>
      <c r="D305" t="s">
        <v>11</v>
      </c>
      <c r="E305" t="s">
        <v>33</v>
      </c>
      <c r="F305" t="s">
        <v>17</v>
      </c>
      <c r="G305" s="1">
        <v>45996</v>
      </c>
      <c r="H305" t="s">
        <v>37</v>
      </c>
      <c r="I305" s="2">
        <v>25686.523119858099</v>
      </c>
      <c r="J305">
        <v>271</v>
      </c>
      <c r="K305" t="s">
        <v>25</v>
      </c>
      <c r="L305" s="1">
        <v>46005</v>
      </c>
      <c r="M305" s="6">
        <f>WilsonData[[#This Row],[Discharge Date]]-WilsonData[[#This Row],[Date of Admission]]</f>
        <v>9</v>
      </c>
      <c r="N305" t="s">
        <v>15</v>
      </c>
    </row>
    <row r="306" spans="1:14" x14ac:dyDescent="0.35">
      <c r="A306" t="s">
        <v>1110</v>
      </c>
      <c r="B306">
        <v>68</v>
      </c>
      <c r="C306" t="str">
        <f>IF(WilsonData[[#This Row],[Age]]&lt;=18, "0-18", IF(WilsonData[[#This Row],[Age]]&lt;=35,"19-35", IF(WilsonData[[#This Row],[Age]]&lt;=50, "36-50",IF(WilsonData[[#This Row],[Age]]&lt;=65,"51-65", " 66+"))))</f>
        <v xml:space="preserve"> 66+</v>
      </c>
      <c r="D306" t="s">
        <v>20</v>
      </c>
      <c r="E306" t="s">
        <v>21</v>
      </c>
      <c r="F306" t="s">
        <v>28</v>
      </c>
      <c r="G306" s="1">
        <v>45977</v>
      </c>
      <c r="H306" t="s">
        <v>36</v>
      </c>
      <c r="I306" s="2">
        <v>19551.246225975388</v>
      </c>
      <c r="J306">
        <v>152</v>
      </c>
      <c r="K306" t="s">
        <v>25</v>
      </c>
      <c r="L306" s="1">
        <v>45986</v>
      </c>
      <c r="M306" s="6">
        <f>WilsonData[[#This Row],[Discharge Date]]-WilsonData[[#This Row],[Date of Admission]]</f>
        <v>9</v>
      </c>
      <c r="N306" t="s">
        <v>27</v>
      </c>
    </row>
    <row r="307" spans="1:14" x14ac:dyDescent="0.35">
      <c r="A307" t="s">
        <v>1111</v>
      </c>
      <c r="B307">
        <v>55</v>
      </c>
      <c r="C307" t="str">
        <f>IF(WilsonData[[#This Row],[Age]]&lt;=18, "0-18", IF(WilsonData[[#This Row],[Age]]&lt;=35,"19-35", IF(WilsonData[[#This Row],[Age]]&lt;=50, "36-50",IF(WilsonData[[#This Row],[Age]]&lt;=65,"51-65", " 66+"))))</f>
        <v>51-65</v>
      </c>
      <c r="D307" t="s">
        <v>11</v>
      </c>
      <c r="E307" t="s">
        <v>12</v>
      </c>
      <c r="F307" t="s">
        <v>32</v>
      </c>
      <c r="G307" s="1">
        <v>46007</v>
      </c>
      <c r="H307" t="s">
        <v>36</v>
      </c>
      <c r="I307" s="2">
        <v>24975.924520232049</v>
      </c>
      <c r="J307">
        <v>499</v>
      </c>
      <c r="K307" t="s">
        <v>18</v>
      </c>
      <c r="L307" s="1">
        <v>46013</v>
      </c>
      <c r="M307" s="6">
        <f>WilsonData[[#This Row],[Discharge Date]]-WilsonData[[#This Row],[Date of Admission]]</f>
        <v>6</v>
      </c>
      <c r="N307" t="s">
        <v>31</v>
      </c>
    </row>
    <row r="308" spans="1:14" x14ac:dyDescent="0.35">
      <c r="A308" t="s">
        <v>1112</v>
      </c>
      <c r="B308">
        <v>84</v>
      </c>
      <c r="C308" t="str">
        <f>IF(WilsonData[[#This Row],[Age]]&lt;=18, "0-18", IF(WilsonData[[#This Row],[Age]]&lt;=35,"19-35", IF(WilsonData[[#This Row],[Age]]&lt;=50, "36-50",IF(WilsonData[[#This Row],[Age]]&lt;=65,"51-65", " 66+"))))</f>
        <v xml:space="preserve"> 66+</v>
      </c>
      <c r="D308" t="s">
        <v>11</v>
      </c>
      <c r="E308" t="s">
        <v>16</v>
      </c>
      <c r="F308" t="s">
        <v>24</v>
      </c>
      <c r="G308" s="1">
        <v>45772</v>
      </c>
      <c r="H308" t="s">
        <v>39</v>
      </c>
      <c r="I308" s="2">
        <v>4030.4499497178522</v>
      </c>
      <c r="J308">
        <v>161</v>
      </c>
      <c r="K308" t="s">
        <v>18</v>
      </c>
      <c r="L308" s="1">
        <v>45786</v>
      </c>
      <c r="M308" s="6">
        <f>WilsonData[[#This Row],[Discharge Date]]-WilsonData[[#This Row],[Date of Admission]]</f>
        <v>14</v>
      </c>
      <c r="N308" t="s">
        <v>19</v>
      </c>
    </row>
    <row r="309" spans="1:14" x14ac:dyDescent="0.35">
      <c r="A309" t="s">
        <v>1113</v>
      </c>
      <c r="B309">
        <v>63</v>
      </c>
      <c r="C309" t="str">
        <f>IF(WilsonData[[#This Row],[Age]]&lt;=18, "0-18", IF(WilsonData[[#This Row],[Age]]&lt;=35,"19-35", IF(WilsonData[[#This Row],[Age]]&lt;=50, "36-50",IF(WilsonData[[#This Row],[Age]]&lt;=65,"51-65", " 66+"))))</f>
        <v>51-65</v>
      </c>
      <c r="D309" t="s">
        <v>11</v>
      </c>
      <c r="E309" t="s">
        <v>21</v>
      </c>
      <c r="F309" t="s">
        <v>24</v>
      </c>
      <c r="G309" s="1">
        <v>45766</v>
      </c>
      <c r="H309" t="s">
        <v>37</v>
      </c>
      <c r="I309" s="2">
        <v>31452.824927833492</v>
      </c>
      <c r="J309">
        <v>306</v>
      </c>
      <c r="K309" t="s">
        <v>25</v>
      </c>
      <c r="L309" s="1">
        <v>45778</v>
      </c>
      <c r="M309" s="6">
        <f>WilsonData[[#This Row],[Discharge Date]]-WilsonData[[#This Row],[Date of Admission]]</f>
        <v>12</v>
      </c>
      <c r="N309" t="s">
        <v>31</v>
      </c>
    </row>
    <row r="310" spans="1:14" x14ac:dyDescent="0.35">
      <c r="A310" t="s">
        <v>1114</v>
      </c>
      <c r="B310">
        <v>44</v>
      </c>
      <c r="C310" t="str">
        <f>IF(WilsonData[[#This Row],[Age]]&lt;=18, "0-18", IF(WilsonData[[#This Row],[Age]]&lt;=35,"19-35", IF(WilsonData[[#This Row],[Age]]&lt;=50, "36-50",IF(WilsonData[[#This Row],[Age]]&lt;=65,"51-65", " 66+"))))</f>
        <v>36-50</v>
      </c>
      <c r="D310" t="s">
        <v>20</v>
      </c>
      <c r="E310" t="s">
        <v>34</v>
      </c>
      <c r="F310" t="s">
        <v>17</v>
      </c>
      <c r="G310" s="1">
        <v>45831</v>
      </c>
      <c r="H310" t="s">
        <v>37</v>
      </c>
      <c r="I310" s="2">
        <v>5805.9611122889837</v>
      </c>
      <c r="J310">
        <v>429</v>
      </c>
      <c r="K310" t="s">
        <v>18</v>
      </c>
      <c r="L310" s="1">
        <v>45832</v>
      </c>
      <c r="M310" s="6">
        <f>WilsonData[[#This Row],[Discharge Date]]-WilsonData[[#This Row],[Date of Admission]]</f>
        <v>1</v>
      </c>
      <c r="N310" t="s">
        <v>22</v>
      </c>
    </row>
    <row r="311" spans="1:14" x14ac:dyDescent="0.35">
      <c r="A311" t="s">
        <v>1115</v>
      </c>
      <c r="B311">
        <v>76</v>
      </c>
      <c r="C311" t="str">
        <f>IF(WilsonData[[#This Row],[Age]]&lt;=18, "0-18", IF(WilsonData[[#This Row],[Age]]&lt;=35,"19-35", IF(WilsonData[[#This Row],[Age]]&lt;=50, "36-50",IF(WilsonData[[#This Row],[Age]]&lt;=65,"51-65", " 66+"))))</f>
        <v xml:space="preserve"> 66+</v>
      </c>
      <c r="D311" t="s">
        <v>11</v>
      </c>
      <c r="E311" t="s">
        <v>23</v>
      </c>
      <c r="F311" t="s">
        <v>24</v>
      </c>
      <c r="G311" s="1">
        <v>45872</v>
      </c>
      <c r="H311" t="s">
        <v>37</v>
      </c>
      <c r="I311" s="2">
        <v>43107.023150004832</v>
      </c>
      <c r="J311">
        <v>471</v>
      </c>
      <c r="K311" t="s">
        <v>18</v>
      </c>
      <c r="L311" s="1">
        <v>45880</v>
      </c>
      <c r="M311" s="6">
        <f>WilsonData[[#This Row],[Discharge Date]]-WilsonData[[#This Row],[Date of Admission]]</f>
        <v>8</v>
      </c>
      <c r="N311" t="s">
        <v>15</v>
      </c>
    </row>
    <row r="312" spans="1:14" x14ac:dyDescent="0.35">
      <c r="A312" t="s">
        <v>1116</v>
      </c>
      <c r="B312">
        <v>54</v>
      </c>
      <c r="C312" t="str">
        <f>IF(WilsonData[[#This Row],[Age]]&lt;=18, "0-18", IF(WilsonData[[#This Row],[Age]]&lt;=35,"19-35", IF(WilsonData[[#This Row],[Age]]&lt;=50, "36-50",IF(WilsonData[[#This Row],[Age]]&lt;=65,"51-65", " 66+"))))</f>
        <v>51-65</v>
      </c>
      <c r="D312" t="s">
        <v>11</v>
      </c>
      <c r="E312" t="s">
        <v>34</v>
      </c>
      <c r="F312" t="s">
        <v>13</v>
      </c>
      <c r="G312" s="1">
        <v>45952</v>
      </c>
      <c r="H312" t="s">
        <v>36</v>
      </c>
      <c r="I312" s="2">
        <v>11442.886155289751</v>
      </c>
      <c r="J312">
        <v>135</v>
      </c>
      <c r="K312" t="s">
        <v>25</v>
      </c>
      <c r="L312" s="1">
        <v>45963</v>
      </c>
      <c r="M312" s="6">
        <f>WilsonData[[#This Row],[Discharge Date]]-WilsonData[[#This Row],[Date of Admission]]</f>
        <v>11</v>
      </c>
      <c r="N312" t="s">
        <v>15</v>
      </c>
    </row>
    <row r="313" spans="1:14" x14ac:dyDescent="0.35">
      <c r="A313" t="s">
        <v>1117</v>
      </c>
      <c r="B313">
        <v>43</v>
      </c>
      <c r="C313" t="str">
        <f>IF(WilsonData[[#This Row],[Age]]&lt;=18, "0-18", IF(WilsonData[[#This Row],[Age]]&lt;=35,"19-35", IF(WilsonData[[#This Row],[Age]]&lt;=50, "36-50",IF(WilsonData[[#This Row],[Age]]&lt;=65,"51-65", " 66+"))))</f>
        <v>36-50</v>
      </c>
      <c r="D313" t="s">
        <v>20</v>
      </c>
      <c r="E313" t="s">
        <v>34</v>
      </c>
      <c r="F313" t="s">
        <v>32</v>
      </c>
      <c r="G313" s="1">
        <v>45843</v>
      </c>
      <c r="H313" t="s">
        <v>37</v>
      </c>
      <c r="I313" s="2">
        <v>5918.0363643174678</v>
      </c>
      <c r="J313">
        <v>317</v>
      </c>
      <c r="K313" t="s">
        <v>25</v>
      </c>
      <c r="L313" s="1">
        <v>45847</v>
      </c>
      <c r="M313" s="6">
        <f>WilsonData[[#This Row],[Discharge Date]]-WilsonData[[#This Row],[Date of Admission]]</f>
        <v>4</v>
      </c>
      <c r="N313" t="s">
        <v>22</v>
      </c>
    </row>
    <row r="314" spans="1:14" x14ac:dyDescent="0.35">
      <c r="A314" t="s">
        <v>1118</v>
      </c>
      <c r="B314">
        <v>26</v>
      </c>
      <c r="C314" t="str">
        <f>IF(WilsonData[[#This Row],[Age]]&lt;=18, "0-18", IF(WilsonData[[#This Row],[Age]]&lt;=35,"19-35", IF(WilsonData[[#This Row],[Age]]&lt;=50, "36-50",IF(WilsonData[[#This Row],[Age]]&lt;=65,"51-65", " 66+"))))</f>
        <v>19-35</v>
      </c>
      <c r="D314" t="s">
        <v>20</v>
      </c>
      <c r="E314" t="s">
        <v>16</v>
      </c>
      <c r="F314" t="s">
        <v>13</v>
      </c>
      <c r="G314" s="1">
        <v>45785</v>
      </c>
      <c r="H314" t="s">
        <v>37</v>
      </c>
      <c r="I314" s="2">
        <v>44165.503936088076</v>
      </c>
      <c r="J314">
        <v>303</v>
      </c>
      <c r="K314" t="s">
        <v>18</v>
      </c>
      <c r="L314" s="1">
        <v>45788</v>
      </c>
      <c r="M314" s="6">
        <f>WilsonData[[#This Row],[Discharge Date]]-WilsonData[[#This Row],[Date of Admission]]</f>
        <v>3</v>
      </c>
      <c r="N314" t="s">
        <v>27</v>
      </c>
    </row>
    <row r="315" spans="1:14" x14ac:dyDescent="0.35">
      <c r="A315" t="s">
        <v>1119</v>
      </c>
      <c r="B315">
        <v>38</v>
      </c>
      <c r="C315" t="str">
        <f>IF(WilsonData[[#This Row],[Age]]&lt;=18, "0-18", IF(WilsonData[[#This Row],[Age]]&lt;=35,"19-35", IF(WilsonData[[#This Row],[Age]]&lt;=50, "36-50",IF(WilsonData[[#This Row],[Age]]&lt;=65,"51-65", " 66+"))))</f>
        <v>36-50</v>
      </c>
      <c r="D315" t="s">
        <v>11</v>
      </c>
      <c r="E315" t="s">
        <v>23</v>
      </c>
      <c r="F315" t="s">
        <v>32</v>
      </c>
      <c r="G315" s="1">
        <v>45818</v>
      </c>
      <c r="H315" t="s">
        <v>39</v>
      </c>
      <c r="I315" s="2">
        <v>12769.088463860269</v>
      </c>
      <c r="J315">
        <v>383</v>
      </c>
      <c r="K315" t="s">
        <v>25</v>
      </c>
      <c r="L315" s="1">
        <v>45822</v>
      </c>
      <c r="M315" s="6">
        <f>WilsonData[[#This Row],[Discharge Date]]-WilsonData[[#This Row],[Date of Admission]]</f>
        <v>4</v>
      </c>
      <c r="N315" t="s">
        <v>19</v>
      </c>
    </row>
    <row r="316" spans="1:14" x14ac:dyDescent="0.35">
      <c r="A316" t="s">
        <v>1120</v>
      </c>
      <c r="B316">
        <v>82</v>
      </c>
      <c r="C316" t="str">
        <f>IF(WilsonData[[#This Row],[Age]]&lt;=18, "0-18", IF(WilsonData[[#This Row],[Age]]&lt;=35,"19-35", IF(WilsonData[[#This Row],[Age]]&lt;=50, "36-50",IF(WilsonData[[#This Row],[Age]]&lt;=65,"51-65", " 66+"))))</f>
        <v xml:space="preserve"> 66+</v>
      </c>
      <c r="D316" t="s">
        <v>20</v>
      </c>
      <c r="E316" t="s">
        <v>21</v>
      </c>
      <c r="F316" t="s">
        <v>13</v>
      </c>
      <c r="G316" s="1">
        <v>45893</v>
      </c>
      <c r="H316" t="s">
        <v>37</v>
      </c>
      <c r="I316" s="2">
        <v>8506.4036580812717</v>
      </c>
      <c r="J316">
        <v>159</v>
      </c>
      <c r="K316" t="s">
        <v>25</v>
      </c>
      <c r="L316" s="1">
        <v>45904</v>
      </c>
      <c r="M316" s="6">
        <f>WilsonData[[#This Row],[Discharge Date]]-WilsonData[[#This Row],[Date of Admission]]</f>
        <v>11</v>
      </c>
      <c r="N316" t="s">
        <v>31</v>
      </c>
    </row>
    <row r="317" spans="1:14" x14ac:dyDescent="0.35">
      <c r="A317" t="s">
        <v>1121</v>
      </c>
      <c r="B317">
        <v>84</v>
      </c>
      <c r="C317" t="str">
        <f>IF(WilsonData[[#This Row],[Age]]&lt;=18, "0-18", IF(WilsonData[[#This Row],[Age]]&lt;=35,"19-35", IF(WilsonData[[#This Row],[Age]]&lt;=50, "36-50",IF(WilsonData[[#This Row],[Age]]&lt;=65,"51-65", " 66+"))))</f>
        <v xml:space="preserve"> 66+</v>
      </c>
      <c r="D317" t="s">
        <v>11</v>
      </c>
      <c r="E317" t="s">
        <v>23</v>
      </c>
      <c r="F317" t="s">
        <v>28</v>
      </c>
      <c r="G317" s="1">
        <v>45734</v>
      </c>
      <c r="H317" t="s">
        <v>36</v>
      </c>
      <c r="I317" s="2">
        <v>1754.178464631902</v>
      </c>
      <c r="J317">
        <v>293</v>
      </c>
      <c r="K317" t="s">
        <v>25</v>
      </c>
      <c r="L317" s="1">
        <v>45743</v>
      </c>
      <c r="M317" s="6">
        <f>WilsonData[[#This Row],[Discharge Date]]-WilsonData[[#This Row],[Date of Admission]]</f>
        <v>9</v>
      </c>
      <c r="N317" t="s">
        <v>15</v>
      </c>
    </row>
    <row r="318" spans="1:14" x14ac:dyDescent="0.35">
      <c r="A318" t="s">
        <v>1122</v>
      </c>
      <c r="B318">
        <v>44</v>
      </c>
      <c r="C318" t="str">
        <f>IF(WilsonData[[#This Row],[Age]]&lt;=18, "0-18", IF(WilsonData[[#This Row],[Age]]&lt;=35,"19-35", IF(WilsonData[[#This Row],[Age]]&lt;=50, "36-50",IF(WilsonData[[#This Row],[Age]]&lt;=65,"51-65", " 66+"))))</f>
        <v>36-50</v>
      </c>
      <c r="D318" t="s">
        <v>20</v>
      </c>
      <c r="E318" t="s">
        <v>21</v>
      </c>
      <c r="F318" t="s">
        <v>24</v>
      </c>
      <c r="G318" s="1">
        <v>46015</v>
      </c>
      <c r="H318" t="s">
        <v>36</v>
      </c>
      <c r="I318" s="2">
        <v>31692.243956599152</v>
      </c>
      <c r="J318">
        <v>422</v>
      </c>
      <c r="K318" t="s">
        <v>18</v>
      </c>
      <c r="L318" s="1">
        <v>46019</v>
      </c>
      <c r="M318" s="6">
        <f>WilsonData[[#This Row],[Discharge Date]]-WilsonData[[#This Row],[Date of Admission]]</f>
        <v>4</v>
      </c>
      <c r="N318" t="s">
        <v>31</v>
      </c>
    </row>
    <row r="319" spans="1:14" x14ac:dyDescent="0.35">
      <c r="A319" t="s">
        <v>1123</v>
      </c>
      <c r="B319">
        <v>51</v>
      </c>
      <c r="C319" t="str">
        <f>IF(WilsonData[[#This Row],[Age]]&lt;=18, "0-18", IF(WilsonData[[#This Row],[Age]]&lt;=35,"19-35", IF(WilsonData[[#This Row],[Age]]&lt;=50, "36-50",IF(WilsonData[[#This Row],[Age]]&lt;=65,"51-65", " 66+"))))</f>
        <v>51-65</v>
      </c>
      <c r="D319" t="s">
        <v>11</v>
      </c>
      <c r="E319" t="s">
        <v>23</v>
      </c>
      <c r="F319" t="s">
        <v>30</v>
      </c>
      <c r="G319" s="1">
        <v>45670</v>
      </c>
      <c r="H319" t="s">
        <v>39</v>
      </c>
      <c r="I319" s="2">
        <v>21438.06223106389</v>
      </c>
      <c r="J319">
        <v>139</v>
      </c>
      <c r="K319" t="s">
        <v>25</v>
      </c>
      <c r="L319" s="1">
        <v>45680</v>
      </c>
      <c r="M319" s="6">
        <f>WilsonData[[#This Row],[Discharge Date]]-WilsonData[[#This Row],[Date of Admission]]</f>
        <v>10</v>
      </c>
      <c r="N319" t="s">
        <v>15</v>
      </c>
    </row>
    <row r="320" spans="1:14" x14ac:dyDescent="0.35">
      <c r="A320" t="s">
        <v>1124</v>
      </c>
      <c r="B320">
        <v>75</v>
      </c>
      <c r="C320" t="str">
        <f>IF(WilsonData[[#This Row],[Age]]&lt;=18, "0-18", IF(WilsonData[[#This Row],[Age]]&lt;=35,"19-35", IF(WilsonData[[#This Row],[Age]]&lt;=50, "36-50",IF(WilsonData[[#This Row],[Age]]&lt;=65,"51-65", " 66+"))))</f>
        <v xml:space="preserve"> 66+</v>
      </c>
      <c r="D320" t="s">
        <v>11</v>
      </c>
      <c r="E320" t="s">
        <v>12</v>
      </c>
      <c r="F320" t="s">
        <v>32</v>
      </c>
      <c r="G320" s="1">
        <v>45799</v>
      </c>
      <c r="H320" t="s">
        <v>39</v>
      </c>
      <c r="I320" s="2">
        <v>2511.4796992707838</v>
      </c>
      <c r="J320">
        <v>104</v>
      </c>
      <c r="K320" t="s">
        <v>18</v>
      </c>
      <c r="L320" s="1">
        <v>45801</v>
      </c>
      <c r="M320" s="6">
        <f>WilsonData[[#This Row],[Discharge Date]]-WilsonData[[#This Row],[Date of Admission]]</f>
        <v>2</v>
      </c>
      <c r="N320" t="s">
        <v>27</v>
      </c>
    </row>
    <row r="321" spans="1:14" x14ac:dyDescent="0.35">
      <c r="A321" t="s">
        <v>1125</v>
      </c>
      <c r="B321">
        <v>43</v>
      </c>
      <c r="C321" t="str">
        <f>IF(WilsonData[[#This Row],[Age]]&lt;=18, "0-18", IF(WilsonData[[#This Row],[Age]]&lt;=35,"19-35", IF(WilsonData[[#This Row],[Age]]&lt;=50, "36-50",IF(WilsonData[[#This Row],[Age]]&lt;=65,"51-65", " 66+"))))</f>
        <v>36-50</v>
      </c>
      <c r="D321" t="s">
        <v>20</v>
      </c>
      <c r="E321" t="s">
        <v>12</v>
      </c>
      <c r="F321" t="s">
        <v>13</v>
      </c>
      <c r="G321" s="1">
        <v>45867</v>
      </c>
      <c r="H321" t="s">
        <v>36</v>
      </c>
      <c r="I321" s="2">
        <v>40505.069077889289</v>
      </c>
      <c r="J321">
        <v>432</v>
      </c>
      <c r="K321" t="s">
        <v>18</v>
      </c>
      <c r="L321" s="1">
        <v>45869</v>
      </c>
      <c r="M321" s="6">
        <f>WilsonData[[#This Row],[Discharge Date]]-WilsonData[[#This Row],[Date of Admission]]</f>
        <v>2</v>
      </c>
      <c r="N321" t="s">
        <v>27</v>
      </c>
    </row>
    <row r="322" spans="1:14" x14ac:dyDescent="0.35">
      <c r="A322" t="s">
        <v>1126</v>
      </c>
      <c r="B322">
        <v>45</v>
      </c>
      <c r="C322" t="str">
        <f>IF(WilsonData[[#This Row],[Age]]&lt;=18, "0-18", IF(WilsonData[[#This Row],[Age]]&lt;=35,"19-35", IF(WilsonData[[#This Row],[Age]]&lt;=50, "36-50",IF(WilsonData[[#This Row],[Age]]&lt;=65,"51-65", " 66+"))))</f>
        <v>36-50</v>
      </c>
      <c r="D322" t="s">
        <v>20</v>
      </c>
      <c r="E322" t="s">
        <v>16</v>
      </c>
      <c r="F322" t="s">
        <v>13</v>
      </c>
      <c r="G322" s="1">
        <v>45854</v>
      </c>
      <c r="H322" t="s">
        <v>36</v>
      </c>
      <c r="I322" s="2">
        <v>4767.9853310218896</v>
      </c>
      <c r="J322">
        <v>262</v>
      </c>
      <c r="K322" t="s">
        <v>25</v>
      </c>
      <c r="L322" s="1">
        <v>45861</v>
      </c>
      <c r="M322" s="6">
        <f>WilsonData[[#This Row],[Discharge Date]]-WilsonData[[#This Row],[Date of Admission]]</f>
        <v>7</v>
      </c>
      <c r="N322" t="s">
        <v>31</v>
      </c>
    </row>
    <row r="323" spans="1:14" x14ac:dyDescent="0.35">
      <c r="A323" t="s">
        <v>1127</v>
      </c>
      <c r="B323">
        <v>20</v>
      </c>
      <c r="C323" t="str">
        <f>IF(WilsonData[[#This Row],[Age]]&lt;=18, "0-18", IF(WilsonData[[#This Row],[Age]]&lt;=35,"19-35", IF(WilsonData[[#This Row],[Age]]&lt;=50, "36-50",IF(WilsonData[[#This Row],[Age]]&lt;=65,"51-65", " 66+"))))</f>
        <v>19-35</v>
      </c>
      <c r="D323" t="s">
        <v>20</v>
      </c>
      <c r="E323" t="s">
        <v>23</v>
      </c>
      <c r="F323" t="s">
        <v>32</v>
      </c>
      <c r="G323" s="1">
        <v>45771</v>
      </c>
      <c r="H323" t="s">
        <v>37</v>
      </c>
      <c r="I323" s="2">
        <v>31694.778949560139</v>
      </c>
      <c r="J323">
        <v>399</v>
      </c>
      <c r="K323" t="s">
        <v>18</v>
      </c>
      <c r="L323" s="1">
        <v>45773</v>
      </c>
      <c r="M323" s="6">
        <f>WilsonData[[#This Row],[Discharge Date]]-WilsonData[[#This Row],[Date of Admission]]</f>
        <v>2</v>
      </c>
      <c r="N323" t="s">
        <v>27</v>
      </c>
    </row>
    <row r="324" spans="1:14" x14ac:dyDescent="0.35">
      <c r="A324" t="s">
        <v>1128</v>
      </c>
      <c r="B324">
        <v>61</v>
      </c>
      <c r="C324" t="str">
        <f>IF(WilsonData[[#This Row],[Age]]&lt;=18, "0-18", IF(WilsonData[[#This Row],[Age]]&lt;=35,"19-35", IF(WilsonData[[#This Row],[Age]]&lt;=50, "36-50",IF(WilsonData[[#This Row],[Age]]&lt;=65,"51-65", " 66+"))))</f>
        <v>51-65</v>
      </c>
      <c r="D324" t="s">
        <v>11</v>
      </c>
      <c r="E324" t="s">
        <v>21</v>
      </c>
      <c r="F324" t="s">
        <v>17</v>
      </c>
      <c r="G324" s="1">
        <v>45832</v>
      </c>
      <c r="H324" t="s">
        <v>36</v>
      </c>
      <c r="I324" s="2">
        <v>769.95581761944209</v>
      </c>
      <c r="J324">
        <v>388</v>
      </c>
      <c r="K324" t="s">
        <v>25</v>
      </c>
      <c r="L324" s="1">
        <v>45842</v>
      </c>
      <c r="M324" s="6">
        <f>WilsonData[[#This Row],[Discharge Date]]-WilsonData[[#This Row],[Date of Admission]]</f>
        <v>10</v>
      </c>
      <c r="N324" t="s">
        <v>22</v>
      </c>
    </row>
    <row r="325" spans="1:14" x14ac:dyDescent="0.35">
      <c r="A325" t="s">
        <v>1129</v>
      </c>
      <c r="B325">
        <v>63</v>
      </c>
      <c r="C325" t="str">
        <f>IF(WilsonData[[#This Row],[Age]]&lt;=18, "0-18", IF(WilsonData[[#This Row],[Age]]&lt;=35,"19-35", IF(WilsonData[[#This Row],[Age]]&lt;=50, "36-50",IF(WilsonData[[#This Row],[Age]]&lt;=65,"51-65", " 66+"))))</f>
        <v>51-65</v>
      </c>
      <c r="D325" t="s">
        <v>20</v>
      </c>
      <c r="E325" t="s">
        <v>12</v>
      </c>
      <c r="F325" t="s">
        <v>17</v>
      </c>
      <c r="G325" s="1">
        <v>45920</v>
      </c>
      <c r="H325" t="s">
        <v>37</v>
      </c>
      <c r="I325" s="2">
        <v>7078.1702306756988</v>
      </c>
      <c r="J325">
        <v>427</v>
      </c>
      <c r="K325" t="s">
        <v>18</v>
      </c>
      <c r="L325" s="1">
        <v>45926</v>
      </c>
      <c r="M325" s="6">
        <f>WilsonData[[#This Row],[Discharge Date]]-WilsonData[[#This Row],[Date of Admission]]</f>
        <v>6</v>
      </c>
      <c r="N325" t="s">
        <v>22</v>
      </c>
    </row>
    <row r="326" spans="1:14" x14ac:dyDescent="0.35">
      <c r="A326" t="s">
        <v>1130</v>
      </c>
      <c r="B326">
        <v>84</v>
      </c>
      <c r="C326" t="str">
        <f>IF(WilsonData[[#This Row],[Age]]&lt;=18, "0-18", IF(WilsonData[[#This Row],[Age]]&lt;=35,"19-35", IF(WilsonData[[#This Row],[Age]]&lt;=50, "36-50",IF(WilsonData[[#This Row],[Age]]&lt;=65,"51-65", " 66+"))))</f>
        <v xml:space="preserve"> 66+</v>
      </c>
      <c r="D326" t="s">
        <v>20</v>
      </c>
      <c r="E326" t="s">
        <v>33</v>
      </c>
      <c r="F326" t="s">
        <v>17</v>
      </c>
      <c r="G326" s="1">
        <v>45725</v>
      </c>
      <c r="H326" t="s">
        <v>36</v>
      </c>
      <c r="I326" s="2">
        <v>16631.1972326828</v>
      </c>
      <c r="J326">
        <v>484</v>
      </c>
      <c r="K326" t="s">
        <v>25</v>
      </c>
      <c r="L326" s="1">
        <v>45728</v>
      </c>
      <c r="M326" s="6">
        <f>WilsonData[[#This Row],[Discharge Date]]-WilsonData[[#This Row],[Date of Admission]]</f>
        <v>3</v>
      </c>
      <c r="N326" t="s">
        <v>31</v>
      </c>
    </row>
    <row r="327" spans="1:14" x14ac:dyDescent="0.35">
      <c r="A327" t="s">
        <v>1131</v>
      </c>
      <c r="B327">
        <v>27</v>
      </c>
      <c r="C327" t="str">
        <f>IF(WilsonData[[#This Row],[Age]]&lt;=18, "0-18", IF(WilsonData[[#This Row],[Age]]&lt;=35,"19-35", IF(WilsonData[[#This Row],[Age]]&lt;=50, "36-50",IF(WilsonData[[#This Row],[Age]]&lt;=65,"51-65", " 66+"))))</f>
        <v>19-35</v>
      </c>
      <c r="D327" t="s">
        <v>11</v>
      </c>
      <c r="E327" t="s">
        <v>16</v>
      </c>
      <c r="F327" t="s">
        <v>13</v>
      </c>
      <c r="G327" s="1">
        <v>45829</v>
      </c>
      <c r="H327" t="s">
        <v>37</v>
      </c>
      <c r="I327" s="2">
        <v>39492.951406644701</v>
      </c>
      <c r="J327">
        <v>469</v>
      </c>
      <c r="K327" t="s">
        <v>25</v>
      </c>
      <c r="L327" s="1">
        <v>45838</v>
      </c>
      <c r="M327" s="6">
        <f>WilsonData[[#This Row],[Discharge Date]]-WilsonData[[#This Row],[Date of Admission]]</f>
        <v>9</v>
      </c>
      <c r="N327" t="s">
        <v>27</v>
      </c>
    </row>
    <row r="328" spans="1:14" x14ac:dyDescent="0.35">
      <c r="A328" t="s">
        <v>1132</v>
      </c>
      <c r="B328">
        <v>35</v>
      </c>
      <c r="C328" t="str">
        <f>IF(WilsonData[[#This Row],[Age]]&lt;=18, "0-18", IF(WilsonData[[#This Row],[Age]]&lt;=35,"19-35", IF(WilsonData[[#This Row],[Age]]&lt;=50, "36-50",IF(WilsonData[[#This Row],[Age]]&lt;=65,"51-65", " 66+"))))</f>
        <v>19-35</v>
      </c>
      <c r="D328" t="s">
        <v>20</v>
      </c>
      <c r="E328" t="s">
        <v>16</v>
      </c>
      <c r="F328" t="s">
        <v>32</v>
      </c>
      <c r="G328" s="1">
        <v>45985</v>
      </c>
      <c r="H328" t="s">
        <v>37</v>
      </c>
      <c r="I328" s="2">
        <v>44400.354792576378</v>
      </c>
      <c r="J328">
        <v>153</v>
      </c>
      <c r="K328" t="s">
        <v>25</v>
      </c>
      <c r="L328" s="1">
        <v>45986</v>
      </c>
      <c r="M328" s="6">
        <f>WilsonData[[#This Row],[Discharge Date]]-WilsonData[[#This Row],[Date of Admission]]</f>
        <v>1</v>
      </c>
      <c r="N328" t="s">
        <v>19</v>
      </c>
    </row>
    <row r="329" spans="1:14" x14ac:dyDescent="0.35">
      <c r="A329" t="s">
        <v>1133</v>
      </c>
      <c r="B329">
        <v>45</v>
      </c>
      <c r="C329" t="str">
        <f>IF(WilsonData[[#This Row],[Age]]&lt;=18, "0-18", IF(WilsonData[[#This Row],[Age]]&lt;=35,"19-35", IF(WilsonData[[#This Row],[Age]]&lt;=50, "36-50",IF(WilsonData[[#This Row],[Age]]&lt;=65,"51-65", " 66+"))))</f>
        <v>36-50</v>
      </c>
      <c r="D329" t="s">
        <v>20</v>
      </c>
      <c r="E329" t="s">
        <v>23</v>
      </c>
      <c r="F329" t="s">
        <v>28</v>
      </c>
      <c r="G329" s="1">
        <v>45671</v>
      </c>
      <c r="H329" t="s">
        <v>36</v>
      </c>
      <c r="I329" s="2">
        <v>39855.08428787921</v>
      </c>
      <c r="J329">
        <v>131</v>
      </c>
      <c r="K329" t="s">
        <v>18</v>
      </c>
      <c r="L329" s="1">
        <v>45683</v>
      </c>
      <c r="M329" s="6">
        <f>WilsonData[[#This Row],[Discharge Date]]-WilsonData[[#This Row],[Date of Admission]]</f>
        <v>12</v>
      </c>
      <c r="N329" t="s">
        <v>15</v>
      </c>
    </row>
    <row r="330" spans="1:14" x14ac:dyDescent="0.35">
      <c r="A330" t="s">
        <v>1134</v>
      </c>
      <c r="B330">
        <v>20</v>
      </c>
      <c r="C330" t="str">
        <f>IF(WilsonData[[#This Row],[Age]]&lt;=18, "0-18", IF(WilsonData[[#This Row],[Age]]&lt;=35,"19-35", IF(WilsonData[[#This Row],[Age]]&lt;=50, "36-50",IF(WilsonData[[#This Row],[Age]]&lt;=65,"51-65", " 66+"))))</f>
        <v>19-35</v>
      </c>
      <c r="D330" t="s">
        <v>20</v>
      </c>
      <c r="E330" t="s">
        <v>16</v>
      </c>
      <c r="F330" t="s">
        <v>17</v>
      </c>
      <c r="G330" s="1">
        <v>45952</v>
      </c>
      <c r="H330" t="s">
        <v>36</v>
      </c>
      <c r="I330" s="2">
        <v>21597.760192668731</v>
      </c>
      <c r="J330">
        <v>373</v>
      </c>
      <c r="K330" t="s">
        <v>18</v>
      </c>
      <c r="L330" s="1">
        <v>45954</v>
      </c>
      <c r="M330" s="6">
        <f>WilsonData[[#This Row],[Discharge Date]]-WilsonData[[#This Row],[Date of Admission]]</f>
        <v>2</v>
      </c>
      <c r="N330" t="s">
        <v>27</v>
      </c>
    </row>
    <row r="331" spans="1:14" x14ac:dyDescent="0.35">
      <c r="A331" t="s">
        <v>1135</v>
      </c>
      <c r="B331">
        <v>64</v>
      </c>
      <c r="C331" t="str">
        <f>IF(WilsonData[[#This Row],[Age]]&lt;=18, "0-18", IF(WilsonData[[#This Row],[Age]]&lt;=35,"19-35", IF(WilsonData[[#This Row],[Age]]&lt;=50, "36-50",IF(WilsonData[[#This Row],[Age]]&lt;=65,"51-65", " 66+"))))</f>
        <v>51-65</v>
      </c>
      <c r="D331" t="s">
        <v>11</v>
      </c>
      <c r="E331" t="s">
        <v>34</v>
      </c>
      <c r="F331" t="s">
        <v>17</v>
      </c>
      <c r="G331" s="1">
        <v>45689</v>
      </c>
      <c r="H331" t="s">
        <v>39</v>
      </c>
      <c r="I331" s="2">
        <v>29951.073732757039</v>
      </c>
      <c r="J331">
        <v>464</v>
      </c>
      <c r="K331" t="s">
        <v>25</v>
      </c>
      <c r="L331" s="1">
        <v>45690</v>
      </c>
      <c r="M331" s="6">
        <f>WilsonData[[#This Row],[Discharge Date]]-WilsonData[[#This Row],[Date of Admission]]</f>
        <v>1</v>
      </c>
      <c r="N331" t="s">
        <v>31</v>
      </c>
    </row>
    <row r="332" spans="1:14" x14ac:dyDescent="0.35">
      <c r="A332" t="s">
        <v>1136</v>
      </c>
      <c r="B332">
        <v>52</v>
      </c>
      <c r="C332" t="str">
        <f>IF(WilsonData[[#This Row],[Age]]&lt;=18, "0-18", IF(WilsonData[[#This Row],[Age]]&lt;=35,"19-35", IF(WilsonData[[#This Row],[Age]]&lt;=50, "36-50",IF(WilsonData[[#This Row],[Age]]&lt;=65,"51-65", " 66+"))))</f>
        <v>51-65</v>
      </c>
      <c r="D332" t="s">
        <v>20</v>
      </c>
      <c r="E332" t="s">
        <v>34</v>
      </c>
      <c r="F332" t="s">
        <v>17</v>
      </c>
      <c r="G332" s="1">
        <v>45924</v>
      </c>
      <c r="H332" t="s">
        <v>36</v>
      </c>
      <c r="I332" s="2">
        <v>29923.569658216002</v>
      </c>
      <c r="J332">
        <v>114</v>
      </c>
      <c r="K332" t="s">
        <v>18</v>
      </c>
      <c r="L332" s="1">
        <v>45936</v>
      </c>
      <c r="M332" s="6">
        <f>WilsonData[[#This Row],[Discharge Date]]-WilsonData[[#This Row],[Date of Admission]]</f>
        <v>12</v>
      </c>
      <c r="N332" t="s">
        <v>15</v>
      </c>
    </row>
    <row r="333" spans="1:14" x14ac:dyDescent="0.35">
      <c r="A333" t="s">
        <v>1137</v>
      </c>
      <c r="B333">
        <v>19</v>
      </c>
      <c r="C333" t="str">
        <f>IF(WilsonData[[#This Row],[Age]]&lt;=18, "0-18", IF(WilsonData[[#This Row],[Age]]&lt;=35,"19-35", IF(WilsonData[[#This Row],[Age]]&lt;=50, "36-50",IF(WilsonData[[#This Row],[Age]]&lt;=65,"51-65", " 66+"))))</f>
        <v>19-35</v>
      </c>
      <c r="D333" t="s">
        <v>11</v>
      </c>
      <c r="E333" t="s">
        <v>33</v>
      </c>
      <c r="F333" t="s">
        <v>28</v>
      </c>
      <c r="G333" s="1">
        <v>45737</v>
      </c>
      <c r="H333" t="s">
        <v>36</v>
      </c>
      <c r="I333" s="2">
        <v>8086.9417503208579</v>
      </c>
      <c r="J333">
        <v>241</v>
      </c>
      <c r="K333" t="s">
        <v>18</v>
      </c>
      <c r="L333" s="1">
        <v>45746</v>
      </c>
      <c r="M333" s="6">
        <f>WilsonData[[#This Row],[Discharge Date]]-WilsonData[[#This Row],[Date of Admission]]</f>
        <v>9</v>
      </c>
      <c r="N333" t="s">
        <v>19</v>
      </c>
    </row>
    <row r="334" spans="1:14" x14ac:dyDescent="0.35">
      <c r="A334" t="s">
        <v>1138</v>
      </c>
      <c r="B334">
        <v>35</v>
      </c>
      <c r="C334" t="str">
        <f>IF(WilsonData[[#This Row],[Age]]&lt;=18, "0-18", IF(WilsonData[[#This Row],[Age]]&lt;=35,"19-35", IF(WilsonData[[#This Row],[Age]]&lt;=50, "36-50",IF(WilsonData[[#This Row],[Age]]&lt;=65,"51-65", " 66+"))))</f>
        <v>19-35</v>
      </c>
      <c r="D334" t="s">
        <v>20</v>
      </c>
      <c r="E334" t="s">
        <v>33</v>
      </c>
      <c r="F334" t="s">
        <v>28</v>
      </c>
      <c r="G334" s="1">
        <v>45985</v>
      </c>
      <c r="H334" t="s">
        <v>39</v>
      </c>
      <c r="I334" s="2">
        <v>25522.535459205312</v>
      </c>
      <c r="J334">
        <v>489</v>
      </c>
      <c r="K334" t="s">
        <v>18</v>
      </c>
      <c r="L334" s="1">
        <v>45999</v>
      </c>
      <c r="M334" s="6">
        <f>WilsonData[[#This Row],[Discharge Date]]-WilsonData[[#This Row],[Date of Admission]]</f>
        <v>14</v>
      </c>
      <c r="N334" t="s">
        <v>15</v>
      </c>
    </row>
    <row r="335" spans="1:14" x14ac:dyDescent="0.35">
      <c r="A335" t="s">
        <v>1139</v>
      </c>
      <c r="B335">
        <v>34</v>
      </c>
      <c r="C335" t="str">
        <f>IF(WilsonData[[#This Row],[Age]]&lt;=18, "0-18", IF(WilsonData[[#This Row],[Age]]&lt;=35,"19-35", IF(WilsonData[[#This Row],[Age]]&lt;=50, "36-50",IF(WilsonData[[#This Row],[Age]]&lt;=65,"51-65", " 66+"))))</f>
        <v>19-35</v>
      </c>
      <c r="D335" t="s">
        <v>11</v>
      </c>
      <c r="E335" t="s">
        <v>12</v>
      </c>
      <c r="F335" t="s">
        <v>28</v>
      </c>
      <c r="G335" s="1">
        <v>45690</v>
      </c>
      <c r="H335" t="s">
        <v>39</v>
      </c>
      <c r="I335" s="2">
        <v>46504.061232192696</v>
      </c>
      <c r="J335">
        <v>433</v>
      </c>
      <c r="K335" t="s">
        <v>18</v>
      </c>
      <c r="L335" s="1">
        <v>45693</v>
      </c>
      <c r="M335" s="6">
        <f>WilsonData[[#This Row],[Discharge Date]]-WilsonData[[#This Row],[Date of Admission]]</f>
        <v>3</v>
      </c>
      <c r="N335" t="s">
        <v>19</v>
      </c>
    </row>
    <row r="336" spans="1:14" x14ac:dyDescent="0.35">
      <c r="A336" t="s">
        <v>1140</v>
      </c>
      <c r="B336">
        <v>27</v>
      </c>
      <c r="C336" t="str">
        <f>IF(WilsonData[[#This Row],[Age]]&lt;=18, "0-18", IF(WilsonData[[#This Row],[Age]]&lt;=35,"19-35", IF(WilsonData[[#This Row],[Age]]&lt;=50, "36-50",IF(WilsonData[[#This Row],[Age]]&lt;=65,"51-65", " 66+"))))</f>
        <v>19-35</v>
      </c>
      <c r="D336" t="s">
        <v>20</v>
      </c>
      <c r="E336" t="s">
        <v>29</v>
      </c>
      <c r="F336" t="s">
        <v>17</v>
      </c>
      <c r="G336" s="1">
        <v>45710</v>
      </c>
      <c r="H336" t="s">
        <v>36</v>
      </c>
      <c r="I336" s="2">
        <v>49639.909413597517</v>
      </c>
      <c r="J336">
        <v>463</v>
      </c>
      <c r="K336" t="s">
        <v>18</v>
      </c>
      <c r="L336" s="1">
        <v>45714</v>
      </c>
      <c r="M336" s="6">
        <f>WilsonData[[#This Row],[Discharge Date]]-WilsonData[[#This Row],[Date of Admission]]</f>
        <v>4</v>
      </c>
      <c r="N336" t="s">
        <v>31</v>
      </c>
    </row>
    <row r="337" spans="1:14" x14ac:dyDescent="0.35">
      <c r="A337" t="s">
        <v>1141</v>
      </c>
      <c r="B337">
        <v>18</v>
      </c>
      <c r="C337" t="str">
        <f>IF(WilsonData[[#This Row],[Age]]&lt;=18, "0-18", IF(WilsonData[[#This Row],[Age]]&lt;=35,"19-35", IF(WilsonData[[#This Row],[Age]]&lt;=50, "36-50",IF(WilsonData[[#This Row],[Age]]&lt;=65,"51-65", " 66+"))))</f>
        <v>0-18</v>
      </c>
      <c r="D337" t="s">
        <v>20</v>
      </c>
      <c r="E337" t="s">
        <v>16</v>
      </c>
      <c r="F337" t="s">
        <v>30</v>
      </c>
      <c r="G337" s="1">
        <v>45780</v>
      </c>
      <c r="H337" t="s">
        <v>37</v>
      </c>
      <c r="I337" s="2">
        <v>43940.01006249799</v>
      </c>
      <c r="J337">
        <v>152</v>
      </c>
      <c r="K337" t="s">
        <v>25</v>
      </c>
      <c r="L337" s="1">
        <v>45787</v>
      </c>
      <c r="M337" s="6">
        <f>WilsonData[[#This Row],[Discharge Date]]-WilsonData[[#This Row],[Date of Admission]]</f>
        <v>7</v>
      </c>
      <c r="N337" t="s">
        <v>22</v>
      </c>
    </row>
    <row r="338" spans="1:14" x14ac:dyDescent="0.35">
      <c r="A338" t="s">
        <v>1142</v>
      </c>
      <c r="B338">
        <v>18</v>
      </c>
      <c r="C338" t="str">
        <f>IF(WilsonData[[#This Row],[Age]]&lt;=18, "0-18", IF(WilsonData[[#This Row],[Age]]&lt;=35,"19-35", IF(WilsonData[[#This Row],[Age]]&lt;=50, "36-50",IF(WilsonData[[#This Row],[Age]]&lt;=65,"51-65", " 66+"))))</f>
        <v>0-18</v>
      </c>
      <c r="D338" t="s">
        <v>20</v>
      </c>
      <c r="E338" t="s">
        <v>23</v>
      </c>
      <c r="F338" t="s">
        <v>24</v>
      </c>
      <c r="G338" s="1">
        <v>45818</v>
      </c>
      <c r="H338" t="s">
        <v>37</v>
      </c>
      <c r="I338" s="2">
        <v>34182.82490374583</v>
      </c>
      <c r="J338">
        <v>439</v>
      </c>
      <c r="K338" t="s">
        <v>25</v>
      </c>
      <c r="L338" s="1">
        <v>45830</v>
      </c>
      <c r="M338" s="6">
        <f>WilsonData[[#This Row],[Discharge Date]]-WilsonData[[#This Row],[Date of Admission]]</f>
        <v>12</v>
      </c>
      <c r="N338" t="s">
        <v>27</v>
      </c>
    </row>
    <row r="339" spans="1:14" x14ac:dyDescent="0.35">
      <c r="A339" t="s">
        <v>1143</v>
      </c>
      <c r="B339">
        <v>48</v>
      </c>
      <c r="C339" t="str">
        <f>IF(WilsonData[[#This Row],[Age]]&lt;=18, "0-18", IF(WilsonData[[#This Row],[Age]]&lt;=35,"19-35", IF(WilsonData[[#This Row],[Age]]&lt;=50, "36-50",IF(WilsonData[[#This Row],[Age]]&lt;=65,"51-65", " 66+"))))</f>
        <v>36-50</v>
      </c>
      <c r="D339" t="s">
        <v>20</v>
      </c>
      <c r="E339" t="s">
        <v>34</v>
      </c>
      <c r="F339" t="s">
        <v>13</v>
      </c>
      <c r="G339" s="1">
        <v>45946</v>
      </c>
      <c r="H339" t="s">
        <v>39</v>
      </c>
      <c r="I339" s="2">
        <v>30041.244969777879</v>
      </c>
      <c r="J339">
        <v>286</v>
      </c>
      <c r="K339" t="s">
        <v>25</v>
      </c>
      <c r="L339" s="1">
        <v>45958</v>
      </c>
      <c r="M339" s="6">
        <f>WilsonData[[#This Row],[Discharge Date]]-WilsonData[[#This Row],[Date of Admission]]</f>
        <v>12</v>
      </c>
      <c r="N339" t="s">
        <v>15</v>
      </c>
    </row>
    <row r="340" spans="1:14" x14ac:dyDescent="0.35">
      <c r="A340" t="s">
        <v>1144</v>
      </c>
      <c r="B340">
        <v>49</v>
      </c>
      <c r="C340" t="str">
        <f>IF(WilsonData[[#This Row],[Age]]&lt;=18, "0-18", IF(WilsonData[[#This Row],[Age]]&lt;=35,"19-35", IF(WilsonData[[#This Row],[Age]]&lt;=50, "36-50",IF(WilsonData[[#This Row],[Age]]&lt;=65,"51-65", " 66+"))))</f>
        <v>36-50</v>
      </c>
      <c r="D340" t="s">
        <v>20</v>
      </c>
      <c r="E340" t="s">
        <v>23</v>
      </c>
      <c r="F340" t="s">
        <v>32</v>
      </c>
      <c r="G340" s="1">
        <v>45818</v>
      </c>
      <c r="H340" t="s">
        <v>37</v>
      </c>
      <c r="I340" s="2">
        <v>12095.1000871658</v>
      </c>
      <c r="J340">
        <v>103</v>
      </c>
      <c r="K340" t="s">
        <v>18</v>
      </c>
      <c r="L340" s="1">
        <v>45828</v>
      </c>
      <c r="M340" s="6">
        <f>WilsonData[[#This Row],[Discharge Date]]-WilsonData[[#This Row],[Date of Admission]]</f>
        <v>10</v>
      </c>
      <c r="N340" t="s">
        <v>27</v>
      </c>
    </row>
    <row r="341" spans="1:14" x14ac:dyDescent="0.35">
      <c r="A341" t="s">
        <v>1145</v>
      </c>
      <c r="B341">
        <v>29</v>
      </c>
      <c r="C341" t="str">
        <f>IF(WilsonData[[#This Row],[Age]]&lt;=18, "0-18", IF(WilsonData[[#This Row],[Age]]&lt;=35,"19-35", IF(WilsonData[[#This Row],[Age]]&lt;=50, "36-50",IF(WilsonData[[#This Row],[Age]]&lt;=65,"51-65", " 66+"))))</f>
        <v>19-35</v>
      </c>
      <c r="D341" t="s">
        <v>11</v>
      </c>
      <c r="E341" t="s">
        <v>16</v>
      </c>
      <c r="F341" t="s">
        <v>30</v>
      </c>
      <c r="G341" s="1">
        <v>45680</v>
      </c>
      <c r="H341" t="s">
        <v>37</v>
      </c>
      <c r="I341" s="2">
        <v>31930.467192794211</v>
      </c>
      <c r="J341">
        <v>103</v>
      </c>
      <c r="K341" t="s">
        <v>18</v>
      </c>
      <c r="L341" s="1">
        <v>45688</v>
      </c>
      <c r="M341" s="6">
        <f>WilsonData[[#This Row],[Discharge Date]]-WilsonData[[#This Row],[Date of Admission]]</f>
        <v>8</v>
      </c>
      <c r="N341" t="s">
        <v>31</v>
      </c>
    </row>
    <row r="342" spans="1:14" x14ac:dyDescent="0.35">
      <c r="A342" t="s">
        <v>1146</v>
      </c>
      <c r="B342">
        <v>61</v>
      </c>
      <c r="C342" t="str">
        <f>IF(WilsonData[[#This Row],[Age]]&lt;=18, "0-18", IF(WilsonData[[#This Row],[Age]]&lt;=35,"19-35", IF(WilsonData[[#This Row],[Age]]&lt;=50, "36-50",IF(WilsonData[[#This Row],[Age]]&lt;=65,"51-65", " 66+"))))</f>
        <v>51-65</v>
      </c>
      <c r="D342" t="s">
        <v>20</v>
      </c>
      <c r="E342" t="s">
        <v>26</v>
      </c>
      <c r="F342" t="s">
        <v>13</v>
      </c>
      <c r="G342" s="1">
        <v>45791</v>
      </c>
      <c r="H342" t="s">
        <v>39</v>
      </c>
      <c r="I342" s="2">
        <v>36841.283471282921</v>
      </c>
      <c r="J342">
        <v>394</v>
      </c>
      <c r="K342" t="s">
        <v>18</v>
      </c>
      <c r="L342" s="1">
        <v>45796</v>
      </c>
      <c r="M342" s="6">
        <f>WilsonData[[#This Row],[Discharge Date]]-WilsonData[[#This Row],[Date of Admission]]</f>
        <v>5</v>
      </c>
      <c r="N342" t="s">
        <v>31</v>
      </c>
    </row>
    <row r="343" spans="1:14" x14ac:dyDescent="0.35">
      <c r="A343" t="s">
        <v>1147</v>
      </c>
      <c r="B343">
        <v>67</v>
      </c>
      <c r="C343" t="str">
        <f>IF(WilsonData[[#This Row],[Age]]&lt;=18, "0-18", IF(WilsonData[[#This Row],[Age]]&lt;=35,"19-35", IF(WilsonData[[#This Row],[Age]]&lt;=50, "36-50",IF(WilsonData[[#This Row],[Age]]&lt;=65,"51-65", " 66+"))))</f>
        <v xml:space="preserve"> 66+</v>
      </c>
      <c r="D343" t="s">
        <v>20</v>
      </c>
      <c r="E343" t="s">
        <v>34</v>
      </c>
      <c r="F343" t="s">
        <v>24</v>
      </c>
      <c r="G343" s="1">
        <v>45786</v>
      </c>
      <c r="H343" t="s">
        <v>36</v>
      </c>
      <c r="I343" s="2">
        <v>50992.175655011699</v>
      </c>
      <c r="J343">
        <v>127</v>
      </c>
      <c r="K343" t="s">
        <v>18</v>
      </c>
      <c r="L343" s="1">
        <v>45798</v>
      </c>
      <c r="M343" s="6">
        <f>WilsonData[[#This Row],[Discharge Date]]-WilsonData[[#This Row],[Date of Admission]]</f>
        <v>12</v>
      </c>
      <c r="N343" t="s">
        <v>22</v>
      </c>
    </row>
    <row r="344" spans="1:14" x14ac:dyDescent="0.35">
      <c r="A344" t="s">
        <v>1148</v>
      </c>
      <c r="B344">
        <v>53</v>
      </c>
      <c r="C344" t="str">
        <f>IF(WilsonData[[#This Row],[Age]]&lt;=18, "0-18", IF(WilsonData[[#This Row],[Age]]&lt;=35,"19-35", IF(WilsonData[[#This Row],[Age]]&lt;=50, "36-50",IF(WilsonData[[#This Row],[Age]]&lt;=65,"51-65", " 66+"))))</f>
        <v>51-65</v>
      </c>
      <c r="D344" t="s">
        <v>20</v>
      </c>
      <c r="E344" t="s">
        <v>12</v>
      </c>
      <c r="F344" t="s">
        <v>32</v>
      </c>
      <c r="G344" s="1">
        <v>45898</v>
      </c>
      <c r="H344" t="s">
        <v>37</v>
      </c>
      <c r="I344" s="2">
        <v>11148.96495819823</v>
      </c>
      <c r="J344">
        <v>202</v>
      </c>
      <c r="K344" t="s">
        <v>25</v>
      </c>
      <c r="L344" s="1">
        <v>45902</v>
      </c>
      <c r="M344" s="6">
        <f>WilsonData[[#This Row],[Discharge Date]]-WilsonData[[#This Row],[Date of Admission]]</f>
        <v>4</v>
      </c>
      <c r="N344" t="s">
        <v>31</v>
      </c>
    </row>
    <row r="345" spans="1:14" x14ac:dyDescent="0.35">
      <c r="A345" t="s">
        <v>1149</v>
      </c>
      <c r="B345">
        <v>32</v>
      </c>
      <c r="C345" t="str">
        <f>IF(WilsonData[[#This Row],[Age]]&lt;=18, "0-18", IF(WilsonData[[#This Row],[Age]]&lt;=35,"19-35", IF(WilsonData[[#This Row],[Age]]&lt;=50, "36-50",IF(WilsonData[[#This Row],[Age]]&lt;=65,"51-65", " 66+"))))</f>
        <v>19-35</v>
      </c>
      <c r="D345" t="s">
        <v>11</v>
      </c>
      <c r="E345" t="s">
        <v>16</v>
      </c>
      <c r="F345" t="s">
        <v>17</v>
      </c>
      <c r="G345" s="1">
        <v>45838</v>
      </c>
      <c r="H345" t="s">
        <v>37</v>
      </c>
      <c r="I345" s="2">
        <v>32694.2296149223</v>
      </c>
      <c r="J345">
        <v>485</v>
      </c>
      <c r="K345" t="s">
        <v>25</v>
      </c>
      <c r="L345" s="1">
        <v>45847</v>
      </c>
      <c r="M345" s="6">
        <f>WilsonData[[#This Row],[Discharge Date]]-WilsonData[[#This Row],[Date of Admission]]</f>
        <v>9</v>
      </c>
      <c r="N345" t="s">
        <v>19</v>
      </c>
    </row>
    <row r="346" spans="1:14" x14ac:dyDescent="0.35">
      <c r="A346" t="s">
        <v>1150</v>
      </c>
      <c r="B346">
        <v>19</v>
      </c>
      <c r="C346" t="str">
        <f>IF(WilsonData[[#This Row],[Age]]&lt;=18, "0-18", IF(WilsonData[[#This Row],[Age]]&lt;=35,"19-35", IF(WilsonData[[#This Row],[Age]]&lt;=50, "36-50",IF(WilsonData[[#This Row],[Age]]&lt;=65,"51-65", " 66+"))))</f>
        <v>19-35</v>
      </c>
      <c r="D346" t="s">
        <v>20</v>
      </c>
      <c r="E346" t="s">
        <v>21</v>
      </c>
      <c r="F346" t="s">
        <v>24</v>
      </c>
      <c r="G346" s="1">
        <v>45951</v>
      </c>
      <c r="H346" t="s">
        <v>39</v>
      </c>
      <c r="I346" s="2">
        <v>31591.867102285629</v>
      </c>
      <c r="J346">
        <v>185</v>
      </c>
      <c r="K346" t="s">
        <v>18</v>
      </c>
      <c r="L346" s="1">
        <v>45965</v>
      </c>
      <c r="M346" s="6">
        <f>WilsonData[[#This Row],[Discharge Date]]-WilsonData[[#This Row],[Date of Admission]]</f>
        <v>14</v>
      </c>
      <c r="N346" t="s">
        <v>22</v>
      </c>
    </row>
    <row r="347" spans="1:14" x14ac:dyDescent="0.35">
      <c r="A347" t="s">
        <v>1151</v>
      </c>
      <c r="B347">
        <v>58</v>
      </c>
      <c r="C347" t="str">
        <f>IF(WilsonData[[#This Row],[Age]]&lt;=18, "0-18", IF(WilsonData[[#This Row],[Age]]&lt;=35,"19-35", IF(WilsonData[[#This Row],[Age]]&lt;=50, "36-50",IF(WilsonData[[#This Row],[Age]]&lt;=65,"51-65", " 66+"))))</f>
        <v>51-65</v>
      </c>
      <c r="D347" t="s">
        <v>11</v>
      </c>
      <c r="E347" t="s">
        <v>21</v>
      </c>
      <c r="F347" t="s">
        <v>17</v>
      </c>
      <c r="G347" s="1">
        <v>45724</v>
      </c>
      <c r="H347" t="s">
        <v>37</v>
      </c>
      <c r="I347" s="2">
        <v>29837.638823315221</v>
      </c>
      <c r="J347">
        <v>295</v>
      </c>
      <c r="K347" t="s">
        <v>25</v>
      </c>
      <c r="L347" s="1">
        <v>45733</v>
      </c>
      <c r="M347" s="6">
        <f>WilsonData[[#This Row],[Discharge Date]]-WilsonData[[#This Row],[Date of Admission]]</f>
        <v>9</v>
      </c>
      <c r="N347" t="s">
        <v>19</v>
      </c>
    </row>
    <row r="348" spans="1:14" x14ac:dyDescent="0.35">
      <c r="A348" t="s">
        <v>1152</v>
      </c>
      <c r="B348">
        <v>32</v>
      </c>
      <c r="C348" t="str">
        <f>IF(WilsonData[[#This Row],[Age]]&lt;=18, "0-18", IF(WilsonData[[#This Row],[Age]]&lt;=35,"19-35", IF(WilsonData[[#This Row],[Age]]&lt;=50, "36-50",IF(WilsonData[[#This Row],[Age]]&lt;=65,"51-65", " 66+"))))</f>
        <v>19-35</v>
      </c>
      <c r="D348" t="s">
        <v>11</v>
      </c>
      <c r="E348" t="s">
        <v>12</v>
      </c>
      <c r="F348" t="s">
        <v>28</v>
      </c>
      <c r="G348" s="1">
        <v>45841</v>
      </c>
      <c r="H348" t="s">
        <v>36</v>
      </c>
      <c r="I348" s="2">
        <v>42801.228007707847</v>
      </c>
      <c r="J348">
        <v>353</v>
      </c>
      <c r="K348" t="s">
        <v>25</v>
      </c>
      <c r="L348" s="1">
        <v>45846</v>
      </c>
      <c r="M348" s="6">
        <f>WilsonData[[#This Row],[Discharge Date]]-WilsonData[[#This Row],[Date of Admission]]</f>
        <v>5</v>
      </c>
      <c r="N348" t="s">
        <v>27</v>
      </c>
    </row>
    <row r="349" spans="1:14" x14ac:dyDescent="0.35">
      <c r="A349" t="s">
        <v>1153</v>
      </c>
      <c r="B349">
        <v>62</v>
      </c>
      <c r="C349" t="str">
        <f>IF(WilsonData[[#This Row],[Age]]&lt;=18, "0-18", IF(WilsonData[[#This Row],[Age]]&lt;=35,"19-35", IF(WilsonData[[#This Row],[Age]]&lt;=50, "36-50",IF(WilsonData[[#This Row],[Age]]&lt;=65,"51-65", " 66+"))))</f>
        <v>51-65</v>
      </c>
      <c r="D349" t="s">
        <v>20</v>
      </c>
      <c r="E349" t="s">
        <v>34</v>
      </c>
      <c r="F349" t="s">
        <v>28</v>
      </c>
      <c r="G349" s="1">
        <v>45899</v>
      </c>
      <c r="H349" t="s">
        <v>36</v>
      </c>
      <c r="I349" s="2">
        <v>34798.711807462583</v>
      </c>
      <c r="J349">
        <v>239</v>
      </c>
      <c r="K349" t="s">
        <v>18</v>
      </c>
      <c r="L349" s="1">
        <v>45902</v>
      </c>
      <c r="M349" s="6">
        <f>WilsonData[[#This Row],[Discharge Date]]-WilsonData[[#This Row],[Date of Admission]]</f>
        <v>3</v>
      </c>
      <c r="N349" t="s">
        <v>19</v>
      </c>
    </row>
    <row r="350" spans="1:14" x14ac:dyDescent="0.35">
      <c r="A350" t="s">
        <v>1154</v>
      </c>
      <c r="B350">
        <v>68</v>
      </c>
      <c r="C350" t="str">
        <f>IF(WilsonData[[#This Row],[Age]]&lt;=18, "0-18", IF(WilsonData[[#This Row],[Age]]&lt;=35,"19-35", IF(WilsonData[[#This Row],[Age]]&lt;=50, "36-50",IF(WilsonData[[#This Row],[Age]]&lt;=65,"51-65", " 66+"))))</f>
        <v xml:space="preserve"> 66+</v>
      </c>
      <c r="D350" t="s">
        <v>20</v>
      </c>
      <c r="E350" t="s">
        <v>23</v>
      </c>
      <c r="F350" t="s">
        <v>32</v>
      </c>
      <c r="G350" s="1">
        <v>45912</v>
      </c>
      <c r="H350" t="s">
        <v>36</v>
      </c>
      <c r="I350" s="2">
        <v>30141.61805318034</v>
      </c>
      <c r="J350">
        <v>375</v>
      </c>
      <c r="K350" t="s">
        <v>18</v>
      </c>
      <c r="L350" s="1">
        <v>45917</v>
      </c>
      <c r="M350" s="6">
        <f>WilsonData[[#This Row],[Discharge Date]]-WilsonData[[#This Row],[Date of Admission]]</f>
        <v>5</v>
      </c>
      <c r="N350" t="s">
        <v>19</v>
      </c>
    </row>
    <row r="351" spans="1:14" x14ac:dyDescent="0.35">
      <c r="A351" t="s">
        <v>1155</v>
      </c>
      <c r="B351">
        <v>80</v>
      </c>
      <c r="C351" t="str">
        <f>IF(WilsonData[[#This Row],[Age]]&lt;=18, "0-18", IF(WilsonData[[#This Row],[Age]]&lt;=35,"19-35", IF(WilsonData[[#This Row],[Age]]&lt;=50, "36-50",IF(WilsonData[[#This Row],[Age]]&lt;=65,"51-65", " 66+"))))</f>
        <v xml:space="preserve"> 66+</v>
      </c>
      <c r="D351" t="s">
        <v>20</v>
      </c>
      <c r="E351" t="s">
        <v>34</v>
      </c>
      <c r="F351" t="s">
        <v>24</v>
      </c>
      <c r="G351" s="1">
        <v>45972</v>
      </c>
      <c r="H351" t="s">
        <v>39</v>
      </c>
      <c r="I351" s="2">
        <v>19452.84147472358</v>
      </c>
      <c r="J351">
        <v>406</v>
      </c>
      <c r="K351" t="s">
        <v>25</v>
      </c>
      <c r="L351" s="1">
        <v>45974</v>
      </c>
      <c r="M351" s="6">
        <f>WilsonData[[#This Row],[Discharge Date]]-WilsonData[[#This Row],[Date of Admission]]</f>
        <v>2</v>
      </c>
      <c r="N351" t="s">
        <v>19</v>
      </c>
    </row>
    <row r="352" spans="1:14" x14ac:dyDescent="0.35">
      <c r="A352" t="s">
        <v>1156</v>
      </c>
      <c r="B352">
        <v>18</v>
      </c>
      <c r="C352" t="str">
        <f>IF(WilsonData[[#This Row],[Age]]&lt;=18, "0-18", IF(WilsonData[[#This Row],[Age]]&lt;=35,"19-35", IF(WilsonData[[#This Row],[Age]]&lt;=50, "36-50",IF(WilsonData[[#This Row],[Age]]&lt;=65,"51-65", " 66+"))))</f>
        <v>0-18</v>
      </c>
      <c r="D352" t="s">
        <v>20</v>
      </c>
      <c r="E352" t="s">
        <v>12</v>
      </c>
      <c r="F352" t="s">
        <v>32</v>
      </c>
      <c r="G352" s="1">
        <v>45731</v>
      </c>
      <c r="H352" t="s">
        <v>39</v>
      </c>
      <c r="I352" s="2">
        <v>17738.628627940299</v>
      </c>
      <c r="J352">
        <v>176</v>
      </c>
      <c r="K352" t="s">
        <v>25</v>
      </c>
      <c r="L352" s="1">
        <v>45737</v>
      </c>
      <c r="M352" s="6">
        <f>WilsonData[[#This Row],[Discharge Date]]-WilsonData[[#This Row],[Date of Admission]]</f>
        <v>6</v>
      </c>
      <c r="N352" t="s">
        <v>19</v>
      </c>
    </row>
    <row r="353" spans="1:14" x14ac:dyDescent="0.35">
      <c r="A353" t="s">
        <v>1157</v>
      </c>
      <c r="B353">
        <v>48</v>
      </c>
      <c r="C353" t="str">
        <f>IF(WilsonData[[#This Row],[Age]]&lt;=18, "0-18", IF(WilsonData[[#This Row],[Age]]&lt;=35,"19-35", IF(WilsonData[[#This Row],[Age]]&lt;=50, "36-50",IF(WilsonData[[#This Row],[Age]]&lt;=65,"51-65", " 66+"))))</f>
        <v>36-50</v>
      </c>
      <c r="D353" t="s">
        <v>20</v>
      </c>
      <c r="E353" t="s">
        <v>12</v>
      </c>
      <c r="F353" t="s">
        <v>24</v>
      </c>
      <c r="G353" s="1">
        <v>45774</v>
      </c>
      <c r="H353" t="s">
        <v>39</v>
      </c>
      <c r="I353" s="2">
        <v>35155.63656253308</v>
      </c>
      <c r="J353">
        <v>140</v>
      </c>
      <c r="K353" t="s">
        <v>25</v>
      </c>
      <c r="L353" s="1">
        <v>45788</v>
      </c>
      <c r="M353" s="6">
        <f>WilsonData[[#This Row],[Discharge Date]]-WilsonData[[#This Row],[Date of Admission]]</f>
        <v>14</v>
      </c>
      <c r="N353" t="s">
        <v>15</v>
      </c>
    </row>
    <row r="354" spans="1:14" x14ac:dyDescent="0.35">
      <c r="A354" t="s">
        <v>1158</v>
      </c>
      <c r="B354">
        <v>65</v>
      </c>
      <c r="C354" t="str">
        <f>IF(WilsonData[[#This Row],[Age]]&lt;=18, "0-18", IF(WilsonData[[#This Row],[Age]]&lt;=35,"19-35", IF(WilsonData[[#This Row],[Age]]&lt;=50, "36-50",IF(WilsonData[[#This Row],[Age]]&lt;=65,"51-65", " 66+"))))</f>
        <v>51-65</v>
      </c>
      <c r="D354" t="s">
        <v>20</v>
      </c>
      <c r="E354" t="s">
        <v>16</v>
      </c>
      <c r="F354" t="s">
        <v>32</v>
      </c>
      <c r="G354" s="1">
        <v>45827</v>
      </c>
      <c r="H354" t="s">
        <v>37</v>
      </c>
      <c r="I354" s="2">
        <v>41110.215340288392</v>
      </c>
      <c r="J354">
        <v>486</v>
      </c>
      <c r="K354" t="s">
        <v>25</v>
      </c>
      <c r="L354" s="1">
        <v>45839</v>
      </c>
      <c r="M354" s="6">
        <f>WilsonData[[#This Row],[Discharge Date]]-WilsonData[[#This Row],[Date of Admission]]</f>
        <v>12</v>
      </c>
      <c r="N354" t="s">
        <v>19</v>
      </c>
    </row>
    <row r="355" spans="1:14" x14ac:dyDescent="0.35">
      <c r="A355" t="s">
        <v>1159</v>
      </c>
      <c r="B355">
        <v>34</v>
      </c>
      <c r="C355" t="str">
        <f>IF(WilsonData[[#This Row],[Age]]&lt;=18, "0-18", IF(WilsonData[[#This Row],[Age]]&lt;=35,"19-35", IF(WilsonData[[#This Row],[Age]]&lt;=50, "36-50",IF(WilsonData[[#This Row],[Age]]&lt;=65,"51-65", " 66+"))))</f>
        <v>19-35</v>
      </c>
      <c r="D355" t="s">
        <v>11</v>
      </c>
      <c r="E355" t="s">
        <v>23</v>
      </c>
      <c r="F355" t="s">
        <v>28</v>
      </c>
      <c r="G355" s="1">
        <v>45801</v>
      </c>
      <c r="H355" t="s">
        <v>39</v>
      </c>
      <c r="I355" s="2">
        <v>19017.87666199392</v>
      </c>
      <c r="J355">
        <v>233</v>
      </c>
      <c r="K355" t="s">
        <v>25</v>
      </c>
      <c r="L355" s="1">
        <v>45809</v>
      </c>
      <c r="M355" s="6">
        <f>WilsonData[[#This Row],[Discharge Date]]-WilsonData[[#This Row],[Date of Admission]]</f>
        <v>8</v>
      </c>
      <c r="N355" t="s">
        <v>22</v>
      </c>
    </row>
    <row r="356" spans="1:14" x14ac:dyDescent="0.35">
      <c r="A356" t="s">
        <v>1160</v>
      </c>
      <c r="B356">
        <v>38</v>
      </c>
      <c r="C356" t="str">
        <f>IF(WilsonData[[#This Row],[Age]]&lt;=18, "0-18", IF(WilsonData[[#This Row],[Age]]&lt;=35,"19-35", IF(WilsonData[[#This Row],[Age]]&lt;=50, "36-50",IF(WilsonData[[#This Row],[Age]]&lt;=65,"51-65", " 66+"))))</f>
        <v>36-50</v>
      </c>
      <c r="D356" t="s">
        <v>20</v>
      </c>
      <c r="E356" t="s">
        <v>34</v>
      </c>
      <c r="F356" t="s">
        <v>28</v>
      </c>
      <c r="G356" s="1">
        <v>45902</v>
      </c>
      <c r="H356" t="s">
        <v>37</v>
      </c>
      <c r="I356" s="2">
        <v>33375.115177997301</v>
      </c>
      <c r="J356">
        <v>444</v>
      </c>
      <c r="K356" t="s">
        <v>25</v>
      </c>
      <c r="L356" s="1">
        <v>45916</v>
      </c>
      <c r="M356" s="6">
        <f>WilsonData[[#This Row],[Discharge Date]]-WilsonData[[#This Row],[Date of Admission]]</f>
        <v>14</v>
      </c>
      <c r="N356" t="s">
        <v>31</v>
      </c>
    </row>
    <row r="357" spans="1:14" x14ac:dyDescent="0.35">
      <c r="A357" t="s">
        <v>1161</v>
      </c>
      <c r="B357">
        <v>81</v>
      </c>
      <c r="C357" t="str">
        <f>IF(WilsonData[[#This Row],[Age]]&lt;=18, "0-18", IF(WilsonData[[#This Row],[Age]]&lt;=35,"19-35", IF(WilsonData[[#This Row],[Age]]&lt;=50, "36-50",IF(WilsonData[[#This Row],[Age]]&lt;=65,"51-65", " 66+"))))</f>
        <v xml:space="preserve"> 66+</v>
      </c>
      <c r="D357" t="s">
        <v>20</v>
      </c>
      <c r="E357" t="s">
        <v>23</v>
      </c>
      <c r="F357" t="s">
        <v>28</v>
      </c>
      <c r="G357" s="1">
        <v>45877</v>
      </c>
      <c r="H357" t="s">
        <v>36</v>
      </c>
      <c r="I357" s="2">
        <v>23956.517200305771</v>
      </c>
      <c r="J357">
        <v>371</v>
      </c>
      <c r="K357" t="s">
        <v>25</v>
      </c>
      <c r="L357" s="1">
        <v>45878</v>
      </c>
      <c r="M357" s="6">
        <f>WilsonData[[#This Row],[Discharge Date]]-WilsonData[[#This Row],[Date of Admission]]</f>
        <v>1</v>
      </c>
      <c r="N357" t="s">
        <v>22</v>
      </c>
    </row>
    <row r="358" spans="1:14" x14ac:dyDescent="0.35">
      <c r="A358" t="s">
        <v>1162</v>
      </c>
      <c r="B358">
        <v>79</v>
      </c>
      <c r="C358" t="str">
        <f>IF(WilsonData[[#This Row],[Age]]&lt;=18, "0-18", IF(WilsonData[[#This Row],[Age]]&lt;=35,"19-35", IF(WilsonData[[#This Row],[Age]]&lt;=50, "36-50",IF(WilsonData[[#This Row],[Age]]&lt;=65,"51-65", " 66+"))))</f>
        <v xml:space="preserve"> 66+</v>
      </c>
      <c r="D358" t="s">
        <v>11</v>
      </c>
      <c r="E358" t="s">
        <v>21</v>
      </c>
      <c r="F358" t="s">
        <v>24</v>
      </c>
      <c r="G358" s="1">
        <v>45666</v>
      </c>
      <c r="H358" t="s">
        <v>36</v>
      </c>
      <c r="I358" s="2">
        <v>34516.088462945518</v>
      </c>
      <c r="J358">
        <v>382</v>
      </c>
      <c r="K358" t="s">
        <v>18</v>
      </c>
      <c r="L358" s="1">
        <v>45680</v>
      </c>
      <c r="M358" s="6">
        <f>WilsonData[[#This Row],[Discharge Date]]-WilsonData[[#This Row],[Date of Admission]]</f>
        <v>14</v>
      </c>
      <c r="N358" t="s">
        <v>31</v>
      </c>
    </row>
    <row r="359" spans="1:14" x14ac:dyDescent="0.35">
      <c r="A359" t="s">
        <v>1163</v>
      </c>
      <c r="B359">
        <v>63</v>
      </c>
      <c r="C359" t="str">
        <f>IF(WilsonData[[#This Row],[Age]]&lt;=18, "0-18", IF(WilsonData[[#This Row],[Age]]&lt;=35,"19-35", IF(WilsonData[[#This Row],[Age]]&lt;=50, "36-50",IF(WilsonData[[#This Row],[Age]]&lt;=65,"51-65", " 66+"))))</f>
        <v>51-65</v>
      </c>
      <c r="D359" t="s">
        <v>11</v>
      </c>
      <c r="E359" t="s">
        <v>29</v>
      </c>
      <c r="F359" t="s">
        <v>13</v>
      </c>
      <c r="G359" s="1">
        <v>45809</v>
      </c>
      <c r="H359" t="s">
        <v>36</v>
      </c>
      <c r="I359" s="2">
        <v>35250.772327574152</v>
      </c>
      <c r="J359">
        <v>477</v>
      </c>
      <c r="K359" t="s">
        <v>18</v>
      </c>
      <c r="L359" s="1">
        <v>45819</v>
      </c>
      <c r="M359" s="6">
        <f>WilsonData[[#This Row],[Discharge Date]]-WilsonData[[#This Row],[Date of Admission]]</f>
        <v>10</v>
      </c>
      <c r="N359" t="s">
        <v>19</v>
      </c>
    </row>
    <row r="360" spans="1:14" x14ac:dyDescent="0.35">
      <c r="A360" t="s">
        <v>1164</v>
      </c>
      <c r="B360">
        <v>55</v>
      </c>
      <c r="C360" t="str">
        <f>IF(WilsonData[[#This Row],[Age]]&lt;=18, "0-18", IF(WilsonData[[#This Row],[Age]]&lt;=35,"19-35", IF(WilsonData[[#This Row],[Age]]&lt;=50, "36-50",IF(WilsonData[[#This Row],[Age]]&lt;=65,"51-65", " 66+"))))</f>
        <v>51-65</v>
      </c>
      <c r="D360" t="s">
        <v>11</v>
      </c>
      <c r="E360" t="s">
        <v>34</v>
      </c>
      <c r="F360" t="s">
        <v>17</v>
      </c>
      <c r="G360" s="1">
        <v>45876</v>
      </c>
      <c r="H360" t="s">
        <v>37</v>
      </c>
      <c r="I360" s="2">
        <v>42768.303602027889</v>
      </c>
      <c r="J360">
        <v>283</v>
      </c>
      <c r="K360" t="s">
        <v>18</v>
      </c>
      <c r="L360" s="1">
        <v>45881</v>
      </c>
      <c r="M360" s="6">
        <f>WilsonData[[#This Row],[Discharge Date]]-WilsonData[[#This Row],[Date of Admission]]</f>
        <v>5</v>
      </c>
      <c r="N360" t="s">
        <v>22</v>
      </c>
    </row>
    <row r="361" spans="1:14" x14ac:dyDescent="0.35">
      <c r="A361" t="s">
        <v>1165</v>
      </c>
      <c r="B361">
        <v>34</v>
      </c>
      <c r="C361" t="str">
        <f>IF(WilsonData[[#This Row],[Age]]&lt;=18, "0-18", IF(WilsonData[[#This Row],[Age]]&lt;=35,"19-35", IF(WilsonData[[#This Row],[Age]]&lt;=50, "36-50",IF(WilsonData[[#This Row],[Age]]&lt;=65,"51-65", " 66+"))))</f>
        <v>19-35</v>
      </c>
      <c r="D361" t="s">
        <v>11</v>
      </c>
      <c r="E361" t="s">
        <v>26</v>
      </c>
      <c r="F361" t="s">
        <v>24</v>
      </c>
      <c r="G361" s="1">
        <v>45875</v>
      </c>
      <c r="H361" t="s">
        <v>36</v>
      </c>
      <c r="I361" s="2">
        <v>19590.977802837839</v>
      </c>
      <c r="J361">
        <v>481</v>
      </c>
      <c r="K361" t="s">
        <v>25</v>
      </c>
      <c r="L361" s="1">
        <v>45880</v>
      </c>
      <c r="M361" s="6">
        <f>WilsonData[[#This Row],[Discharge Date]]-WilsonData[[#This Row],[Date of Admission]]</f>
        <v>5</v>
      </c>
      <c r="N361" t="s">
        <v>27</v>
      </c>
    </row>
    <row r="362" spans="1:14" x14ac:dyDescent="0.35">
      <c r="A362" t="s">
        <v>1166</v>
      </c>
      <c r="B362">
        <v>41</v>
      </c>
      <c r="C362" t="str">
        <f>IF(WilsonData[[#This Row],[Age]]&lt;=18, "0-18", IF(WilsonData[[#This Row],[Age]]&lt;=35,"19-35", IF(WilsonData[[#This Row],[Age]]&lt;=50, "36-50",IF(WilsonData[[#This Row],[Age]]&lt;=65,"51-65", " 66+"))))</f>
        <v>36-50</v>
      </c>
      <c r="D362" t="s">
        <v>20</v>
      </c>
      <c r="E362" t="s">
        <v>16</v>
      </c>
      <c r="F362" t="s">
        <v>32</v>
      </c>
      <c r="G362" s="1">
        <v>45811</v>
      </c>
      <c r="H362" t="s">
        <v>37</v>
      </c>
      <c r="I362" s="2">
        <v>13667.63805176461</v>
      </c>
      <c r="J362">
        <v>339</v>
      </c>
      <c r="K362" t="s">
        <v>25</v>
      </c>
      <c r="L362" s="1">
        <v>45816</v>
      </c>
      <c r="M362" s="6">
        <f>WilsonData[[#This Row],[Discharge Date]]-WilsonData[[#This Row],[Date of Admission]]</f>
        <v>5</v>
      </c>
      <c r="N362" t="s">
        <v>15</v>
      </c>
    </row>
    <row r="363" spans="1:14" x14ac:dyDescent="0.35">
      <c r="A363" t="s">
        <v>1167</v>
      </c>
      <c r="B363">
        <v>66</v>
      </c>
      <c r="C363" t="str">
        <f>IF(WilsonData[[#This Row],[Age]]&lt;=18, "0-18", IF(WilsonData[[#This Row],[Age]]&lt;=35,"19-35", IF(WilsonData[[#This Row],[Age]]&lt;=50, "36-50",IF(WilsonData[[#This Row],[Age]]&lt;=65,"51-65", " 66+"))))</f>
        <v xml:space="preserve"> 66+</v>
      </c>
      <c r="D363" t="s">
        <v>20</v>
      </c>
      <c r="E363" t="s">
        <v>26</v>
      </c>
      <c r="F363" t="s">
        <v>13</v>
      </c>
      <c r="G363" s="1">
        <v>45877</v>
      </c>
      <c r="H363" t="s">
        <v>39</v>
      </c>
      <c r="I363" s="2">
        <v>5060.0484911824406</v>
      </c>
      <c r="J363">
        <v>296</v>
      </c>
      <c r="K363" t="s">
        <v>18</v>
      </c>
      <c r="L363" s="1">
        <v>45878</v>
      </c>
      <c r="M363" s="6">
        <f>WilsonData[[#This Row],[Discharge Date]]-WilsonData[[#This Row],[Date of Admission]]</f>
        <v>1</v>
      </c>
      <c r="N363" t="s">
        <v>15</v>
      </c>
    </row>
    <row r="364" spans="1:14" x14ac:dyDescent="0.35">
      <c r="A364" t="s">
        <v>1168</v>
      </c>
      <c r="B364">
        <v>21</v>
      </c>
      <c r="C364" t="str">
        <f>IF(WilsonData[[#This Row],[Age]]&lt;=18, "0-18", IF(WilsonData[[#This Row],[Age]]&lt;=35,"19-35", IF(WilsonData[[#This Row],[Age]]&lt;=50, "36-50",IF(WilsonData[[#This Row],[Age]]&lt;=65,"51-65", " 66+"))))</f>
        <v>19-35</v>
      </c>
      <c r="D364" t="s">
        <v>20</v>
      </c>
      <c r="E364" t="s">
        <v>21</v>
      </c>
      <c r="F364" t="s">
        <v>32</v>
      </c>
      <c r="G364" s="1">
        <v>45687</v>
      </c>
      <c r="H364" t="s">
        <v>36</v>
      </c>
      <c r="I364" s="2">
        <v>37591.085670777436</v>
      </c>
      <c r="J364">
        <v>336</v>
      </c>
      <c r="K364" t="s">
        <v>25</v>
      </c>
      <c r="L364" s="1">
        <v>45688</v>
      </c>
      <c r="M364" s="6">
        <f>WilsonData[[#This Row],[Discharge Date]]-WilsonData[[#This Row],[Date of Admission]]</f>
        <v>1</v>
      </c>
      <c r="N364" t="s">
        <v>22</v>
      </c>
    </row>
    <row r="365" spans="1:14" x14ac:dyDescent="0.35">
      <c r="A365" t="s">
        <v>1169</v>
      </c>
      <c r="B365">
        <v>37</v>
      </c>
      <c r="C365" t="str">
        <f>IF(WilsonData[[#This Row],[Age]]&lt;=18, "0-18", IF(WilsonData[[#This Row],[Age]]&lt;=35,"19-35", IF(WilsonData[[#This Row],[Age]]&lt;=50, "36-50",IF(WilsonData[[#This Row],[Age]]&lt;=65,"51-65", " 66+"))))</f>
        <v>36-50</v>
      </c>
      <c r="D365" t="s">
        <v>20</v>
      </c>
      <c r="E365" t="s">
        <v>26</v>
      </c>
      <c r="F365" t="s">
        <v>30</v>
      </c>
      <c r="G365" s="1">
        <v>45715</v>
      </c>
      <c r="H365" t="s">
        <v>37</v>
      </c>
      <c r="I365" s="2">
        <v>11557.17870104</v>
      </c>
      <c r="J365">
        <v>119</v>
      </c>
      <c r="K365" t="s">
        <v>25</v>
      </c>
      <c r="L365" s="1">
        <v>45716</v>
      </c>
      <c r="M365" s="6">
        <f>WilsonData[[#This Row],[Discharge Date]]-WilsonData[[#This Row],[Date of Admission]]</f>
        <v>1</v>
      </c>
      <c r="N365" t="s">
        <v>15</v>
      </c>
    </row>
    <row r="366" spans="1:14" x14ac:dyDescent="0.35">
      <c r="A366" t="s">
        <v>1170</v>
      </c>
      <c r="B366">
        <v>67</v>
      </c>
      <c r="C366" t="str">
        <f>IF(WilsonData[[#This Row],[Age]]&lt;=18, "0-18", IF(WilsonData[[#This Row],[Age]]&lt;=35,"19-35", IF(WilsonData[[#This Row],[Age]]&lt;=50, "36-50",IF(WilsonData[[#This Row],[Age]]&lt;=65,"51-65", " 66+"))))</f>
        <v xml:space="preserve"> 66+</v>
      </c>
      <c r="D366" t="s">
        <v>11</v>
      </c>
      <c r="E366" t="s">
        <v>16</v>
      </c>
      <c r="F366" t="s">
        <v>28</v>
      </c>
      <c r="G366" s="1">
        <v>45872</v>
      </c>
      <c r="H366" t="s">
        <v>39</v>
      </c>
      <c r="I366" s="2">
        <v>4567.2953240707184</v>
      </c>
      <c r="J366">
        <v>352</v>
      </c>
      <c r="K366" t="s">
        <v>25</v>
      </c>
      <c r="L366" s="1">
        <v>45875</v>
      </c>
      <c r="M366" s="6">
        <f>WilsonData[[#This Row],[Discharge Date]]-WilsonData[[#This Row],[Date of Admission]]</f>
        <v>3</v>
      </c>
      <c r="N366" t="s">
        <v>31</v>
      </c>
    </row>
    <row r="367" spans="1:14" x14ac:dyDescent="0.35">
      <c r="A367" t="s">
        <v>1171</v>
      </c>
      <c r="B367">
        <v>62</v>
      </c>
      <c r="C367" t="str">
        <f>IF(WilsonData[[#This Row],[Age]]&lt;=18, "0-18", IF(WilsonData[[#This Row],[Age]]&lt;=35,"19-35", IF(WilsonData[[#This Row],[Age]]&lt;=50, "36-50",IF(WilsonData[[#This Row],[Age]]&lt;=65,"51-65", " 66+"))))</f>
        <v>51-65</v>
      </c>
      <c r="D367" t="s">
        <v>11</v>
      </c>
      <c r="E367" t="s">
        <v>12</v>
      </c>
      <c r="F367" t="s">
        <v>32</v>
      </c>
      <c r="G367" s="1">
        <v>45738</v>
      </c>
      <c r="H367" t="s">
        <v>36</v>
      </c>
      <c r="I367" s="2">
        <v>16853.97640432198</v>
      </c>
      <c r="J367">
        <v>265</v>
      </c>
      <c r="K367" t="s">
        <v>18</v>
      </c>
      <c r="L367" s="1">
        <v>45739</v>
      </c>
      <c r="M367" s="6">
        <f>WilsonData[[#This Row],[Discharge Date]]-WilsonData[[#This Row],[Date of Admission]]</f>
        <v>1</v>
      </c>
      <c r="N367" t="s">
        <v>31</v>
      </c>
    </row>
    <row r="368" spans="1:14" x14ac:dyDescent="0.35">
      <c r="A368" t="s">
        <v>1172</v>
      </c>
      <c r="B368">
        <v>45</v>
      </c>
      <c r="C368" t="str">
        <f>IF(WilsonData[[#This Row],[Age]]&lt;=18, "0-18", IF(WilsonData[[#This Row],[Age]]&lt;=35,"19-35", IF(WilsonData[[#This Row],[Age]]&lt;=50, "36-50",IF(WilsonData[[#This Row],[Age]]&lt;=65,"51-65", " 66+"))))</f>
        <v>36-50</v>
      </c>
      <c r="D368" t="s">
        <v>20</v>
      </c>
      <c r="E368" t="s">
        <v>16</v>
      </c>
      <c r="F368" t="s">
        <v>24</v>
      </c>
      <c r="G368" s="1">
        <v>45713</v>
      </c>
      <c r="H368" t="s">
        <v>39</v>
      </c>
      <c r="I368" s="2">
        <v>2699.6802290435339</v>
      </c>
      <c r="J368">
        <v>187</v>
      </c>
      <c r="K368" t="s">
        <v>18</v>
      </c>
      <c r="L368" s="1">
        <v>45714</v>
      </c>
      <c r="M368" s="6">
        <f>WilsonData[[#This Row],[Discharge Date]]-WilsonData[[#This Row],[Date of Admission]]</f>
        <v>1</v>
      </c>
      <c r="N368" t="s">
        <v>22</v>
      </c>
    </row>
    <row r="369" spans="1:14" x14ac:dyDescent="0.35">
      <c r="A369" t="s">
        <v>1173</v>
      </c>
      <c r="B369">
        <v>37</v>
      </c>
      <c r="C369" t="str">
        <f>IF(WilsonData[[#This Row],[Age]]&lt;=18, "0-18", IF(WilsonData[[#This Row],[Age]]&lt;=35,"19-35", IF(WilsonData[[#This Row],[Age]]&lt;=50, "36-50",IF(WilsonData[[#This Row],[Age]]&lt;=65,"51-65", " 66+"))))</f>
        <v>36-50</v>
      </c>
      <c r="D369" t="s">
        <v>11</v>
      </c>
      <c r="E369" t="s">
        <v>12</v>
      </c>
      <c r="F369" t="s">
        <v>13</v>
      </c>
      <c r="G369" s="1">
        <v>45803</v>
      </c>
      <c r="H369" t="s">
        <v>36</v>
      </c>
      <c r="I369" s="2">
        <v>17448.936400215978</v>
      </c>
      <c r="J369">
        <v>109</v>
      </c>
      <c r="K369" t="s">
        <v>18</v>
      </c>
      <c r="L369" s="1">
        <v>45817</v>
      </c>
      <c r="M369" s="6">
        <f>WilsonData[[#This Row],[Discharge Date]]-WilsonData[[#This Row],[Date of Admission]]</f>
        <v>14</v>
      </c>
      <c r="N369" t="s">
        <v>27</v>
      </c>
    </row>
    <row r="370" spans="1:14" x14ac:dyDescent="0.35">
      <c r="A370" t="s">
        <v>1174</v>
      </c>
      <c r="B370">
        <v>33</v>
      </c>
      <c r="C370" t="str">
        <f>IF(WilsonData[[#This Row],[Age]]&lt;=18, "0-18", IF(WilsonData[[#This Row],[Age]]&lt;=35,"19-35", IF(WilsonData[[#This Row],[Age]]&lt;=50, "36-50",IF(WilsonData[[#This Row],[Age]]&lt;=65,"51-65", " 66+"))))</f>
        <v>19-35</v>
      </c>
      <c r="D370" t="s">
        <v>11</v>
      </c>
      <c r="E370" t="s">
        <v>12</v>
      </c>
      <c r="F370" t="s">
        <v>17</v>
      </c>
      <c r="G370" s="1">
        <v>45765</v>
      </c>
      <c r="H370" t="s">
        <v>36</v>
      </c>
      <c r="I370" s="2">
        <v>9495.8285526264517</v>
      </c>
      <c r="J370">
        <v>309</v>
      </c>
      <c r="K370" t="s">
        <v>25</v>
      </c>
      <c r="L370" s="1">
        <v>45773</v>
      </c>
      <c r="M370" s="6">
        <f>WilsonData[[#This Row],[Discharge Date]]-WilsonData[[#This Row],[Date of Admission]]</f>
        <v>8</v>
      </c>
      <c r="N370" t="s">
        <v>31</v>
      </c>
    </row>
    <row r="371" spans="1:14" x14ac:dyDescent="0.35">
      <c r="A371" t="s">
        <v>1175</v>
      </c>
      <c r="B371">
        <v>26</v>
      </c>
      <c r="C371" t="str">
        <f>IF(WilsonData[[#This Row],[Age]]&lt;=18, "0-18", IF(WilsonData[[#This Row],[Age]]&lt;=35,"19-35", IF(WilsonData[[#This Row],[Age]]&lt;=50, "36-50",IF(WilsonData[[#This Row],[Age]]&lt;=65,"51-65", " 66+"))))</f>
        <v>19-35</v>
      </c>
      <c r="D371" t="s">
        <v>11</v>
      </c>
      <c r="E371" t="s">
        <v>33</v>
      </c>
      <c r="F371" t="s">
        <v>13</v>
      </c>
      <c r="G371" s="1">
        <v>45756</v>
      </c>
      <c r="H371" t="s">
        <v>37</v>
      </c>
      <c r="I371" s="2">
        <v>9934.6823182864682</v>
      </c>
      <c r="J371">
        <v>120</v>
      </c>
      <c r="K371" t="s">
        <v>25</v>
      </c>
      <c r="L371" s="1">
        <v>45763</v>
      </c>
      <c r="M371" s="6">
        <f>WilsonData[[#This Row],[Discharge Date]]-WilsonData[[#This Row],[Date of Admission]]</f>
        <v>7</v>
      </c>
      <c r="N371" t="s">
        <v>22</v>
      </c>
    </row>
    <row r="372" spans="1:14" x14ac:dyDescent="0.35">
      <c r="A372" t="s">
        <v>1176</v>
      </c>
      <c r="B372">
        <v>66</v>
      </c>
      <c r="C372" t="str">
        <f>IF(WilsonData[[#This Row],[Age]]&lt;=18, "0-18", IF(WilsonData[[#This Row],[Age]]&lt;=35,"19-35", IF(WilsonData[[#This Row],[Age]]&lt;=50, "36-50",IF(WilsonData[[#This Row],[Age]]&lt;=65,"51-65", " 66+"))))</f>
        <v xml:space="preserve"> 66+</v>
      </c>
      <c r="D372" t="s">
        <v>11</v>
      </c>
      <c r="E372" t="s">
        <v>26</v>
      </c>
      <c r="F372" t="s">
        <v>13</v>
      </c>
      <c r="G372" s="1">
        <v>45733</v>
      </c>
      <c r="H372" t="s">
        <v>37</v>
      </c>
      <c r="I372" s="2">
        <v>34523.223636791903</v>
      </c>
      <c r="J372">
        <v>167</v>
      </c>
      <c r="K372" t="s">
        <v>18</v>
      </c>
      <c r="L372" s="1">
        <v>45740</v>
      </c>
      <c r="M372" s="6">
        <f>WilsonData[[#This Row],[Discharge Date]]-WilsonData[[#This Row],[Date of Admission]]</f>
        <v>7</v>
      </c>
      <c r="N372" t="s">
        <v>19</v>
      </c>
    </row>
    <row r="373" spans="1:14" x14ac:dyDescent="0.35">
      <c r="A373" t="s">
        <v>1177</v>
      </c>
      <c r="B373">
        <v>23</v>
      </c>
      <c r="C373" t="str">
        <f>IF(WilsonData[[#This Row],[Age]]&lt;=18, "0-18", IF(WilsonData[[#This Row],[Age]]&lt;=35,"19-35", IF(WilsonData[[#This Row],[Age]]&lt;=50, "36-50",IF(WilsonData[[#This Row],[Age]]&lt;=65,"51-65", " 66+"))))</f>
        <v>19-35</v>
      </c>
      <c r="D373" t="s">
        <v>20</v>
      </c>
      <c r="E373" t="s">
        <v>16</v>
      </c>
      <c r="F373" t="s">
        <v>13</v>
      </c>
      <c r="G373" s="1">
        <v>45974</v>
      </c>
      <c r="H373" t="s">
        <v>39</v>
      </c>
      <c r="I373" s="2">
        <v>33553.581054646893</v>
      </c>
      <c r="J373">
        <v>323</v>
      </c>
      <c r="K373" t="s">
        <v>18</v>
      </c>
      <c r="L373" s="1">
        <v>45988</v>
      </c>
      <c r="M373" s="6">
        <f>WilsonData[[#This Row],[Discharge Date]]-WilsonData[[#This Row],[Date of Admission]]</f>
        <v>14</v>
      </c>
      <c r="N373" t="s">
        <v>27</v>
      </c>
    </row>
    <row r="374" spans="1:14" x14ac:dyDescent="0.35">
      <c r="A374" t="s">
        <v>1178</v>
      </c>
      <c r="B374">
        <v>35</v>
      </c>
      <c r="C374" t="str">
        <f>IF(WilsonData[[#This Row],[Age]]&lt;=18, "0-18", IF(WilsonData[[#This Row],[Age]]&lt;=35,"19-35", IF(WilsonData[[#This Row],[Age]]&lt;=50, "36-50",IF(WilsonData[[#This Row],[Age]]&lt;=65,"51-65", " 66+"))))</f>
        <v>19-35</v>
      </c>
      <c r="D374" t="s">
        <v>20</v>
      </c>
      <c r="E374" t="s">
        <v>34</v>
      </c>
      <c r="F374" t="s">
        <v>17</v>
      </c>
      <c r="G374" s="1">
        <v>45944</v>
      </c>
      <c r="H374" t="s">
        <v>36</v>
      </c>
      <c r="I374" s="2">
        <v>14243.9745296213</v>
      </c>
      <c r="J374">
        <v>179</v>
      </c>
      <c r="K374" t="s">
        <v>18</v>
      </c>
      <c r="L374" s="1">
        <v>45953</v>
      </c>
      <c r="M374" s="6">
        <f>WilsonData[[#This Row],[Discharge Date]]-WilsonData[[#This Row],[Date of Admission]]</f>
        <v>9</v>
      </c>
      <c r="N374" t="s">
        <v>31</v>
      </c>
    </row>
    <row r="375" spans="1:14" x14ac:dyDescent="0.35">
      <c r="A375" t="s">
        <v>1179</v>
      </c>
      <c r="B375">
        <v>30</v>
      </c>
      <c r="C375" t="str">
        <f>IF(WilsonData[[#This Row],[Age]]&lt;=18, "0-18", IF(WilsonData[[#This Row],[Age]]&lt;=35,"19-35", IF(WilsonData[[#This Row],[Age]]&lt;=50, "36-50",IF(WilsonData[[#This Row],[Age]]&lt;=65,"51-65", " 66+"))))</f>
        <v>19-35</v>
      </c>
      <c r="D375" t="s">
        <v>20</v>
      </c>
      <c r="E375" t="s">
        <v>29</v>
      </c>
      <c r="F375" t="s">
        <v>32</v>
      </c>
      <c r="G375" s="1">
        <v>45851</v>
      </c>
      <c r="H375" t="s">
        <v>36</v>
      </c>
      <c r="I375" s="2">
        <v>47905.472460575344</v>
      </c>
      <c r="J375">
        <v>106</v>
      </c>
      <c r="K375" t="s">
        <v>25</v>
      </c>
      <c r="L375" s="1">
        <v>45857</v>
      </c>
      <c r="M375" s="6">
        <f>WilsonData[[#This Row],[Discharge Date]]-WilsonData[[#This Row],[Date of Admission]]</f>
        <v>6</v>
      </c>
      <c r="N375" t="s">
        <v>19</v>
      </c>
    </row>
    <row r="376" spans="1:14" x14ac:dyDescent="0.35">
      <c r="A376" t="s">
        <v>1180</v>
      </c>
      <c r="B376">
        <v>66</v>
      </c>
      <c r="C376" t="str">
        <f>IF(WilsonData[[#This Row],[Age]]&lt;=18, "0-18", IF(WilsonData[[#This Row],[Age]]&lt;=35,"19-35", IF(WilsonData[[#This Row],[Age]]&lt;=50, "36-50",IF(WilsonData[[#This Row],[Age]]&lt;=65,"51-65", " 66+"))))</f>
        <v xml:space="preserve"> 66+</v>
      </c>
      <c r="D376" t="s">
        <v>11</v>
      </c>
      <c r="E376" t="s">
        <v>33</v>
      </c>
      <c r="F376" t="s">
        <v>13</v>
      </c>
      <c r="G376" s="1">
        <v>46000</v>
      </c>
      <c r="H376" t="s">
        <v>37</v>
      </c>
      <c r="I376" s="2">
        <v>21848.64370006735</v>
      </c>
      <c r="J376">
        <v>209</v>
      </c>
      <c r="K376" t="s">
        <v>25</v>
      </c>
      <c r="L376" s="1">
        <v>46006</v>
      </c>
      <c r="M376" s="6">
        <f>WilsonData[[#This Row],[Discharge Date]]-WilsonData[[#This Row],[Date of Admission]]</f>
        <v>6</v>
      </c>
      <c r="N376" t="s">
        <v>19</v>
      </c>
    </row>
    <row r="377" spans="1:14" x14ac:dyDescent="0.35">
      <c r="A377" t="s">
        <v>1181</v>
      </c>
      <c r="B377">
        <v>34</v>
      </c>
      <c r="C377" t="str">
        <f>IF(WilsonData[[#This Row],[Age]]&lt;=18, "0-18", IF(WilsonData[[#This Row],[Age]]&lt;=35,"19-35", IF(WilsonData[[#This Row],[Age]]&lt;=50, "36-50",IF(WilsonData[[#This Row],[Age]]&lt;=65,"51-65", " 66+"))))</f>
        <v>19-35</v>
      </c>
      <c r="D377" t="s">
        <v>20</v>
      </c>
      <c r="E377" t="s">
        <v>29</v>
      </c>
      <c r="F377" t="s">
        <v>28</v>
      </c>
      <c r="G377" s="1">
        <v>45894</v>
      </c>
      <c r="H377" t="s">
        <v>37</v>
      </c>
      <c r="I377" s="2">
        <v>13136.392522152069</v>
      </c>
      <c r="J377">
        <v>310</v>
      </c>
      <c r="K377" t="s">
        <v>18</v>
      </c>
      <c r="L377" s="1">
        <v>45901</v>
      </c>
      <c r="M377" s="6">
        <f>WilsonData[[#This Row],[Discharge Date]]-WilsonData[[#This Row],[Date of Admission]]</f>
        <v>7</v>
      </c>
      <c r="N377" t="s">
        <v>27</v>
      </c>
    </row>
    <row r="378" spans="1:14" x14ac:dyDescent="0.35">
      <c r="A378" t="s">
        <v>1182</v>
      </c>
      <c r="B378">
        <v>78</v>
      </c>
      <c r="C378" t="str">
        <f>IF(WilsonData[[#This Row],[Age]]&lt;=18, "0-18", IF(WilsonData[[#This Row],[Age]]&lt;=35,"19-35", IF(WilsonData[[#This Row],[Age]]&lt;=50, "36-50",IF(WilsonData[[#This Row],[Age]]&lt;=65,"51-65", " 66+"))))</f>
        <v xml:space="preserve"> 66+</v>
      </c>
      <c r="D378" t="s">
        <v>20</v>
      </c>
      <c r="E378" t="s">
        <v>26</v>
      </c>
      <c r="F378" t="s">
        <v>28</v>
      </c>
      <c r="G378" s="1">
        <v>45659</v>
      </c>
      <c r="H378" t="s">
        <v>37</v>
      </c>
      <c r="I378" s="2">
        <v>34437.765067103654</v>
      </c>
      <c r="J378">
        <v>223</v>
      </c>
      <c r="K378" t="s">
        <v>25</v>
      </c>
      <c r="L378" s="1">
        <v>45670</v>
      </c>
      <c r="M378" s="6">
        <f>WilsonData[[#This Row],[Discharge Date]]-WilsonData[[#This Row],[Date of Admission]]</f>
        <v>11</v>
      </c>
      <c r="N378" t="s">
        <v>22</v>
      </c>
    </row>
    <row r="379" spans="1:14" x14ac:dyDescent="0.35">
      <c r="A379" t="s">
        <v>1183</v>
      </c>
      <c r="B379">
        <v>63</v>
      </c>
      <c r="C379" t="str">
        <f>IF(WilsonData[[#This Row],[Age]]&lt;=18, "0-18", IF(WilsonData[[#This Row],[Age]]&lt;=35,"19-35", IF(WilsonData[[#This Row],[Age]]&lt;=50, "36-50",IF(WilsonData[[#This Row],[Age]]&lt;=65,"51-65", " 66+"))))</f>
        <v>51-65</v>
      </c>
      <c r="D379" t="s">
        <v>11</v>
      </c>
      <c r="E379" t="s">
        <v>34</v>
      </c>
      <c r="F379" t="s">
        <v>32</v>
      </c>
      <c r="G379" s="1">
        <v>45729</v>
      </c>
      <c r="H379" t="s">
        <v>39</v>
      </c>
      <c r="I379" s="2">
        <v>35149.098182446192</v>
      </c>
      <c r="J379">
        <v>231</v>
      </c>
      <c r="K379" t="s">
        <v>25</v>
      </c>
      <c r="L379" s="1">
        <v>45738</v>
      </c>
      <c r="M379" s="6">
        <f>WilsonData[[#This Row],[Discharge Date]]-WilsonData[[#This Row],[Date of Admission]]</f>
        <v>9</v>
      </c>
      <c r="N379" t="s">
        <v>19</v>
      </c>
    </row>
    <row r="380" spans="1:14" x14ac:dyDescent="0.35">
      <c r="A380" t="s">
        <v>1184</v>
      </c>
      <c r="B380">
        <v>58</v>
      </c>
      <c r="C380" t="str">
        <f>IF(WilsonData[[#This Row],[Age]]&lt;=18, "0-18", IF(WilsonData[[#This Row],[Age]]&lt;=35,"19-35", IF(WilsonData[[#This Row],[Age]]&lt;=50, "36-50",IF(WilsonData[[#This Row],[Age]]&lt;=65,"51-65", " 66+"))))</f>
        <v>51-65</v>
      </c>
      <c r="D380" t="s">
        <v>11</v>
      </c>
      <c r="E380" t="s">
        <v>12</v>
      </c>
      <c r="F380" t="s">
        <v>13</v>
      </c>
      <c r="G380" s="1">
        <v>45726</v>
      </c>
      <c r="H380" t="s">
        <v>36</v>
      </c>
      <c r="I380" s="2">
        <v>41520.098568556677</v>
      </c>
      <c r="J380">
        <v>269</v>
      </c>
      <c r="K380" t="s">
        <v>25</v>
      </c>
      <c r="L380" s="1">
        <v>45727</v>
      </c>
      <c r="M380" s="6">
        <f>WilsonData[[#This Row],[Discharge Date]]-WilsonData[[#This Row],[Date of Admission]]</f>
        <v>1</v>
      </c>
      <c r="N380" t="s">
        <v>27</v>
      </c>
    </row>
    <row r="381" spans="1:14" x14ac:dyDescent="0.35">
      <c r="A381" t="s">
        <v>1185</v>
      </c>
      <c r="B381">
        <v>31</v>
      </c>
      <c r="C381" t="str">
        <f>IF(WilsonData[[#This Row],[Age]]&lt;=18, "0-18", IF(WilsonData[[#This Row],[Age]]&lt;=35,"19-35", IF(WilsonData[[#This Row],[Age]]&lt;=50, "36-50",IF(WilsonData[[#This Row],[Age]]&lt;=65,"51-65", " 66+"))))</f>
        <v>19-35</v>
      </c>
      <c r="D381" t="s">
        <v>20</v>
      </c>
      <c r="E381" t="s">
        <v>26</v>
      </c>
      <c r="F381" t="s">
        <v>17</v>
      </c>
      <c r="G381" s="1">
        <v>45877</v>
      </c>
      <c r="H381" t="s">
        <v>39</v>
      </c>
      <c r="I381" s="2">
        <v>2894.124207860576</v>
      </c>
      <c r="J381">
        <v>460</v>
      </c>
      <c r="K381" t="s">
        <v>25</v>
      </c>
      <c r="L381" s="1">
        <v>45888</v>
      </c>
      <c r="M381" s="6">
        <f>WilsonData[[#This Row],[Discharge Date]]-WilsonData[[#This Row],[Date of Admission]]</f>
        <v>11</v>
      </c>
      <c r="N381" t="s">
        <v>31</v>
      </c>
    </row>
    <row r="382" spans="1:14" x14ac:dyDescent="0.35">
      <c r="A382" t="s">
        <v>1186</v>
      </c>
      <c r="B382">
        <v>48</v>
      </c>
      <c r="C382" t="str">
        <f>IF(WilsonData[[#This Row],[Age]]&lt;=18, "0-18", IF(WilsonData[[#This Row],[Age]]&lt;=35,"19-35", IF(WilsonData[[#This Row],[Age]]&lt;=50, "36-50",IF(WilsonData[[#This Row],[Age]]&lt;=65,"51-65", " 66+"))))</f>
        <v>36-50</v>
      </c>
      <c r="D382" t="s">
        <v>20</v>
      </c>
      <c r="E382" t="s">
        <v>21</v>
      </c>
      <c r="F382" t="s">
        <v>28</v>
      </c>
      <c r="G382" s="1">
        <v>45720</v>
      </c>
      <c r="H382" t="s">
        <v>36</v>
      </c>
      <c r="I382" s="2">
        <v>22399.532791006641</v>
      </c>
      <c r="J382">
        <v>297</v>
      </c>
      <c r="K382" t="s">
        <v>25</v>
      </c>
      <c r="L382" s="1">
        <v>45724</v>
      </c>
      <c r="M382" s="6">
        <f>WilsonData[[#This Row],[Discharge Date]]-WilsonData[[#This Row],[Date of Admission]]</f>
        <v>4</v>
      </c>
      <c r="N382" t="s">
        <v>31</v>
      </c>
    </row>
    <row r="383" spans="1:14" x14ac:dyDescent="0.35">
      <c r="A383" t="s">
        <v>1187</v>
      </c>
      <c r="B383">
        <v>47</v>
      </c>
      <c r="C383" t="str">
        <f>IF(WilsonData[[#This Row],[Age]]&lt;=18, "0-18", IF(WilsonData[[#This Row],[Age]]&lt;=35,"19-35", IF(WilsonData[[#This Row],[Age]]&lt;=50, "36-50",IF(WilsonData[[#This Row],[Age]]&lt;=65,"51-65", " 66+"))))</f>
        <v>36-50</v>
      </c>
      <c r="D383" t="s">
        <v>11</v>
      </c>
      <c r="E383" t="s">
        <v>34</v>
      </c>
      <c r="F383" t="s">
        <v>13</v>
      </c>
      <c r="G383" s="1">
        <v>45991</v>
      </c>
      <c r="H383" t="s">
        <v>36</v>
      </c>
      <c r="I383" s="2">
        <v>44777.476637747583</v>
      </c>
      <c r="J383">
        <v>478</v>
      </c>
      <c r="K383" t="s">
        <v>18</v>
      </c>
      <c r="L383" s="1">
        <v>45992</v>
      </c>
      <c r="M383" s="6">
        <f>WilsonData[[#This Row],[Discharge Date]]-WilsonData[[#This Row],[Date of Admission]]</f>
        <v>1</v>
      </c>
      <c r="N383" t="s">
        <v>27</v>
      </c>
    </row>
    <row r="384" spans="1:14" x14ac:dyDescent="0.35">
      <c r="A384" t="s">
        <v>1188</v>
      </c>
      <c r="B384">
        <v>49</v>
      </c>
      <c r="C384" t="str">
        <f>IF(WilsonData[[#This Row],[Age]]&lt;=18, "0-18", IF(WilsonData[[#This Row],[Age]]&lt;=35,"19-35", IF(WilsonData[[#This Row],[Age]]&lt;=50, "36-50",IF(WilsonData[[#This Row],[Age]]&lt;=65,"51-65", " 66+"))))</f>
        <v>36-50</v>
      </c>
      <c r="D384" t="s">
        <v>11</v>
      </c>
      <c r="E384" t="s">
        <v>21</v>
      </c>
      <c r="F384" t="s">
        <v>28</v>
      </c>
      <c r="G384" s="1">
        <v>45681</v>
      </c>
      <c r="H384" t="s">
        <v>37</v>
      </c>
      <c r="I384" s="2">
        <v>46984.445856520018</v>
      </c>
      <c r="J384">
        <v>360</v>
      </c>
      <c r="K384" t="s">
        <v>18</v>
      </c>
      <c r="L384" s="1">
        <v>45694</v>
      </c>
      <c r="M384" s="6">
        <f>WilsonData[[#This Row],[Discharge Date]]-WilsonData[[#This Row],[Date of Admission]]</f>
        <v>13</v>
      </c>
      <c r="N384" t="s">
        <v>22</v>
      </c>
    </row>
    <row r="385" spans="1:14" x14ac:dyDescent="0.35">
      <c r="A385" t="s">
        <v>1189</v>
      </c>
      <c r="B385">
        <v>62</v>
      </c>
      <c r="C385" t="str">
        <f>IF(WilsonData[[#This Row],[Age]]&lt;=18, "0-18", IF(WilsonData[[#This Row],[Age]]&lt;=35,"19-35", IF(WilsonData[[#This Row],[Age]]&lt;=50, "36-50",IF(WilsonData[[#This Row],[Age]]&lt;=65,"51-65", " 66+"))))</f>
        <v>51-65</v>
      </c>
      <c r="D385" t="s">
        <v>20</v>
      </c>
      <c r="E385" t="s">
        <v>26</v>
      </c>
      <c r="F385" t="s">
        <v>24</v>
      </c>
      <c r="G385" s="1">
        <v>45726</v>
      </c>
      <c r="H385" t="s">
        <v>37</v>
      </c>
      <c r="I385" s="2">
        <v>36832.964708241198</v>
      </c>
      <c r="J385">
        <v>423</v>
      </c>
      <c r="K385" t="s">
        <v>18</v>
      </c>
      <c r="L385" s="1">
        <v>45734</v>
      </c>
      <c r="M385" s="6">
        <f>WilsonData[[#This Row],[Discharge Date]]-WilsonData[[#This Row],[Date of Admission]]</f>
        <v>8</v>
      </c>
      <c r="N385" t="s">
        <v>19</v>
      </c>
    </row>
    <row r="386" spans="1:14" x14ac:dyDescent="0.35">
      <c r="A386" t="s">
        <v>1190</v>
      </c>
      <c r="B386">
        <v>52</v>
      </c>
      <c r="C386" t="str">
        <f>IF(WilsonData[[#This Row],[Age]]&lt;=18, "0-18", IF(WilsonData[[#This Row],[Age]]&lt;=35,"19-35", IF(WilsonData[[#This Row],[Age]]&lt;=50, "36-50",IF(WilsonData[[#This Row],[Age]]&lt;=65,"51-65", " 66+"))))</f>
        <v>51-65</v>
      </c>
      <c r="D386" t="s">
        <v>11</v>
      </c>
      <c r="E386" t="s">
        <v>21</v>
      </c>
      <c r="F386" t="s">
        <v>13</v>
      </c>
      <c r="G386" s="1">
        <v>45890</v>
      </c>
      <c r="H386" t="s">
        <v>37</v>
      </c>
      <c r="I386" s="2">
        <v>27323.104277139311</v>
      </c>
      <c r="J386">
        <v>232</v>
      </c>
      <c r="K386" t="s">
        <v>18</v>
      </c>
      <c r="L386" s="1">
        <v>45896</v>
      </c>
      <c r="M386" s="6">
        <f>WilsonData[[#This Row],[Discharge Date]]-WilsonData[[#This Row],[Date of Admission]]</f>
        <v>6</v>
      </c>
      <c r="N386" t="s">
        <v>19</v>
      </c>
    </row>
    <row r="387" spans="1:14" x14ac:dyDescent="0.35">
      <c r="A387" t="s">
        <v>1191</v>
      </c>
      <c r="B387">
        <v>38</v>
      </c>
      <c r="C387" t="str">
        <f>IF(WilsonData[[#This Row],[Age]]&lt;=18, "0-18", IF(WilsonData[[#This Row],[Age]]&lt;=35,"19-35", IF(WilsonData[[#This Row],[Age]]&lt;=50, "36-50",IF(WilsonData[[#This Row],[Age]]&lt;=65,"51-65", " 66+"))))</f>
        <v>36-50</v>
      </c>
      <c r="D387" t="s">
        <v>20</v>
      </c>
      <c r="E387" t="s">
        <v>23</v>
      </c>
      <c r="F387" t="s">
        <v>24</v>
      </c>
      <c r="G387" s="1">
        <v>45753</v>
      </c>
      <c r="H387" t="s">
        <v>36</v>
      </c>
      <c r="I387" s="2">
        <v>27260.16841969957</v>
      </c>
      <c r="J387">
        <v>154</v>
      </c>
      <c r="K387" t="s">
        <v>18</v>
      </c>
      <c r="L387" s="1">
        <v>45757</v>
      </c>
      <c r="M387" s="6">
        <f>WilsonData[[#This Row],[Discharge Date]]-WilsonData[[#This Row],[Date of Admission]]</f>
        <v>4</v>
      </c>
      <c r="N387" t="s">
        <v>15</v>
      </c>
    </row>
    <row r="388" spans="1:14" x14ac:dyDescent="0.35">
      <c r="A388" t="s">
        <v>1192</v>
      </c>
      <c r="B388">
        <v>19</v>
      </c>
      <c r="C388" t="str">
        <f>IF(WilsonData[[#This Row],[Age]]&lt;=18, "0-18", IF(WilsonData[[#This Row],[Age]]&lt;=35,"19-35", IF(WilsonData[[#This Row],[Age]]&lt;=50, "36-50",IF(WilsonData[[#This Row],[Age]]&lt;=65,"51-65", " 66+"))))</f>
        <v>19-35</v>
      </c>
      <c r="D388" t="s">
        <v>20</v>
      </c>
      <c r="E388" t="s">
        <v>23</v>
      </c>
      <c r="F388" t="s">
        <v>30</v>
      </c>
      <c r="G388" s="1">
        <v>45881</v>
      </c>
      <c r="H388" t="s">
        <v>39</v>
      </c>
      <c r="I388" s="2">
        <v>42157.22298233107</v>
      </c>
      <c r="J388">
        <v>149</v>
      </c>
      <c r="K388" t="s">
        <v>25</v>
      </c>
      <c r="L388" s="1">
        <v>45889</v>
      </c>
      <c r="M388" s="6">
        <f>WilsonData[[#This Row],[Discharge Date]]-WilsonData[[#This Row],[Date of Admission]]</f>
        <v>8</v>
      </c>
      <c r="N388" t="s">
        <v>31</v>
      </c>
    </row>
    <row r="389" spans="1:14" x14ac:dyDescent="0.35">
      <c r="A389" t="s">
        <v>1193</v>
      </c>
      <c r="B389">
        <v>74</v>
      </c>
      <c r="C389" t="str">
        <f>IF(WilsonData[[#This Row],[Age]]&lt;=18, "0-18", IF(WilsonData[[#This Row],[Age]]&lt;=35,"19-35", IF(WilsonData[[#This Row],[Age]]&lt;=50, "36-50",IF(WilsonData[[#This Row],[Age]]&lt;=65,"51-65", " 66+"))))</f>
        <v xml:space="preserve"> 66+</v>
      </c>
      <c r="D389" t="s">
        <v>11</v>
      </c>
      <c r="E389" t="s">
        <v>23</v>
      </c>
      <c r="F389" t="s">
        <v>28</v>
      </c>
      <c r="G389" s="1">
        <v>45801</v>
      </c>
      <c r="H389" t="s">
        <v>36</v>
      </c>
      <c r="I389" s="2">
        <v>20945.369101023221</v>
      </c>
      <c r="J389">
        <v>417</v>
      </c>
      <c r="K389" t="s">
        <v>18</v>
      </c>
      <c r="L389" s="1">
        <v>45815</v>
      </c>
      <c r="M389" s="6">
        <f>WilsonData[[#This Row],[Discharge Date]]-WilsonData[[#This Row],[Date of Admission]]</f>
        <v>14</v>
      </c>
      <c r="N389" t="s">
        <v>27</v>
      </c>
    </row>
    <row r="390" spans="1:14" x14ac:dyDescent="0.35">
      <c r="A390" t="s">
        <v>1194</v>
      </c>
      <c r="B390">
        <v>80</v>
      </c>
      <c r="C390" t="str">
        <f>IF(WilsonData[[#This Row],[Age]]&lt;=18, "0-18", IF(WilsonData[[#This Row],[Age]]&lt;=35,"19-35", IF(WilsonData[[#This Row],[Age]]&lt;=50, "36-50",IF(WilsonData[[#This Row],[Age]]&lt;=65,"51-65", " 66+"))))</f>
        <v xml:space="preserve"> 66+</v>
      </c>
      <c r="D390" t="s">
        <v>20</v>
      </c>
      <c r="E390" t="s">
        <v>16</v>
      </c>
      <c r="F390" t="s">
        <v>17</v>
      </c>
      <c r="G390" s="1">
        <v>45938</v>
      </c>
      <c r="H390" t="s">
        <v>39</v>
      </c>
      <c r="I390" s="2">
        <v>10481.84109590047</v>
      </c>
      <c r="J390">
        <v>284</v>
      </c>
      <c r="K390" t="s">
        <v>18</v>
      </c>
      <c r="L390" s="1">
        <v>45947</v>
      </c>
      <c r="M390" s="6">
        <f>WilsonData[[#This Row],[Discharge Date]]-WilsonData[[#This Row],[Date of Admission]]</f>
        <v>9</v>
      </c>
      <c r="N390" t="s">
        <v>27</v>
      </c>
    </row>
    <row r="391" spans="1:14" x14ac:dyDescent="0.35">
      <c r="A391" t="s">
        <v>1195</v>
      </c>
      <c r="B391">
        <v>20</v>
      </c>
      <c r="C391" t="str">
        <f>IF(WilsonData[[#This Row],[Age]]&lt;=18, "0-18", IF(WilsonData[[#This Row],[Age]]&lt;=35,"19-35", IF(WilsonData[[#This Row],[Age]]&lt;=50, "36-50",IF(WilsonData[[#This Row],[Age]]&lt;=65,"51-65", " 66+"))))</f>
        <v>19-35</v>
      </c>
      <c r="D391" t="s">
        <v>20</v>
      </c>
      <c r="E391" t="s">
        <v>23</v>
      </c>
      <c r="F391" t="s">
        <v>30</v>
      </c>
      <c r="G391" s="1">
        <v>45749</v>
      </c>
      <c r="H391" t="s">
        <v>39</v>
      </c>
      <c r="I391" s="2">
        <v>29504.13504027648</v>
      </c>
      <c r="J391">
        <v>428</v>
      </c>
      <c r="K391" t="s">
        <v>25</v>
      </c>
      <c r="L391" s="1">
        <v>45751</v>
      </c>
      <c r="M391" s="6">
        <f>WilsonData[[#This Row],[Discharge Date]]-WilsonData[[#This Row],[Date of Admission]]</f>
        <v>2</v>
      </c>
      <c r="N391" t="s">
        <v>15</v>
      </c>
    </row>
    <row r="392" spans="1:14" x14ac:dyDescent="0.35">
      <c r="A392" t="s">
        <v>1196</v>
      </c>
      <c r="B392">
        <v>34</v>
      </c>
      <c r="C392" t="str">
        <f>IF(WilsonData[[#This Row],[Age]]&lt;=18, "0-18", IF(WilsonData[[#This Row],[Age]]&lt;=35,"19-35", IF(WilsonData[[#This Row],[Age]]&lt;=50, "36-50",IF(WilsonData[[#This Row],[Age]]&lt;=65,"51-65", " 66+"))))</f>
        <v>19-35</v>
      </c>
      <c r="D392" t="s">
        <v>20</v>
      </c>
      <c r="E392" t="s">
        <v>34</v>
      </c>
      <c r="F392" t="s">
        <v>13</v>
      </c>
      <c r="G392" s="1">
        <v>45855</v>
      </c>
      <c r="H392" t="s">
        <v>39</v>
      </c>
      <c r="I392" s="2">
        <v>7877.4761779105611</v>
      </c>
      <c r="J392">
        <v>286</v>
      </c>
      <c r="K392" t="s">
        <v>25</v>
      </c>
      <c r="L392" s="1">
        <v>45866</v>
      </c>
      <c r="M392" s="6">
        <f>WilsonData[[#This Row],[Discharge Date]]-WilsonData[[#This Row],[Date of Admission]]</f>
        <v>11</v>
      </c>
      <c r="N392" t="s">
        <v>31</v>
      </c>
    </row>
    <row r="393" spans="1:14" x14ac:dyDescent="0.35">
      <c r="A393" t="s">
        <v>1197</v>
      </c>
      <c r="B393">
        <v>67</v>
      </c>
      <c r="C393" t="str">
        <f>IF(WilsonData[[#This Row],[Age]]&lt;=18, "0-18", IF(WilsonData[[#This Row],[Age]]&lt;=35,"19-35", IF(WilsonData[[#This Row],[Age]]&lt;=50, "36-50",IF(WilsonData[[#This Row],[Age]]&lt;=65,"51-65", " 66+"))))</f>
        <v xml:space="preserve"> 66+</v>
      </c>
      <c r="D393" t="s">
        <v>20</v>
      </c>
      <c r="E393" t="s">
        <v>21</v>
      </c>
      <c r="F393" t="s">
        <v>30</v>
      </c>
      <c r="G393" s="1">
        <v>45716</v>
      </c>
      <c r="H393" t="s">
        <v>37</v>
      </c>
      <c r="I393" s="2">
        <v>13358.79530642829</v>
      </c>
      <c r="J393">
        <v>391</v>
      </c>
      <c r="K393" t="s">
        <v>18</v>
      </c>
      <c r="L393" s="1">
        <v>45723</v>
      </c>
      <c r="M393" s="6">
        <f>WilsonData[[#This Row],[Discharge Date]]-WilsonData[[#This Row],[Date of Admission]]</f>
        <v>7</v>
      </c>
      <c r="N393" t="s">
        <v>19</v>
      </c>
    </row>
    <row r="394" spans="1:14" x14ac:dyDescent="0.35">
      <c r="A394" t="s">
        <v>1198</v>
      </c>
      <c r="B394">
        <v>45</v>
      </c>
      <c r="C394" t="str">
        <f>IF(WilsonData[[#This Row],[Age]]&lt;=18, "0-18", IF(WilsonData[[#This Row],[Age]]&lt;=35,"19-35", IF(WilsonData[[#This Row],[Age]]&lt;=50, "36-50",IF(WilsonData[[#This Row],[Age]]&lt;=65,"51-65", " 66+"))))</f>
        <v>36-50</v>
      </c>
      <c r="D394" t="s">
        <v>20</v>
      </c>
      <c r="E394" t="s">
        <v>26</v>
      </c>
      <c r="F394" t="s">
        <v>30</v>
      </c>
      <c r="G394" s="1">
        <v>45990</v>
      </c>
      <c r="H394" t="s">
        <v>39</v>
      </c>
      <c r="I394" s="2">
        <v>33544.367599028643</v>
      </c>
      <c r="J394">
        <v>391</v>
      </c>
      <c r="K394" t="s">
        <v>18</v>
      </c>
      <c r="L394" s="1">
        <v>45997</v>
      </c>
      <c r="M394" s="6">
        <f>WilsonData[[#This Row],[Discharge Date]]-WilsonData[[#This Row],[Date of Admission]]</f>
        <v>7</v>
      </c>
      <c r="N394" t="s">
        <v>31</v>
      </c>
    </row>
    <row r="395" spans="1:14" x14ac:dyDescent="0.35">
      <c r="A395" t="s">
        <v>1199</v>
      </c>
      <c r="B395">
        <v>48</v>
      </c>
      <c r="C395" t="str">
        <f>IF(WilsonData[[#This Row],[Age]]&lt;=18, "0-18", IF(WilsonData[[#This Row],[Age]]&lt;=35,"19-35", IF(WilsonData[[#This Row],[Age]]&lt;=50, "36-50",IF(WilsonData[[#This Row],[Age]]&lt;=65,"51-65", " 66+"))))</f>
        <v>36-50</v>
      </c>
      <c r="D395" t="s">
        <v>11</v>
      </c>
      <c r="E395" t="s">
        <v>21</v>
      </c>
      <c r="F395" t="s">
        <v>17</v>
      </c>
      <c r="G395" s="1">
        <v>45700</v>
      </c>
      <c r="H395" t="s">
        <v>36</v>
      </c>
      <c r="I395" s="2">
        <v>50780.706852468313</v>
      </c>
      <c r="J395">
        <v>203</v>
      </c>
      <c r="K395" t="s">
        <v>18</v>
      </c>
      <c r="L395" s="1">
        <v>45712</v>
      </c>
      <c r="M395" s="6">
        <f>WilsonData[[#This Row],[Discharge Date]]-WilsonData[[#This Row],[Date of Admission]]</f>
        <v>12</v>
      </c>
      <c r="N395" t="s">
        <v>27</v>
      </c>
    </row>
    <row r="396" spans="1:14" x14ac:dyDescent="0.35">
      <c r="A396" t="s">
        <v>1200</v>
      </c>
      <c r="B396">
        <v>20</v>
      </c>
      <c r="C396" t="str">
        <f>IF(WilsonData[[#This Row],[Age]]&lt;=18, "0-18", IF(WilsonData[[#This Row],[Age]]&lt;=35,"19-35", IF(WilsonData[[#This Row],[Age]]&lt;=50, "36-50",IF(WilsonData[[#This Row],[Age]]&lt;=65,"51-65", " 66+"))))</f>
        <v>19-35</v>
      </c>
      <c r="D396" t="s">
        <v>20</v>
      </c>
      <c r="E396" t="s">
        <v>21</v>
      </c>
      <c r="F396" t="s">
        <v>24</v>
      </c>
      <c r="G396" s="1">
        <v>45872</v>
      </c>
      <c r="H396" t="s">
        <v>39</v>
      </c>
      <c r="I396" s="2">
        <v>16151.191503532271</v>
      </c>
      <c r="J396">
        <v>155</v>
      </c>
      <c r="K396" t="s">
        <v>25</v>
      </c>
      <c r="L396" s="1">
        <v>45875</v>
      </c>
      <c r="M396" s="6">
        <f>WilsonData[[#This Row],[Discharge Date]]-WilsonData[[#This Row],[Date of Admission]]</f>
        <v>3</v>
      </c>
      <c r="N396" t="s">
        <v>15</v>
      </c>
    </row>
    <row r="397" spans="1:14" x14ac:dyDescent="0.35">
      <c r="A397" t="s">
        <v>1201</v>
      </c>
      <c r="B397">
        <v>51</v>
      </c>
      <c r="C397" t="str">
        <f>IF(WilsonData[[#This Row],[Age]]&lt;=18, "0-18", IF(WilsonData[[#This Row],[Age]]&lt;=35,"19-35", IF(WilsonData[[#This Row],[Age]]&lt;=50, "36-50",IF(WilsonData[[#This Row],[Age]]&lt;=65,"51-65", " 66+"))))</f>
        <v>51-65</v>
      </c>
      <c r="D397" t="s">
        <v>11</v>
      </c>
      <c r="E397" t="s">
        <v>12</v>
      </c>
      <c r="F397" t="s">
        <v>13</v>
      </c>
      <c r="G397" s="1">
        <v>45772</v>
      </c>
      <c r="H397" t="s">
        <v>39</v>
      </c>
      <c r="I397" s="2">
        <v>35244.17985332766</v>
      </c>
      <c r="J397">
        <v>249</v>
      </c>
      <c r="K397" t="s">
        <v>18</v>
      </c>
      <c r="L397" s="1">
        <v>45783</v>
      </c>
      <c r="M397" s="6">
        <f>WilsonData[[#This Row],[Discharge Date]]-WilsonData[[#This Row],[Date of Admission]]</f>
        <v>11</v>
      </c>
      <c r="N397" t="s">
        <v>27</v>
      </c>
    </row>
    <row r="398" spans="1:14" x14ac:dyDescent="0.35">
      <c r="A398" t="s">
        <v>1202</v>
      </c>
      <c r="B398">
        <v>36</v>
      </c>
      <c r="C398" t="str">
        <f>IF(WilsonData[[#This Row],[Age]]&lt;=18, "0-18", IF(WilsonData[[#This Row],[Age]]&lt;=35,"19-35", IF(WilsonData[[#This Row],[Age]]&lt;=50, "36-50",IF(WilsonData[[#This Row],[Age]]&lt;=65,"51-65", " 66+"))))</f>
        <v>36-50</v>
      </c>
      <c r="D398" t="s">
        <v>20</v>
      </c>
      <c r="E398" t="s">
        <v>34</v>
      </c>
      <c r="F398" t="s">
        <v>24</v>
      </c>
      <c r="G398" s="1">
        <v>45935</v>
      </c>
      <c r="H398" t="s">
        <v>39</v>
      </c>
      <c r="I398" s="2">
        <v>8160.8807907911541</v>
      </c>
      <c r="J398">
        <v>249</v>
      </c>
      <c r="K398" t="s">
        <v>25</v>
      </c>
      <c r="L398" s="1">
        <v>45937</v>
      </c>
      <c r="M398" s="6">
        <f>WilsonData[[#This Row],[Discharge Date]]-WilsonData[[#This Row],[Date of Admission]]</f>
        <v>2</v>
      </c>
      <c r="N398" t="s">
        <v>31</v>
      </c>
    </row>
    <row r="399" spans="1:14" x14ac:dyDescent="0.35">
      <c r="A399" t="s">
        <v>1203</v>
      </c>
      <c r="B399">
        <v>38</v>
      </c>
      <c r="C399" t="str">
        <f>IF(WilsonData[[#This Row],[Age]]&lt;=18, "0-18", IF(WilsonData[[#This Row],[Age]]&lt;=35,"19-35", IF(WilsonData[[#This Row],[Age]]&lt;=50, "36-50",IF(WilsonData[[#This Row],[Age]]&lt;=65,"51-65", " 66+"))))</f>
        <v>36-50</v>
      </c>
      <c r="D399" t="s">
        <v>11</v>
      </c>
      <c r="E399" t="s">
        <v>16</v>
      </c>
      <c r="F399" t="s">
        <v>17</v>
      </c>
      <c r="G399" s="1">
        <v>45948</v>
      </c>
      <c r="H399" t="s">
        <v>37</v>
      </c>
      <c r="I399" s="2">
        <v>21407.341468923139</v>
      </c>
      <c r="J399">
        <v>452</v>
      </c>
      <c r="K399" t="s">
        <v>25</v>
      </c>
      <c r="L399" s="1">
        <v>45951</v>
      </c>
      <c r="M399" s="6">
        <f>WilsonData[[#This Row],[Discharge Date]]-WilsonData[[#This Row],[Date of Admission]]</f>
        <v>3</v>
      </c>
      <c r="N399" t="s">
        <v>22</v>
      </c>
    </row>
    <row r="400" spans="1:14" x14ac:dyDescent="0.35">
      <c r="A400" t="s">
        <v>1204</v>
      </c>
      <c r="B400">
        <v>49</v>
      </c>
      <c r="C400" t="str">
        <f>IF(WilsonData[[#This Row],[Age]]&lt;=18, "0-18", IF(WilsonData[[#This Row],[Age]]&lt;=35,"19-35", IF(WilsonData[[#This Row],[Age]]&lt;=50, "36-50",IF(WilsonData[[#This Row],[Age]]&lt;=65,"51-65", " 66+"))))</f>
        <v>36-50</v>
      </c>
      <c r="D400" t="s">
        <v>11</v>
      </c>
      <c r="E400" t="s">
        <v>33</v>
      </c>
      <c r="F400" t="s">
        <v>24</v>
      </c>
      <c r="G400" s="1">
        <v>46007</v>
      </c>
      <c r="H400" t="s">
        <v>36</v>
      </c>
      <c r="I400" s="2">
        <v>39073.938103135282</v>
      </c>
      <c r="J400">
        <v>180</v>
      </c>
      <c r="K400" t="s">
        <v>18</v>
      </c>
      <c r="L400" s="1">
        <v>46015</v>
      </c>
      <c r="M400" s="6">
        <f>WilsonData[[#This Row],[Discharge Date]]-WilsonData[[#This Row],[Date of Admission]]</f>
        <v>8</v>
      </c>
      <c r="N400" t="s">
        <v>27</v>
      </c>
    </row>
    <row r="401" spans="1:14" x14ac:dyDescent="0.35">
      <c r="A401" t="s">
        <v>1205</v>
      </c>
      <c r="B401">
        <v>82</v>
      </c>
      <c r="C401" t="str">
        <f>IF(WilsonData[[#This Row],[Age]]&lt;=18, "0-18", IF(WilsonData[[#This Row],[Age]]&lt;=35,"19-35", IF(WilsonData[[#This Row],[Age]]&lt;=50, "36-50",IF(WilsonData[[#This Row],[Age]]&lt;=65,"51-65", " 66+"))))</f>
        <v xml:space="preserve"> 66+</v>
      </c>
      <c r="D401" t="s">
        <v>11</v>
      </c>
      <c r="E401" t="s">
        <v>33</v>
      </c>
      <c r="F401" t="s">
        <v>28</v>
      </c>
      <c r="G401" s="1">
        <v>45860</v>
      </c>
      <c r="H401" t="s">
        <v>36</v>
      </c>
      <c r="I401" s="2">
        <v>24885.568490234109</v>
      </c>
      <c r="J401">
        <v>436</v>
      </c>
      <c r="K401" t="s">
        <v>18</v>
      </c>
      <c r="L401" s="1">
        <v>45872</v>
      </c>
      <c r="M401" s="6">
        <f>WilsonData[[#This Row],[Discharge Date]]-WilsonData[[#This Row],[Date of Admission]]</f>
        <v>12</v>
      </c>
      <c r="N401" t="s">
        <v>31</v>
      </c>
    </row>
    <row r="402" spans="1:14" x14ac:dyDescent="0.35">
      <c r="A402" t="s">
        <v>1206</v>
      </c>
      <c r="B402">
        <v>68</v>
      </c>
      <c r="C402" t="str">
        <f>IF(WilsonData[[#This Row],[Age]]&lt;=18, "0-18", IF(WilsonData[[#This Row],[Age]]&lt;=35,"19-35", IF(WilsonData[[#This Row],[Age]]&lt;=50, "36-50",IF(WilsonData[[#This Row],[Age]]&lt;=65,"51-65", " 66+"))))</f>
        <v xml:space="preserve"> 66+</v>
      </c>
      <c r="D402" t="s">
        <v>11</v>
      </c>
      <c r="E402" t="s">
        <v>12</v>
      </c>
      <c r="F402" t="s">
        <v>17</v>
      </c>
      <c r="G402" s="1">
        <v>45994</v>
      </c>
      <c r="H402" t="s">
        <v>36</v>
      </c>
      <c r="I402" s="2">
        <v>42408.270812285613</v>
      </c>
      <c r="J402">
        <v>357</v>
      </c>
      <c r="K402" t="s">
        <v>25</v>
      </c>
      <c r="L402" s="1">
        <v>46006</v>
      </c>
      <c r="M402" s="6">
        <f>WilsonData[[#This Row],[Discharge Date]]-WilsonData[[#This Row],[Date of Admission]]</f>
        <v>12</v>
      </c>
      <c r="N402" t="s">
        <v>31</v>
      </c>
    </row>
    <row r="403" spans="1:14" x14ac:dyDescent="0.35">
      <c r="A403" t="s">
        <v>1207</v>
      </c>
      <c r="B403">
        <v>64</v>
      </c>
      <c r="C403" t="str">
        <f>IF(WilsonData[[#This Row],[Age]]&lt;=18, "0-18", IF(WilsonData[[#This Row],[Age]]&lt;=35,"19-35", IF(WilsonData[[#This Row],[Age]]&lt;=50, "36-50",IF(WilsonData[[#This Row],[Age]]&lt;=65,"51-65", " 66+"))))</f>
        <v>51-65</v>
      </c>
      <c r="D403" t="s">
        <v>11</v>
      </c>
      <c r="E403" t="s">
        <v>33</v>
      </c>
      <c r="F403" t="s">
        <v>24</v>
      </c>
      <c r="G403" s="1">
        <v>45981</v>
      </c>
      <c r="H403" t="s">
        <v>39</v>
      </c>
      <c r="I403" s="2">
        <v>13074.056491834801</v>
      </c>
      <c r="J403">
        <v>293</v>
      </c>
      <c r="K403" t="s">
        <v>18</v>
      </c>
      <c r="L403" s="1">
        <v>45991</v>
      </c>
      <c r="M403" s="6">
        <f>WilsonData[[#This Row],[Discharge Date]]-WilsonData[[#This Row],[Date of Admission]]</f>
        <v>10</v>
      </c>
      <c r="N403" t="s">
        <v>22</v>
      </c>
    </row>
    <row r="404" spans="1:14" x14ac:dyDescent="0.35">
      <c r="A404" t="s">
        <v>1208</v>
      </c>
      <c r="B404">
        <v>79</v>
      </c>
      <c r="C404" t="str">
        <f>IF(WilsonData[[#This Row],[Age]]&lt;=18, "0-18", IF(WilsonData[[#This Row],[Age]]&lt;=35,"19-35", IF(WilsonData[[#This Row],[Age]]&lt;=50, "36-50",IF(WilsonData[[#This Row],[Age]]&lt;=65,"51-65", " 66+"))))</f>
        <v xml:space="preserve"> 66+</v>
      </c>
      <c r="D404" t="s">
        <v>11</v>
      </c>
      <c r="E404" t="s">
        <v>21</v>
      </c>
      <c r="F404" t="s">
        <v>13</v>
      </c>
      <c r="G404" s="1">
        <v>45851</v>
      </c>
      <c r="H404" t="s">
        <v>39</v>
      </c>
      <c r="I404" s="2">
        <v>43914.877994545917</v>
      </c>
      <c r="J404">
        <v>113</v>
      </c>
      <c r="K404" t="s">
        <v>18</v>
      </c>
      <c r="L404" s="1">
        <v>45865</v>
      </c>
      <c r="M404" s="6">
        <f>WilsonData[[#This Row],[Discharge Date]]-WilsonData[[#This Row],[Date of Admission]]</f>
        <v>14</v>
      </c>
      <c r="N404" t="s">
        <v>19</v>
      </c>
    </row>
    <row r="405" spans="1:14" x14ac:dyDescent="0.35">
      <c r="A405" t="s">
        <v>1209</v>
      </c>
      <c r="B405">
        <v>36</v>
      </c>
      <c r="C405" t="str">
        <f>IF(WilsonData[[#This Row],[Age]]&lt;=18, "0-18", IF(WilsonData[[#This Row],[Age]]&lt;=35,"19-35", IF(WilsonData[[#This Row],[Age]]&lt;=50, "36-50",IF(WilsonData[[#This Row],[Age]]&lt;=65,"51-65", " 66+"))))</f>
        <v>36-50</v>
      </c>
      <c r="D405" t="s">
        <v>11</v>
      </c>
      <c r="E405" t="s">
        <v>16</v>
      </c>
      <c r="F405" t="s">
        <v>24</v>
      </c>
      <c r="G405" s="1">
        <v>45838</v>
      </c>
      <c r="H405" t="s">
        <v>39</v>
      </c>
      <c r="I405" s="2">
        <v>41056.29222756235</v>
      </c>
      <c r="J405">
        <v>319</v>
      </c>
      <c r="K405" t="s">
        <v>25</v>
      </c>
      <c r="L405" s="1">
        <v>45851</v>
      </c>
      <c r="M405" s="6">
        <f>WilsonData[[#This Row],[Discharge Date]]-WilsonData[[#This Row],[Date of Admission]]</f>
        <v>13</v>
      </c>
      <c r="N405" t="s">
        <v>22</v>
      </c>
    </row>
    <row r="406" spans="1:14" x14ac:dyDescent="0.35">
      <c r="A406" t="s">
        <v>1210</v>
      </c>
      <c r="B406">
        <v>59</v>
      </c>
      <c r="C406" t="str">
        <f>IF(WilsonData[[#This Row],[Age]]&lt;=18, "0-18", IF(WilsonData[[#This Row],[Age]]&lt;=35,"19-35", IF(WilsonData[[#This Row],[Age]]&lt;=50, "36-50",IF(WilsonData[[#This Row],[Age]]&lt;=65,"51-65", " 66+"))))</f>
        <v>51-65</v>
      </c>
      <c r="D406" t="s">
        <v>20</v>
      </c>
      <c r="E406" t="s">
        <v>29</v>
      </c>
      <c r="F406" t="s">
        <v>17</v>
      </c>
      <c r="G406" s="1">
        <v>45968</v>
      </c>
      <c r="H406" t="s">
        <v>37</v>
      </c>
      <c r="I406" s="2">
        <v>6921.0203757044292</v>
      </c>
      <c r="J406">
        <v>179</v>
      </c>
      <c r="K406" t="s">
        <v>18</v>
      </c>
      <c r="L406" s="1">
        <v>45979</v>
      </c>
      <c r="M406" s="6">
        <f>WilsonData[[#This Row],[Discharge Date]]-WilsonData[[#This Row],[Date of Admission]]</f>
        <v>11</v>
      </c>
      <c r="N406" t="s">
        <v>27</v>
      </c>
    </row>
    <row r="407" spans="1:14" x14ac:dyDescent="0.35">
      <c r="A407" t="s">
        <v>1211</v>
      </c>
      <c r="B407">
        <v>85</v>
      </c>
      <c r="C407" t="str">
        <f>IF(WilsonData[[#This Row],[Age]]&lt;=18, "0-18", IF(WilsonData[[#This Row],[Age]]&lt;=35,"19-35", IF(WilsonData[[#This Row],[Age]]&lt;=50, "36-50",IF(WilsonData[[#This Row],[Age]]&lt;=65,"51-65", " 66+"))))</f>
        <v xml:space="preserve"> 66+</v>
      </c>
      <c r="D407" t="s">
        <v>11</v>
      </c>
      <c r="E407" t="s">
        <v>34</v>
      </c>
      <c r="F407" t="s">
        <v>24</v>
      </c>
      <c r="G407" s="1">
        <v>45673</v>
      </c>
      <c r="H407" t="s">
        <v>39</v>
      </c>
      <c r="I407" s="2">
        <v>18326.850650381581</v>
      </c>
      <c r="J407">
        <v>293</v>
      </c>
      <c r="K407" t="s">
        <v>25</v>
      </c>
      <c r="L407" s="1">
        <v>45678</v>
      </c>
      <c r="M407" s="6">
        <f>WilsonData[[#This Row],[Discharge Date]]-WilsonData[[#This Row],[Date of Admission]]</f>
        <v>5</v>
      </c>
      <c r="N407" t="s">
        <v>22</v>
      </c>
    </row>
    <row r="408" spans="1:14" x14ac:dyDescent="0.35">
      <c r="A408" t="s">
        <v>1212</v>
      </c>
      <c r="B408">
        <v>67</v>
      </c>
      <c r="C408" t="str">
        <f>IF(WilsonData[[#This Row],[Age]]&lt;=18, "0-18", IF(WilsonData[[#This Row],[Age]]&lt;=35,"19-35", IF(WilsonData[[#This Row],[Age]]&lt;=50, "36-50",IF(WilsonData[[#This Row],[Age]]&lt;=65,"51-65", " 66+"))))</f>
        <v xml:space="preserve"> 66+</v>
      </c>
      <c r="D408" t="s">
        <v>11</v>
      </c>
      <c r="E408" t="s">
        <v>21</v>
      </c>
      <c r="F408" t="s">
        <v>32</v>
      </c>
      <c r="G408" s="1">
        <v>45715</v>
      </c>
      <c r="H408" t="s">
        <v>39</v>
      </c>
      <c r="I408" s="2">
        <v>22740.130276558069</v>
      </c>
      <c r="J408">
        <v>487</v>
      </c>
      <c r="K408" t="s">
        <v>18</v>
      </c>
      <c r="L408" s="1">
        <v>45720</v>
      </c>
      <c r="M408" s="6">
        <f>WilsonData[[#This Row],[Discharge Date]]-WilsonData[[#This Row],[Date of Admission]]</f>
        <v>5</v>
      </c>
      <c r="N408" t="s">
        <v>31</v>
      </c>
    </row>
    <row r="409" spans="1:14" x14ac:dyDescent="0.35">
      <c r="A409" t="s">
        <v>1213</v>
      </c>
      <c r="B409">
        <v>58</v>
      </c>
      <c r="C409" t="str">
        <f>IF(WilsonData[[#This Row],[Age]]&lt;=18, "0-18", IF(WilsonData[[#This Row],[Age]]&lt;=35,"19-35", IF(WilsonData[[#This Row],[Age]]&lt;=50, "36-50",IF(WilsonData[[#This Row],[Age]]&lt;=65,"51-65", " 66+"))))</f>
        <v>51-65</v>
      </c>
      <c r="D409" t="s">
        <v>11</v>
      </c>
      <c r="E409" t="s">
        <v>23</v>
      </c>
      <c r="F409" t="s">
        <v>32</v>
      </c>
      <c r="G409" s="1">
        <v>45864</v>
      </c>
      <c r="H409" t="s">
        <v>37</v>
      </c>
      <c r="I409" s="2">
        <v>44972.17289651301</v>
      </c>
      <c r="J409">
        <v>202</v>
      </c>
      <c r="K409" t="s">
        <v>25</v>
      </c>
      <c r="L409" s="1">
        <v>45869</v>
      </c>
      <c r="M409" s="6">
        <f>WilsonData[[#This Row],[Discharge Date]]-WilsonData[[#This Row],[Date of Admission]]</f>
        <v>5</v>
      </c>
      <c r="N409" t="s">
        <v>19</v>
      </c>
    </row>
    <row r="410" spans="1:14" x14ac:dyDescent="0.35">
      <c r="A410" t="s">
        <v>1214</v>
      </c>
      <c r="B410">
        <v>66</v>
      </c>
      <c r="C410" t="str">
        <f>IF(WilsonData[[#This Row],[Age]]&lt;=18, "0-18", IF(WilsonData[[#This Row],[Age]]&lt;=35,"19-35", IF(WilsonData[[#This Row],[Age]]&lt;=50, "36-50",IF(WilsonData[[#This Row],[Age]]&lt;=65,"51-65", " 66+"))))</f>
        <v xml:space="preserve"> 66+</v>
      </c>
      <c r="D410" t="s">
        <v>20</v>
      </c>
      <c r="E410" t="s">
        <v>26</v>
      </c>
      <c r="F410" t="s">
        <v>24</v>
      </c>
      <c r="G410" s="1">
        <v>46004</v>
      </c>
      <c r="H410" t="s">
        <v>39</v>
      </c>
      <c r="I410" s="2">
        <v>34254.69091297358</v>
      </c>
      <c r="J410">
        <v>411</v>
      </c>
      <c r="K410" t="s">
        <v>18</v>
      </c>
      <c r="L410" s="1">
        <v>46006</v>
      </c>
      <c r="M410" s="6">
        <f>WilsonData[[#This Row],[Discharge Date]]-WilsonData[[#This Row],[Date of Admission]]</f>
        <v>2</v>
      </c>
      <c r="N410" t="s">
        <v>15</v>
      </c>
    </row>
    <row r="411" spans="1:14" x14ac:dyDescent="0.35">
      <c r="A411" t="s">
        <v>1215</v>
      </c>
      <c r="B411">
        <v>62</v>
      </c>
      <c r="C411" t="str">
        <f>IF(WilsonData[[#This Row],[Age]]&lt;=18, "0-18", IF(WilsonData[[#This Row],[Age]]&lt;=35,"19-35", IF(WilsonData[[#This Row],[Age]]&lt;=50, "36-50",IF(WilsonData[[#This Row],[Age]]&lt;=65,"51-65", " 66+"))))</f>
        <v>51-65</v>
      </c>
      <c r="D411" t="s">
        <v>20</v>
      </c>
      <c r="E411" t="s">
        <v>21</v>
      </c>
      <c r="F411" t="s">
        <v>28</v>
      </c>
      <c r="G411" s="1">
        <v>45977</v>
      </c>
      <c r="H411" t="s">
        <v>36</v>
      </c>
      <c r="I411" s="2">
        <v>3182.7095638784249</v>
      </c>
      <c r="J411">
        <v>150</v>
      </c>
      <c r="K411" t="s">
        <v>25</v>
      </c>
      <c r="L411" s="1">
        <v>45985</v>
      </c>
      <c r="M411" s="6">
        <f>WilsonData[[#This Row],[Discharge Date]]-WilsonData[[#This Row],[Date of Admission]]</f>
        <v>8</v>
      </c>
      <c r="N411" t="s">
        <v>27</v>
      </c>
    </row>
    <row r="412" spans="1:14" x14ac:dyDescent="0.35">
      <c r="A412" t="s">
        <v>1216</v>
      </c>
      <c r="B412">
        <v>53</v>
      </c>
      <c r="C412" t="str">
        <f>IF(WilsonData[[#This Row],[Age]]&lt;=18, "0-18", IF(WilsonData[[#This Row],[Age]]&lt;=35,"19-35", IF(WilsonData[[#This Row],[Age]]&lt;=50, "36-50",IF(WilsonData[[#This Row],[Age]]&lt;=65,"51-65", " 66+"))))</f>
        <v>51-65</v>
      </c>
      <c r="D412" t="s">
        <v>11</v>
      </c>
      <c r="E412" t="s">
        <v>21</v>
      </c>
      <c r="F412" t="s">
        <v>32</v>
      </c>
      <c r="G412" s="1">
        <v>45680</v>
      </c>
      <c r="H412" t="s">
        <v>37</v>
      </c>
      <c r="I412" s="2">
        <v>14210.81732100748</v>
      </c>
      <c r="J412">
        <v>409</v>
      </c>
      <c r="K412" t="s">
        <v>18</v>
      </c>
      <c r="L412" s="1">
        <v>45689</v>
      </c>
      <c r="M412" s="6">
        <f>WilsonData[[#This Row],[Discharge Date]]-WilsonData[[#This Row],[Date of Admission]]</f>
        <v>9</v>
      </c>
      <c r="N412" t="s">
        <v>19</v>
      </c>
    </row>
    <row r="413" spans="1:14" x14ac:dyDescent="0.35">
      <c r="A413" t="s">
        <v>1217</v>
      </c>
      <c r="B413">
        <v>37</v>
      </c>
      <c r="C413" t="str">
        <f>IF(WilsonData[[#This Row],[Age]]&lt;=18, "0-18", IF(WilsonData[[#This Row],[Age]]&lt;=35,"19-35", IF(WilsonData[[#This Row],[Age]]&lt;=50, "36-50",IF(WilsonData[[#This Row],[Age]]&lt;=65,"51-65", " 66+"))))</f>
        <v>36-50</v>
      </c>
      <c r="D413" t="s">
        <v>20</v>
      </c>
      <c r="E413" t="s">
        <v>26</v>
      </c>
      <c r="F413" t="s">
        <v>17</v>
      </c>
      <c r="G413" s="1">
        <v>45693</v>
      </c>
      <c r="H413" t="s">
        <v>36</v>
      </c>
      <c r="I413" s="2">
        <v>19187.916437277308</v>
      </c>
      <c r="J413">
        <v>321</v>
      </c>
      <c r="K413" t="s">
        <v>18</v>
      </c>
      <c r="L413" s="1">
        <v>45696</v>
      </c>
      <c r="M413" s="6">
        <f>WilsonData[[#This Row],[Discharge Date]]-WilsonData[[#This Row],[Date of Admission]]</f>
        <v>3</v>
      </c>
      <c r="N413" t="s">
        <v>31</v>
      </c>
    </row>
    <row r="414" spans="1:14" x14ac:dyDescent="0.35">
      <c r="A414" t="s">
        <v>1218</v>
      </c>
      <c r="B414">
        <v>76</v>
      </c>
      <c r="C414" t="str">
        <f>IF(WilsonData[[#This Row],[Age]]&lt;=18, "0-18", IF(WilsonData[[#This Row],[Age]]&lt;=35,"19-35", IF(WilsonData[[#This Row],[Age]]&lt;=50, "36-50",IF(WilsonData[[#This Row],[Age]]&lt;=65,"51-65", " 66+"))))</f>
        <v xml:space="preserve"> 66+</v>
      </c>
      <c r="D414" t="s">
        <v>20</v>
      </c>
      <c r="E414" t="s">
        <v>34</v>
      </c>
      <c r="F414" t="s">
        <v>30</v>
      </c>
      <c r="G414" s="1">
        <v>45800</v>
      </c>
      <c r="H414" t="s">
        <v>39</v>
      </c>
      <c r="I414" s="2">
        <v>45996.556668530611</v>
      </c>
      <c r="J414">
        <v>221</v>
      </c>
      <c r="K414" t="s">
        <v>25</v>
      </c>
      <c r="L414" s="1">
        <v>45808</v>
      </c>
      <c r="M414" s="6">
        <f>WilsonData[[#This Row],[Discharge Date]]-WilsonData[[#This Row],[Date of Admission]]</f>
        <v>8</v>
      </c>
      <c r="N414" t="s">
        <v>19</v>
      </c>
    </row>
    <row r="415" spans="1:14" x14ac:dyDescent="0.35">
      <c r="A415" t="s">
        <v>1219</v>
      </c>
      <c r="B415">
        <v>73</v>
      </c>
      <c r="C415" t="str">
        <f>IF(WilsonData[[#This Row],[Age]]&lt;=18, "0-18", IF(WilsonData[[#This Row],[Age]]&lt;=35,"19-35", IF(WilsonData[[#This Row],[Age]]&lt;=50, "36-50",IF(WilsonData[[#This Row],[Age]]&lt;=65,"51-65", " 66+"))))</f>
        <v xml:space="preserve"> 66+</v>
      </c>
      <c r="D415" t="s">
        <v>11</v>
      </c>
      <c r="E415" t="s">
        <v>16</v>
      </c>
      <c r="F415" t="s">
        <v>28</v>
      </c>
      <c r="G415" s="1">
        <v>45913</v>
      </c>
      <c r="H415" t="s">
        <v>36</v>
      </c>
      <c r="I415" s="2">
        <v>49464.130858971068</v>
      </c>
      <c r="J415">
        <v>410</v>
      </c>
      <c r="K415" t="s">
        <v>25</v>
      </c>
      <c r="L415" s="1">
        <v>45915</v>
      </c>
      <c r="M415" s="6">
        <f>WilsonData[[#This Row],[Discharge Date]]-WilsonData[[#This Row],[Date of Admission]]</f>
        <v>2</v>
      </c>
      <c r="N415" t="s">
        <v>22</v>
      </c>
    </row>
    <row r="416" spans="1:14" x14ac:dyDescent="0.35">
      <c r="A416" t="s">
        <v>1220</v>
      </c>
      <c r="B416">
        <v>20</v>
      </c>
      <c r="C416" t="str">
        <f>IF(WilsonData[[#This Row],[Age]]&lt;=18, "0-18", IF(WilsonData[[#This Row],[Age]]&lt;=35,"19-35", IF(WilsonData[[#This Row],[Age]]&lt;=50, "36-50",IF(WilsonData[[#This Row],[Age]]&lt;=65,"51-65", " 66+"))))</f>
        <v>19-35</v>
      </c>
      <c r="D416" t="s">
        <v>20</v>
      </c>
      <c r="E416" t="s">
        <v>16</v>
      </c>
      <c r="F416" t="s">
        <v>13</v>
      </c>
      <c r="G416" s="1">
        <v>45918</v>
      </c>
      <c r="H416" t="s">
        <v>36</v>
      </c>
      <c r="I416" s="2">
        <v>34548.142722503311</v>
      </c>
      <c r="J416">
        <v>194</v>
      </c>
      <c r="K416" t="s">
        <v>25</v>
      </c>
      <c r="L416" s="1">
        <v>45926</v>
      </c>
      <c r="M416" s="6">
        <f>WilsonData[[#This Row],[Discharge Date]]-WilsonData[[#This Row],[Date of Admission]]</f>
        <v>8</v>
      </c>
      <c r="N416" t="s">
        <v>27</v>
      </c>
    </row>
    <row r="417" spans="1:14" x14ac:dyDescent="0.35">
      <c r="A417" t="s">
        <v>1221</v>
      </c>
      <c r="B417">
        <v>24</v>
      </c>
      <c r="C417" t="str">
        <f>IF(WilsonData[[#This Row],[Age]]&lt;=18, "0-18", IF(WilsonData[[#This Row],[Age]]&lt;=35,"19-35", IF(WilsonData[[#This Row],[Age]]&lt;=50, "36-50",IF(WilsonData[[#This Row],[Age]]&lt;=65,"51-65", " 66+"))))</f>
        <v>19-35</v>
      </c>
      <c r="D417" t="s">
        <v>11</v>
      </c>
      <c r="E417" t="s">
        <v>12</v>
      </c>
      <c r="F417" t="s">
        <v>30</v>
      </c>
      <c r="G417" s="1">
        <v>45887</v>
      </c>
      <c r="H417" t="s">
        <v>36</v>
      </c>
      <c r="I417" s="2">
        <v>8985.0292546301807</v>
      </c>
      <c r="J417">
        <v>359</v>
      </c>
      <c r="K417" t="s">
        <v>18</v>
      </c>
      <c r="L417" s="1">
        <v>45894</v>
      </c>
      <c r="M417" s="6">
        <f>WilsonData[[#This Row],[Discharge Date]]-WilsonData[[#This Row],[Date of Admission]]</f>
        <v>7</v>
      </c>
      <c r="N417" t="s">
        <v>19</v>
      </c>
    </row>
    <row r="418" spans="1:14" x14ac:dyDescent="0.35">
      <c r="A418" t="s">
        <v>1222</v>
      </c>
      <c r="B418">
        <v>53</v>
      </c>
      <c r="C418" t="str">
        <f>IF(WilsonData[[#This Row],[Age]]&lt;=18, "0-18", IF(WilsonData[[#This Row],[Age]]&lt;=35,"19-35", IF(WilsonData[[#This Row],[Age]]&lt;=50, "36-50",IF(WilsonData[[#This Row],[Age]]&lt;=65,"51-65", " 66+"))))</f>
        <v>51-65</v>
      </c>
      <c r="D418" t="s">
        <v>11</v>
      </c>
      <c r="E418" t="s">
        <v>12</v>
      </c>
      <c r="F418" t="s">
        <v>24</v>
      </c>
      <c r="G418" s="1">
        <v>45840</v>
      </c>
      <c r="H418" t="s">
        <v>39</v>
      </c>
      <c r="I418" s="2">
        <v>44103.391297167829</v>
      </c>
      <c r="J418">
        <v>430</v>
      </c>
      <c r="K418" t="s">
        <v>25</v>
      </c>
      <c r="L418" s="1">
        <v>45848</v>
      </c>
      <c r="M418" s="6">
        <f>WilsonData[[#This Row],[Discharge Date]]-WilsonData[[#This Row],[Date of Admission]]</f>
        <v>8</v>
      </c>
      <c r="N418" t="s">
        <v>27</v>
      </c>
    </row>
    <row r="419" spans="1:14" x14ac:dyDescent="0.35">
      <c r="A419" t="s">
        <v>1223</v>
      </c>
      <c r="B419">
        <v>28</v>
      </c>
      <c r="C419" t="str">
        <f>IF(WilsonData[[#This Row],[Age]]&lt;=18, "0-18", IF(WilsonData[[#This Row],[Age]]&lt;=35,"19-35", IF(WilsonData[[#This Row],[Age]]&lt;=50, "36-50",IF(WilsonData[[#This Row],[Age]]&lt;=65,"51-65", " 66+"))))</f>
        <v>19-35</v>
      </c>
      <c r="D419" t="s">
        <v>20</v>
      </c>
      <c r="E419" t="s">
        <v>34</v>
      </c>
      <c r="F419" t="s">
        <v>30</v>
      </c>
      <c r="G419" s="1">
        <v>45722</v>
      </c>
      <c r="H419" t="s">
        <v>37</v>
      </c>
      <c r="I419" s="2">
        <v>43367.122493264913</v>
      </c>
      <c r="J419">
        <v>201</v>
      </c>
      <c r="K419" t="s">
        <v>25</v>
      </c>
      <c r="L419" s="1">
        <v>45726</v>
      </c>
      <c r="M419" s="6">
        <f>WilsonData[[#This Row],[Discharge Date]]-WilsonData[[#This Row],[Date of Admission]]</f>
        <v>4</v>
      </c>
      <c r="N419" t="s">
        <v>31</v>
      </c>
    </row>
    <row r="420" spans="1:14" x14ac:dyDescent="0.35">
      <c r="A420" t="s">
        <v>1224</v>
      </c>
      <c r="B420">
        <v>69</v>
      </c>
      <c r="C420" t="str">
        <f>IF(WilsonData[[#This Row],[Age]]&lt;=18, "0-18", IF(WilsonData[[#This Row],[Age]]&lt;=35,"19-35", IF(WilsonData[[#This Row],[Age]]&lt;=50, "36-50",IF(WilsonData[[#This Row],[Age]]&lt;=65,"51-65", " 66+"))))</f>
        <v xml:space="preserve"> 66+</v>
      </c>
      <c r="D420" t="s">
        <v>20</v>
      </c>
      <c r="E420" t="s">
        <v>12</v>
      </c>
      <c r="F420" t="s">
        <v>24</v>
      </c>
      <c r="G420" s="1">
        <v>45936</v>
      </c>
      <c r="H420" t="s">
        <v>36</v>
      </c>
      <c r="I420" s="2">
        <v>11610.636907342951</v>
      </c>
      <c r="J420">
        <v>114</v>
      </c>
      <c r="K420" t="s">
        <v>18</v>
      </c>
      <c r="L420" s="1">
        <v>45944</v>
      </c>
      <c r="M420" s="6">
        <f>WilsonData[[#This Row],[Discharge Date]]-WilsonData[[#This Row],[Date of Admission]]</f>
        <v>8</v>
      </c>
      <c r="N420" t="s">
        <v>22</v>
      </c>
    </row>
    <row r="421" spans="1:14" x14ac:dyDescent="0.35">
      <c r="A421" t="s">
        <v>1225</v>
      </c>
      <c r="B421">
        <v>29</v>
      </c>
      <c r="C421" t="str">
        <f>IF(WilsonData[[#This Row],[Age]]&lt;=18, "0-18", IF(WilsonData[[#This Row],[Age]]&lt;=35,"19-35", IF(WilsonData[[#This Row],[Age]]&lt;=50, "36-50",IF(WilsonData[[#This Row],[Age]]&lt;=65,"51-65", " 66+"))))</f>
        <v>19-35</v>
      </c>
      <c r="D421" t="s">
        <v>20</v>
      </c>
      <c r="E421" t="s">
        <v>26</v>
      </c>
      <c r="F421" t="s">
        <v>17</v>
      </c>
      <c r="G421" s="1">
        <v>45977</v>
      </c>
      <c r="H421" t="s">
        <v>37</v>
      </c>
      <c r="I421" s="2">
        <v>22117.356454379391</v>
      </c>
      <c r="J421">
        <v>241</v>
      </c>
      <c r="K421" t="s">
        <v>18</v>
      </c>
      <c r="L421" s="1">
        <v>45987</v>
      </c>
      <c r="M421" s="6">
        <f>WilsonData[[#This Row],[Discharge Date]]-WilsonData[[#This Row],[Date of Admission]]</f>
        <v>10</v>
      </c>
      <c r="N421" t="s">
        <v>15</v>
      </c>
    </row>
    <row r="422" spans="1:14" x14ac:dyDescent="0.35">
      <c r="A422" t="s">
        <v>1226</v>
      </c>
      <c r="B422">
        <v>75</v>
      </c>
      <c r="C422" t="str">
        <f>IF(WilsonData[[#This Row],[Age]]&lt;=18, "0-18", IF(WilsonData[[#This Row],[Age]]&lt;=35,"19-35", IF(WilsonData[[#This Row],[Age]]&lt;=50, "36-50",IF(WilsonData[[#This Row],[Age]]&lt;=65,"51-65", " 66+"))))</f>
        <v xml:space="preserve"> 66+</v>
      </c>
      <c r="D422" t="s">
        <v>20</v>
      </c>
      <c r="E422" t="s">
        <v>23</v>
      </c>
      <c r="F422" t="s">
        <v>24</v>
      </c>
      <c r="G422" s="1">
        <v>45682</v>
      </c>
      <c r="H422" t="s">
        <v>37</v>
      </c>
      <c r="I422" s="2">
        <v>38396.924370638902</v>
      </c>
      <c r="J422">
        <v>228</v>
      </c>
      <c r="K422" t="s">
        <v>18</v>
      </c>
      <c r="L422" s="1">
        <v>45690</v>
      </c>
      <c r="M422" s="6">
        <f>WilsonData[[#This Row],[Discharge Date]]-WilsonData[[#This Row],[Date of Admission]]</f>
        <v>8</v>
      </c>
      <c r="N422" t="s">
        <v>22</v>
      </c>
    </row>
    <row r="423" spans="1:14" x14ac:dyDescent="0.35">
      <c r="A423" t="s">
        <v>1227</v>
      </c>
      <c r="B423">
        <v>25</v>
      </c>
      <c r="C423" t="str">
        <f>IF(WilsonData[[#This Row],[Age]]&lt;=18, "0-18", IF(WilsonData[[#This Row],[Age]]&lt;=35,"19-35", IF(WilsonData[[#This Row],[Age]]&lt;=50, "36-50",IF(WilsonData[[#This Row],[Age]]&lt;=65,"51-65", " 66+"))))</f>
        <v>19-35</v>
      </c>
      <c r="D423" t="s">
        <v>20</v>
      </c>
      <c r="E423" t="s">
        <v>26</v>
      </c>
      <c r="F423" t="s">
        <v>28</v>
      </c>
      <c r="G423" s="1">
        <v>45791</v>
      </c>
      <c r="H423" t="s">
        <v>36</v>
      </c>
      <c r="I423" s="2">
        <v>36218.558928078528</v>
      </c>
      <c r="J423">
        <v>334</v>
      </c>
      <c r="K423" t="s">
        <v>25</v>
      </c>
      <c r="L423" s="1">
        <v>45794</v>
      </c>
      <c r="M423" s="6">
        <f>WilsonData[[#This Row],[Discharge Date]]-WilsonData[[#This Row],[Date of Admission]]</f>
        <v>3</v>
      </c>
      <c r="N423" t="s">
        <v>15</v>
      </c>
    </row>
    <row r="424" spans="1:14" x14ac:dyDescent="0.35">
      <c r="A424" t="s">
        <v>1228</v>
      </c>
      <c r="B424">
        <v>65</v>
      </c>
      <c r="C424" t="str">
        <f>IF(WilsonData[[#This Row],[Age]]&lt;=18, "0-18", IF(WilsonData[[#This Row],[Age]]&lt;=35,"19-35", IF(WilsonData[[#This Row],[Age]]&lt;=50, "36-50",IF(WilsonData[[#This Row],[Age]]&lt;=65,"51-65", " 66+"))))</f>
        <v>51-65</v>
      </c>
      <c r="D424" t="s">
        <v>11</v>
      </c>
      <c r="E424" t="s">
        <v>21</v>
      </c>
      <c r="F424" t="s">
        <v>32</v>
      </c>
      <c r="G424" s="1">
        <v>45663</v>
      </c>
      <c r="H424" t="s">
        <v>37</v>
      </c>
      <c r="I424" s="2">
        <v>11230.496505544081</v>
      </c>
      <c r="J424">
        <v>150</v>
      </c>
      <c r="K424" t="s">
        <v>18</v>
      </c>
      <c r="L424" s="1">
        <v>45677</v>
      </c>
      <c r="M424" s="6">
        <f>WilsonData[[#This Row],[Discharge Date]]-WilsonData[[#This Row],[Date of Admission]]</f>
        <v>14</v>
      </c>
      <c r="N424" t="s">
        <v>31</v>
      </c>
    </row>
    <row r="425" spans="1:14" x14ac:dyDescent="0.35">
      <c r="A425" t="s">
        <v>1229</v>
      </c>
      <c r="B425">
        <v>60</v>
      </c>
      <c r="C425" t="str">
        <f>IF(WilsonData[[#This Row],[Age]]&lt;=18, "0-18", IF(WilsonData[[#This Row],[Age]]&lt;=35,"19-35", IF(WilsonData[[#This Row],[Age]]&lt;=50, "36-50",IF(WilsonData[[#This Row],[Age]]&lt;=65,"51-65", " 66+"))))</f>
        <v>51-65</v>
      </c>
      <c r="D425" t="s">
        <v>20</v>
      </c>
      <c r="E425" t="s">
        <v>23</v>
      </c>
      <c r="F425" t="s">
        <v>17</v>
      </c>
      <c r="G425" s="1">
        <v>45681</v>
      </c>
      <c r="H425" t="s">
        <v>37</v>
      </c>
      <c r="I425" s="2">
        <v>13848.439557141481</v>
      </c>
      <c r="J425">
        <v>351</v>
      </c>
      <c r="K425" t="s">
        <v>25</v>
      </c>
      <c r="L425" s="1">
        <v>45684</v>
      </c>
      <c r="M425" s="6">
        <f>WilsonData[[#This Row],[Discharge Date]]-WilsonData[[#This Row],[Date of Admission]]</f>
        <v>3</v>
      </c>
      <c r="N425" t="s">
        <v>15</v>
      </c>
    </row>
    <row r="426" spans="1:14" x14ac:dyDescent="0.35">
      <c r="A426" t="s">
        <v>1230</v>
      </c>
      <c r="B426">
        <v>39</v>
      </c>
      <c r="C426" t="str">
        <f>IF(WilsonData[[#This Row],[Age]]&lt;=18, "0-18", IF(WilsonData[[#This Row],[Age]]&lt;=35,"19-35", IF(WilsonData[[#This Row],[Age]]&lt;=50, "36-50",IF(WilsonData[[#This Row],[Age]]&lt;=65,"51-65", " 66+"))))</f>
        <v>36-50</v>
      </c>
      <c r="D426" t="s">
        <v>20</v>
      </c>
      <c r="E426" t="s">
        <v>33</v>
      </c>
      <c r="F426" t="s">
        <v>13</v>
      </c>
      <c r="G426" s="1">
        <v>45715</v>
      </c>
      <c r="H426" t="s">
        <v>36</v>
      </c>
      <c r="I426" s="2">
        <v>28189.51024160485</v>
      </c>
      <c r="J426">
        <v>432</v>
      </c>
      <c r="K426" t="s">
        <v>18</v>
      </c>
      <c r="L426" s="1">
        <v>45722</v>
      </c>
      <c r="M426" s="6">
        <f>WilsonData[[#This Row],[Discharge Date]]-WilsonData[[#This Row],[Date of Admission]]</f>
        <v>7</v>
      </c>
      <c r="N426" t="s">
        <v>15</v>
      </c>
    </row>
    <row r="427" spans="1:14" x14ac:dyDescent="0.35">
      <c r="A427" t="s">
        <v>1231</v>
      </c>
      <c r="B427">
        <v>64</v>
      </c>
      <c r="C427" t="str">
        <f>IF(WilsonData[[#This Row],[Age]]&lt;=18, "0-18", IF(WilsonData[[#This Row],[Age]]&lt;=35,"19-35", IF(WilsonData[[#This Row],[Age]]&lt;=50, "36-50",IF(WilsonData[[#This Row],[Age]]&lt;=65,"51-65", " 66+"))))</f>
        <v>51-65</v>
      </c>
      <c r="D427" t="s">
        <v>11</v>
      </c>
      <c r="E427" t="s">
        <v>21</v>
      </c>
      <c r="F427" t="s">
        <v>17</v>
      </c>
      <c r="G427" s="1">
        <v>45785</v>
      </c>
      <c r="H427" t="s">
        <v>39</v>
      </c>
      <c r="I427" s="2">
        <v>12320.889095153711</v>
      </c>
      <c r="J427">
        <v>229</v>
      </c>
      <c r="K427" t="s">
        <v>25</v>
      </c>
      <c r="L427" s="1">
        <v>45799</v>
      </c>
      <c r="M427" s="6">
        <f>WilsonData[[#This Row],[Discharge Date]]-WilsonData[[#This Row],[Date of Admission]]</f>
        <v>14</v>
      </c>
      <c r="N427" t="s">
        <v>19</v>
      </c>
    </row>
    <row r="428" spans="1:14" x14ac:dyDescent="0.35">
      <c r="A428" t="s">
        <v>1232</v>
      </c>
      <c r="B428">
        <v>69</v>
      </c>
      <c r="C428" t="str">
        <f>IF(WilsonData[[#This Row],[Age]]&lt;=18, "0-18", IF(WilsonData[[#This Row],[Age]]&lt;=35,"19-35", IF(WilsonData[[#This Row],[Age]]&lt;=50, "36-50",IF(WilsonData[[#This Row],[Age]]&lt;=65,"51-65", " 66+"))))</f>
        <v xml:space="preserve"> 66+</v>
      </c>
      <c r="D428" t="s">
        <v>11</v>
      </c>
      <c r="E428" t="s">
        <v>34</v>
      </c>
      <c r="F428" t="s">
        <v>13</v>
      </c>
      <c r="G428" s="1">
        <v>45824</v>
      </c>
      <c r="H428" t="s">
        <v>36</v>
      </c>
      <c r="I428" s="2">
        <v>979.26284857347082</v>
      </c>
      <c r="J428">
        <v>431</v>
      </c>
      <c r="K428" t="s">
        <v>25</v>
      </c>
      <c r="L428" s="1">
        <v>45828</v>
      </c>
      <c r="M428" s="6">
        <f>WilsonData[[#This Row],[Discharge Date]]-WilsonData[[#This Row],[Date of Admission]]</f>
        <v>4</v>
      </c>
      <c r="N428" t="s">
        <v>31</v>
      </c>
    </row>
    <row r="429" spans="1:14" x14ac:dyDescent="0.35">
      <c r="A429" t="s">
        <v>1233</v>
      </c>
      <c r="B429">
        <v>62</v>
      </c>
      <c r="C429" t="str">
        <f>IF(WilsonData[[#This Row],[Age]]&lt;=18, "0-18", IF(WilsonData[[#This Row],[Age]]&lt;=35,"19-35", IF(WilsonData[[#This Row],[Age]]&lt;=50, "36-50",IF(WilsonData[[#This Row],[Age]]&lt;=65,"51-65", " 66+"))))</f>
        <v>51-65</v>
      </c>
      <c r="D429" t="s">
        <v>20</v>
      </c>
      <c r="E429" t="s">
        <v>29</v>
      </c>
      <c r="F429" t="s">
        <v>28</v>
      </c>
      <c r="G429" s="1">
        <v>45957</v>
      </c>
      <c r="H429" t="s">
        <v>38</v>
      </c>
      <c r="I429" s="2">
        <v>36169.217080605224</v>
      </c>
      <c r="J429">
        <v>233</v>
      </c>
      <c r="K429" t="s">
        <v>25</v>
      </c>
      <c r="L429" s="1">
        <v>45959</v>
      </c>
      <c r="M429" s="6">
        <f>WilsonData[[#This Row],[Discharge Date]]-WilsonData[[#This Row],[Date of Admission]]</f>
        <v>2</v>
      </c>
      <c r="N429" t="s">
        <v>31</v>
      </c>
    </row>
    <row r="430" spans="1:14" x14ac:dyDescent="0.35">
      <c r="A430" t="s">
        <v>1234</v>
      </c>
      <c r="B430">
        <v>84</v>
      </c>
      <c r="C430" t="str">
        <f>IF(WilsonData[[#This Row],[Age]]&lt;=18, "0-18", IF(WilsonData[[#This Row],[Age]]&lt;=35,"19-35", IF(WilsonData[[#This Row],[Age]]&lt;=50, "36-50",IF(WilsonData[[#This Row],[Age]]&lt;=65,"51-65", " 66+"))))</f>
        <v xml:space="preserve"> 66+</v>
      </c>
      <c r="D430" t="s">
        <v>11</v>
      </c>
      <c r="E430" t="s">
        <v>34</v>
      </c>
      <c r="F430" t="s">
        <v>13</v>
      </c>
      <c r="G430" s="1">
        <v>45680</v>
      </c>
      <c r="H430" t="s">
        <v>37</v>
      </c>
      <c r="I430" s="2">
        <v>45256.486445423783</v>
      </c>
      <c r="J430">
        <v>335</v>
      </c>
      <c r="K430" t="s">
        <v>18</v>
      </c>
      <c r="L430" s="1">
        <v>45684</v>
      </c>
      <c r="M430" s="6">
        <f>WilsonData[[#This Row],[Discharge Date]]-WilsonData[[#This Row],[Date of Admission]]</f>
        <v>4</v>
      </c>
      <c r="N430" t="s">
        <v>22</v>
      </c>
    </row>
    <row r="431" spans="1:14" x14ac:dyDescent="0.35">
      <c r="A431" t="s">
        <v>1235</v>
      </c>
      <c r="B431">
        <v>26</v>
      </c>
      <c r="C431" t="str">
        <f>IF(WilsonData[[#This Row],[Age]]&lt;=18, "0-18", IF(WilsonData[[#This Row],[Age]]&lt;=35,"19-35", IF(WilsonData[[#This Row],[Age]]&lt;=50, "36-50",IF(WilsonData[[#This Row],[Age]]&lt;=65,"51-65", " 66+"))))</f>
        <v>19-35</v>
      </c>
      <c r="D431" t="s">
        <v>11</v>
      </c>
      <c r="E431" t="s">
        <v>23</v>
      </c>
      <c r="F431" t="s">
        <v>17</v>
      </c>
      <c r="G431" s="1">
        <v>45961</v>
      </c>
      <c r="H431" t="s">
        <v>37</v>
      </c>
      <c r="I431" s="2">
        <v>8122.839903504102</v>
      </c>
      <c r="J431">
        <v>425</v>
      </c>
      <c r="K431" t="s">
        <v>18</v>
      </c>
      <c r="L431" s="1">
        <v>45964</v>
      </c>
      <c r="M431" s="6">
        <f>WilsonData[[#This Row],[Discharge Date]]-WilsonData[[#This Row],[Date of Admission]]</f>
        <v>3</v>
      </c>
      <c r="N431" t="s">
        <v>19</v>
      </c>
    </row>
    <row r="432" spans="1:14" x14ac:dyDescent="0.35">
      <c r="A432" t="s">
        <v>1236</v>
      </c>
      <c r="B432">
        <v>52</v>
      </c>
      <c r="C432" t="str">
        <f>IF(WilsonData[[#This Row],[Age]]&lt;=18, "0-18", IF(WilsonData[[#This Row],[Age]]&lt;=35,"19-35", IF(WilsonData[[#This Row],[Age]]&lt;=50, "36-50",IF(WilsonData[[#This Row],[Age]]&lt;=65,"51-65", " 66+"))))</f>
        <v>51-65</v>
      </c>
      <c r="D432" t="s">
        <v>20</v>
      </c>
      <c r="E432" t="s">
        <v>12</v>
      </c>
      <c r="F432" t="s">
        <v>24</v>
      </c>
      <c r="G432" s="1">
        <v>45900</v>
      </c>
      <c r="H432" t="s">
        <v>39</v>
      </c>
      <c r="I432" s="2">
        <v>2725.3809771642909</v>
      </c>
      <c r="J432">
        <v>299</v>
      </c>
      <c r="K432" t="s">
        <v>25</v>
      </c>
      <c r="L432" s="1">
        <v>45907</v>
      </c>
      <c r="M432" s="6">
        <f>WilsonData[[#This Row],[Discharge Date]]-WilsonData[[#This Row],[Date of Admission]]</f>
        <v>7</v>
      </c>
      <c r="N432" t="s">
        <v>15</v>
      </c>
    </row>
    <row r="433" spans="1:14" x14ac:dyDescent="0.35">
      <c r="A433" t="s">
        <v>1237</v>
      </c>
      <c r="B433">
        <v>35</v>
      </c>
      <c r="C433" t="str">
        <f>IF(WilsonData[[#This Row],[Age]]&lt;=18, "0-18", IF(WilsonData[[#This Row],[Age]]&lt;=35,"19-35", IF(WilsonData[[#This Row],[Age]]&lt;=50, "36-50",IF(WilsonData[[#This Row],[Age]]&lt;=65,"51-65", " 66+"))))</f>
        <v>19-35</v>
      </c>
      <c r="D433" t="s">
        <v>20</v>
      </c>
      <c r="E433" t="s">
        <v>33</v>
      </c>
      <c r="F433" t="s">
        <v>24</v>
      </c>
      <c r="G433" s="1">
        <v>45677</v>
      </c>
      <c r="H433" t="s">
        <v>38</v>
      </c>
      <c r="I433" s="2">
        <v>40250.949663900887</v>
      </c>
      <c r="J433">
        <v>329</v>
      </c>
      <c r="K433" t="s">
        <v>18</v>
      </c>
      <c r="L433" s="1">
        <v>45688</v>
      </c>
      <c r="M433" s="6">
        <f>WilsonData[[#This Row],[Discharge Date]]-WilsonData[[#This Row],[Date of Admission]]</f>
        <v>11</v>
      </c>
      <c r="N433" t="s">
        <v>22</v>
      </c>
    </row>
    <row r="434" spans="1:14" x14ac:dyDescent="0.35">
      <c r="A434" t="s">
        <v>1238</v>
      </c>
      <c r="B434">
        <v>67</v>
      </c>
      <c r="C434" t="str">
        <f>IF(WilsonData[[#This Row],[Age]]&lt;=18, "0-18", IF(WilsonData[[#This Row],[Age]]&lt;=35,"19-35", IF(WilsonData[[#This Row],[Age]]&lt;=50, "36-50",IF(WilsonData[[#This Row],[Age]]&lt;=65,"51-65", " 66+"))))</f>
        <v xml:space="preserve"> 66+</v>
      </c>
      <c r="D434" t="s">
        <v>20</v>
      </c>
      <c r="E434" t="s">
        <v>26</v>
      </c>
      <c r="F434" t="s">
        <v>17</v>
      </c>
      <c r="G434" s="1">
        <v>45818</v>
      </c>
      <c r="H434" t="s">
        <v>36</v>
      </c>
      <c r="I434" s="2">
        <v>10501.38419646004</v>
      </c>
      <c r="J434">
        <v>176</v>
      </c>
      <c r="K434" t="s">
        <v>18</v>
      </c>
      <c r="L434" s="1">
        <v>45829</v>
      </c>
      <c r="M434" s="6">
        <f>WilsonData[[#This Row],[Discharge Date]]-WilsonData[[#This Row],[Date of Admission]]</f>
        <v>11</v>
      </c>
      <c r="N434" t="s">
        <v>15</v>
      </c>
    </row>
    <row r="435" spans="1:14" x14ac:dyDescent="0.35">
      <c r="A435" t="s">
        <v>1239</v>
      </c>
      <c r="B435">
        <v>52</v>
      </c>
      <c r="C435" t="str">
        <f>IF(WilsonData[[#This Row],[Age]]&lt;=18, "0-18", IF(WilsonData[[#This Row],[Age]]&lt;=35,"19-35", IF(WilsonData[[#This Row],[Age]]&lt;=50, "36-50",IF(WilsonData[[#This Row],[Age]]&lt;=65,"51-65", " 66+"))))</f>
        <v>51-65</v>
      </c>
      <c r="D435" t="s">
        <v>11</v>
      </c>
      <c r="E435" t="s">
        <v>26</v>
      </c>
      <c r="F435" t="s">
        <v>30</v>
      </c>
      <c r="G435" s="1">
        <v>45672</v>
      </c>
      <c r="H435" t="s">
        <v>38</v>
      </c>
      <c r="I435" s="2">
        <v>12968.321546223169</v>
      </c>
      <c r="J435">
        <v>338</v>
      </c>
      <c r="K435" t="s">
        <v>18</v>
      </c>
      <c r="L435" s="1">
        <v>45683</v>
      </c>
      <c r="M435" s="6">
        <f>WilsonData[[#This Row],[Discharge Date]]-WilsonData[[#This Row],[Date of Admission]]</f>
        <v>11</v>
      </c>
      <c r="N435" t="s">
        <v>19</v>
      </c>
    </row>
    <row r="436" spans="1:14" x14ac:dyDescent="0.35">
      <c r="A436" t="s">
        <v>1240</v>
      </c>
      <c r="B436">
        <v>53</v>
      </c>
      <c r="C436" t="str">
        <f>IF(WilsonData[[#This Row],[Age]]&lt;=18, "0-18", IF(WilsonData[[#This Row],[Age]]&lt;=35,"19-35", IF(WilsonData[[#This Row],[Age]]&lt;=50, "36-50",IF(WilsonData[[#This Row],[Age]]&lt;=65,"51-65", " 66+"))))</f>
        <v>51-65</v>
      </c>
      <c r="D436" t="s">
        <v>20</v>
      </c>
      <c r="E436" t="s">
        <v>33</v>
      </c>
      <c r="F436" t="s">
        <v>13</v>
      </c>
      <c r="G436" s="1">
        <v>45872</v>
      </c>
      <c r="H436" t="s">
        <v>36</v>
      </c>
      <c r="I436" s="2">
        <v>27209.852533162171</v>
      </c>
      <c r="J436">
        <v>213</v>
      </c>
      <c r="K436" t="s">
        <v>25</v>
      </c>
      <c r="L436" s="1">
        <v>45873</v>
      </c>
      <c r="M436" s="6">
        <f>WilsonData[[#This Row],[Discharge Date]]-WilsonData[[#This Row],[Date of Admission]]</f>
        <v>1</v>
      </c>
      <c r="N436" t="s">
        <v>27</v>
      </c>
    </row>
    <row r="437" spans="1:14" x14ac:dyDescent="0.35">
      <c r="A437" t="s">
        <v>1241</v>
      </c>
      <c r="B437">
        <v>54</v>
      </c>
      <c r="C437" t="str">
        <f>IF(WilsonData[[#This Row],[Age]]&lt;=18, "0-18", IF(WilsonData[[#This Row],[Age]]&lt;=35,"19-35", IF(WilsonData[[#This Row],[Age]]&lt;=50, "36-50",IF(WilsonData[[#This Row],[Age]]&lt;=65,"51-65", " 66+"))))</f>
        <v>51-65</v>
      </c>
      <c r="D437" t="s">
        <v>11</v>
      </c>
      <c r="E437" t="s">
        <v>26</v>
      </c>
      <c r="F437" t="s">
        <v>28</v>
      </c>
      <c r="G437" s="1">
        <v>45674</v>
      </c>
      <c r="H437" t="s">
        <v>38</v>
      </c>
      <c r="I437" s="2">
        <v>21650.838923354058</v>
      </c>
      <c r="J437">
        <v>151</v>
      </c>
      <c r="K437" t="s">
        <v>18</v>
      </c>
      <c r="L437" s="1">
        <v>45685</v>
      </c>
      <c r="M437" s="6">
        <f>WilsonData[[#This Row],[Discharge Date]]-WilsonData[[#This Row],[Date of Admission]]</f>
        <v>11</v>
      </c>
      <c r="N437" t="s">
        <v>22</v>
      </c>
    </row>
    <row r="438" spans="1:14" x14ac:dyDescent="0.35">
      <c r="A438" t="s">
        <v>1242</v>
      </c>
      <c r="B438">
        <v>73</v>
      </c>
      <c r="C438" t="str">
        <f>IF(WilsonData[[#This Row],[Age]]&lt;=18, "0-18", IF(WilsonData[[#This Row],[Age]]&lt;=35,"19-35", IF(WilsonData[[#This Row],[Age]]&lt;=50, "36-50",IF(WilsonData[[#This Row],[Age]]&lt;=65,"51-65", " 66+"))))</f>
        <v xml:space="preserve"> 66+</v>
      </c>
      <c r="D438" t="s">
        <v>11</v>
      </c>
      <c r="E438" t="s">
        <v>21</v>
      </c>
      <c r="F438" t="s">
        <v>30</v>
      </c>
      <c r="G438" s="1">
        <v>45758</v>
      </c>
      <c r="H438" t="s">
        <v>39</v>
      </c>
      <c r="I438" s="2">
        <v>28873.67381762862</v>
      </c>
      <c r="J438">
        <v>391</v>
      </c>
      <c r="K438" t="s">
        <v>18</v>
      </c>
      <c r="L438" s="1">
        <v>45760</v>
      </c>
      <c r="M438" s="6">
        <f>WilsonData[[#This Row],[Discharge Date]]-WilsonData[[#This Row],[Date of Admission]]</f>
        <v>2</v>
      </c>
      <c r="N438" t="s">
        <v>31</v>
      </c>
    </row>
    <row r="439" spans="1:14" x14ac:dyDescent="0.35">
      <c r="A439" t="s">
        <v>1243</v>
      </c>
      <c r="B439">
        <v>46</v>
      </c>
      <c r="C439" t="str">
        <f>IF(WilsonData[[#This Row],[Age]]&lt;=18, "0-18", IF(WilsonData[[#This Row],[Age]]&lt;=35,"19-35", IF(WilsonData[[#This Row],[Age]]&lt;=50, "36-50",IF(WilsonData[[#This Row],[Age]]&lt;=65,"51-65", " 66+"))))</f>
        <v>36-50</v>
      </c>
      <c r="D439" t="s">
        <v>11</v>
      </c>
      <c r="E439" t="s">
        <v>26</v>
      </c>
      <c r="F439" t="s">
        <v>17</v>
      </c>
      <c r="G439" s="1">
        <v>45986</v>
      </c>
      <c r="H439" t="s">
        <v>37</v>
      </c>
      <c r="I439" s="2">
        <v>19702.951510836461</v>
      </c>
      <c r="J439">
        <v>246</v>
      </c>
      <c r="K439" t="s">
        <v>25</v>
      </c>
      <c r="L439" s="1">
        <v>45997</v>
      </c>
      <c r="M439" s="6">
        <f>WilsonData[[#This Row],[Discharge Date]]-WilsonData[[#This Row],[Date of Admission]]</f>
        <v>11</v>
      </c>
      <c r="N439" t="s">
        <v>15</v>
      </c>
    </row>
    <row r="440" spans="1:14" x14ac:dyDescent="0.35">
      <c r="A440" t="s">
        <v>1244</v>
      </c>
      <c r="B440">
        <v>18</v>
      </c>
      <c r="C440" t="str">
        <f>IF(WilsonData[[#This Row],[Age]]&lt;=18, "0-18", IF(WilsonData[[#This Row],[Age]]&lt;=35,"19-35", IF(WilsonData[[#This Row],[Age]]&lt;=50, "36-50",IF(WilsonData[[#This Row],[Age]]&lt;=65,"51-65", " 66+"))))</f>
        <v>0-18</v>
      </c>
      <c r="D440" t="s">
        <v>20</v>
      </c>
      <c r="E440" t="s">
        <v>29</v>
      </c>
      <c r="F440" t="s">
        <v>24</v>
      </c>
      <c r="G440" s="1">
        <v>45725</v>
      </c>
      <c r="H440" t="s">
        <v>39</v>
      </c>
      <c r="I440" s="2">
        <v>17043.814514825899</v>
      </c>
      <c r="J440">
        <v>102</v>
      </c>
      <c r="K440" t="s">
        <v>18</v>
      </c>
      <c r="L440" s="1">
        <v>45732</v>
      </c>
      <c r="M440" s="6">
        <f>WilsonData[[#This Row],[Discharge Date]]-WilsonData[[#This Row],[Date of Admission]]</f>
        <v>7</v>
      </c>
      <c r="N440" t="s">
        <v>31</v>
      </c>
    </row>
    <row r="441" spans="1:14" x14ac:dyDescent="0.35">
      <c r="A441" t="s">
        <v>1245</v>
      </c>
      <c r="B441">
        <v>83</v>
      </c>
      <c r="C441" t="str">
        <f>IF(WilsonData[[#This Row],[Age]]&lt;=18, "0-18", IF(WilsonData[[#This Row],[Age]]&lt;=35,"19-35", IF(WilsonData[[#This Row],[Age]]&lt;=50, "36-50",IF(WilsonData[[#This Row],[Age]]&lt;=65,"51-65", " 66+"))))</f>
        <v xml:space="preserve"> 66+</v>
      </c>
      <c r="D441" t="s">
        <v>20</v>
      </c>
      <c r="E441" t="s">
        <v>12</v>
      </c>
      <c r="F441" t="s">
        <v>13</v>
      </c>
      <c r="G441" s="1">
        <v>45728</v>
      </c>
      <c r="H441" t="s">
        <v>36</v>
      </c>
      <c r="I441" s="2">
        <v>51899.015476957124</v>
      </c>
      <c r="J441">
        <v>125</v>
      </c>
      <c r="K441" t="s">
        <v>25</v>
      </c>
      <c r="L441" s="1">
        <v>45732</v>
      </c>
      <c r="M441" s="6">
        <f>WilsonData[[#This Row],[Discharge Date]]-WilsonData[[#This Row],[Date of Admission]]</f>
        <v>4</v>
      </c>
      <c r="N441" t="s">
        <v>22</v>
      </c>
    </row>
    <row r="442" spans="1:14" x14ac:dyDescent="0.35">
      <c r="A442" t="s">
        <v>1246</v>
      </c>
      <c r="B442">
        <v>20</v>
      </c>
      <c r="C442" t="str">
        <f>IF(WilsonData[[#This Row],[Age]]&lt;=18, "0-18", IF(WilsonData[[#This Row],[Age]]&lt;=35,"19-35", IF(WilsonData[[#This Row],[Age]]&lt;=50, "36-50",IF(WilsonData[[#This Row],[Age]]&lt;=65,"51-65", " 66+"))))</f>
        <v>19-35</v>
      </c>
      <c r="D442" t="s">
        <v>11</v>
      </c>
      <c r="E442" t="s">
        <v>23</v>
      </c>
      <c r="F442" t="s">
        <v>32</v>
      </c>
      <c r="G442" s="1">
        <v>45719</v>
      </c>
      <c r="H442" t="s">
        <v>38</v>
      </c>
      <c r="I442" s="2">
        <v>10107.51885446999</v>
      </c>
      <c r="J442">
        <v>457</v>
      </c>
      <c r="K442" t="s">
        <v>25</v>
      </c>
      <c r="L442" s="1">
        <v>45724</v>
      </c>
      <c r="M442" s="6">
        <f>WilsonData[[#This Row],[Discharge Date]]-WilsonData[[#This Row],[Date of Admission]]</f>
        <v>5</v>
      </c>
      <c r="N442" t="s">
        <v>27</v>
      </c>
    </row>
    <row r="443" spans="1:14" x14ac:dyDescent="0.35">
      <c r="A443" t="s">
        <v>1247</v>
      </c>
      <c r="B443">
        <v>38</v>
      </c>
      <c r="C443" t="str">
        <f>IF(WilsonData[[#This Row],[Age]]&lt;=18, "0-18", IF(WilsonData[[#This Row],[Age]]&lt;=35,"19-35", IF(WilsonData[[#This Row],[Age]]&lt;=50, "36-50",IF(WilsonData[[#This Row],[Age]]&lt;=65,"51-65", " 66+"))))</f>
        <v>36-50</v>
      </c>
      <c r="D443" t="s">
        <v>20</v>
      </c>
      <c r="E443" t="s">
        <v>29</v>
      </c>
      <c r="F443" t="s">
        <v>24</v>
      </c>
      <c r="G443" s="1">
        <v>45668</v>
      </c>
      <c r="H443" t="s">
        <v>36</v>
      </c>
      <c r="I443" s="2">
        <v>33796.715760554471</v>
      </c>
      <c r="J443">
        <v>456</v>
      </c>
      <c r="K443" t="s">
        <v>25</v>
      </c>
      <c r="L443" s="1">
        <v>45680</v>
      </c>
      <c r="M443" s="6">
        <f>WilsonData[[#This Row],[Discharge Date]]-WilsonData[[#This Row],[Date of Admission]]</f>
        <v>12</v>
      </c>
      <c r="N443" t="s">
        <v>19</v>
      </c>
    </row>
    <row r="444" spans="1:14" x14ac:dyDescent="0.35">
      <c r="A444" t="s">
        <v>1248</v>
      </c>
      <c r="B444">
        <v>36</v>
      </c>
      <c r="C444" t="str">
        <f>IF(WilsonData[[#This Row],[Age]]&lt;=18, "0-18", IF(WilsonData[[#This Row],[Age]]&lt;=35,"19-35", IF(WilsonData[[#This Row],[Age]]&lt;=50, "36-50",IF(WilsonData[[#This Row],[Age]]&lt;=65,"51-65", " 66+"))))</f>
        <v>36-50</v>
      </c>
      <c r="D444" t="s">
        <v>11</v>
      </c>
      <c r="E444" t="s">
        <v>12</v>
      </c>
      <c r="F444" t="s">
        <v>24</v>
      </c>
      <c r="G444" s="1">
        <v>45769</v>
      </c>
      <c r="H444" t="s">
        <v>36</v>
      </c>
      <c r="I444" s="2">
        <v>21353.739445149571</v>
      </c>
      <c r="J444">
        <v>162</v>
      </c>
      <c r="K444" t="s">
        <v>18</v>
      </c>
      <c r="L444" s="1">
        <v>45776</v>
      </c>
      <c r="M444" s="6">
        <f>WilsonData[[#This Row],[Discharge Date]]-WilsonData[[#This Row],[Date of Admission]]</f>
        <v>7</v>
      </c>
      <c r="N444" t="s">
        <v>15</v>
      </c>
    </row>
    <row r="445" spans="1:14" x14ac:dyDescent="0.35">
      <c r="A445" t="s">
        <v>1249</v>
      </c>
      <c r="B445">
        <v>67</v>
      </c>
      <c r="C445" t="str">
        <f>IF(WilsonData[[#This Row],[Age]]&lt;=18, "0-18", IF(WilsonData[[#This Row],[Age]]&lt;=35,"19-35", IF(WilsonData[[#This Row],[Age]]&lt;=50, "36-50",IF(WilsonData[[#This Row],[Age]]&lt;=65,"51-65", " 66+"))))</f>
        <v xml:space="preserve"> 66+</v>
      </c>
      <c r="D445" t="s">
        <v>11</v>
      </c>
      <c r="E445" t="s">
        <v>33</v>
      </c>
      <c r="F445" t="s">
        <v>32</v>
      </c>
      <c r="G445" s="1">
        <v>45673</v>
      </c>
      <c r="H445" t="s">
        <v>38</v>
      </c>
      <c r="I445" s="2">
        <v>35906.188447406828</v>
      </c>
      <c r="J445">
        <v>121</v>
      </c>
      <c r="K445" t="s">
        <v>25</v>
      </c>
      <c r="L445" s="1">
        <v>45676</v>
      </c>
      <c r="M445" s="6">
        <f>WilsonData[[#This Row],[Discharge Date]]-WilsonData[[#This Row],[Date of Admission]]</f>
        <v>3</v>
      </c>
      <c r="N445" t="s">
        <v>22</v>
      </c>
    </row>
    <row r="446" spans="1:14" x14ac:dyDescent="0.35">
      <c r="A446" t="s">
        <v>1250</v>
      </c>
      <c r="B446">
        <v>32</v>
      </c>
      <c r="C446" t="str">
        <f>IF(WilsonData[[#This Row],[Age]]&lt;=18, "0-18", IF(WilsonData[[#This Row],[Age]]&lt;=35,"19-35", IF(WilsonData[[#This Row],[Age]]&lt;=50, "36-50",IF(WilsonData[[#This Row],[Age]]&lt;=65,"51-65", " 66+"))))</f>
        <v>19-35</v>
      </c>
      <c r="D446" t="s">
        <v>11</v>
      </c>
      <c r="E446" t="s">
        <v>29</v>
      </c>
      <c r="F446" t="s">
        <v>24</v>
      </c>
      <c r="G446" s="1">
        <v>45832</v>
      </c>
      <c r="H446" t="s">
        <v>39</v>
      </c>
      <c r="I446" s="2">
        <v>41612.036883215733</v>
      </c>
      <c r="J446">
        <v>183</v>
      </c>
      <c r="K446" t="s">
        <v>18</v>
      </c>
      <c r="L446" s="1">
        <v>45837</v>
      </c>
      <c r="M446" s="6">
        <f>WilsonData[[#This Row],[Discharge Date]]-WilsonData[[#This Row],[Date of Admission]]</f>
        <v>5</v>
      </c>
      <c r="N446" t="s">
        <v>31</v>
      </c>
    </row>
    <row r="447" spans="1:14" x14ac:dyDescent="0.35">
      <c r="A447" t="s">
        <v>1251</v>
      </c>
      <c r="B447">
        <v>30</v>
      </c>
      <c r="C447" t="str">
        <f>IF(WilsonData[[#This Row],[Age]]&lt;=18, "0-18", IF(WilsonData[[#This Row],[Age]]&lt;=35,"19-35", IF(WilsonData[[#This Row],[Age]]&lt;=50, "36-50",IF(WilsonData[[#This Row],[Age]]&lt;=65,"51-65", " 66+"))))</f>
        <v>19-35</v>
      </c>
      <c r="D447" t="s">
        <v>20</v>
      </c>
      <c r="E447" t="s">
        <v>12</v>
      </c>
      <c r="F447" t="s">
        <v>13</v>
      </c>
      <c r="G447" s="1">
        <v>45908</v>
      </c>
      <c r="H447" t="s">
        <v>38</v>
      </c>
      <c r="I447" s="2">
        <v>17404.502083819301</v>
      </c>
      <c r="J447">
        <v>489</v>
      </c>
      <c r="K447" t="s">
        <v>18</v>
      </c>
      <c r="L447" s="1">
        <v>45913</v>
      </c>
      <c r="M447" s="6">
        <f>WilsonData[[#This Row],[Discharge Date]]-WilsonData[[#This Row],[Date of Admission]]</f>
        <v>5</v>
      </c>
      <c r="N447" t="s">
        <v>31</v>
      </c>
    </row>
    <row r="448" spans="1:14" x14ac:dyDescent="0.35">
      <c r="A448" t="s">
        <v>1252</v>
      </c>
      <c r="B448">
        <v>80</v>
      </c>
      <c r="C448" t="str">
        <f>IF(WilsonData[[#This Row],[Age]]&lt;=18, "0-18", IF(WilsonData[[#This Row],[Age]]&lt;=35,"19-35", IF(WilsonData[[#This Row],[Age]]&lt;=50, "36-50",IF(WilsonData[[#This Row],[Age]]&lt;=65,"51-65", " 66+"))))</f>
        <v xml:space="preserve"> 66+</v>
      </c>
      <c r="D448" t="s">
        <v>11</v>
      </c>
      <c r="E448" t="s">
        <v>16</v>
      </c>
      <c r="F448" t="s">
        <v>17</v>
      </c>
      <c r="G448" s="1">
        <v>46001</v>
      </c>
      <c r="H448" t="s">
        <v>37</v>
      </c>
      <c r="I448" s="2">
        <v>12171.578028953651</v>
      </c>
      <c r="J448">
        <v>374</v>
      </c>
      <c r="K448" t="s">
        <v>18</v>
      </c>
      <c r="L448" s="1">
        <v>46013</v>
      </c>
      <c r="M448" s="6">
        <f>WilsonData[[#This Row],[Discharge Date]]-WilsonData[[#This Row],[Date of Admission]]</f>
        <v>12</v>
      </c>
      <c r="N448" t="s">
        <v>15</v>
      </c>
    </row>
    <row r="449" spans="1:14" x14ac:dyDescent="0.35">
      <c r="A449" t="s">
        <v>1253</v>
      </c>
      <c r="B449">
        <v>24</v>
      </c>
      <c r="C449" t="str">
        <f>IF(WilsonData[[#This Row],[Age]]&lt;=18, "0-18", IF(WilsonData[[#This Row],[Age]]&lt;=35,"19-35", IF(WilsonData[[#This Row],[Age]]&lt;=50, "36-50",IF(WilsonData[[#This Row],[Age]]&lt;=65,"51-65", " 66+"))))</f>
        <v>19-35</v>
      </c>
      <c r="D449" t="s">
        <v>20</v>
      </c>
      <c r="E449" t="s">
        <v>26</v>
      </c>
      <c r="F449" t="s">
        <v>17</v>
      </c>
      <c r="G449" s="1">
        <v>45789</v>
      </c>
      <c r="H449" t="s">
        <v>38</v>
      </c>
      <c r="I449" s="2">
        <v>44846.735938410398</v>
      </c>
      <c r="J449">
        <v>297</v>
      </c>
      <c r="K449" t="s">
        <v>18</v>
      </c>
      <c r="L449" s="1">
        <v>45800</v>
      </c>
      <c r="M449" s="6">
        <f>WilsonData[[#This Row],[Discharge Date]]-WilsonData[[#This Row],[Date of Admission]]</f>
        <v>11</v>
      </c>
      <c r="N449" t="s">
        <v>31</v>
      </c>
    </row>
    <row r="450" spans="1:14" x14ac:dyDescent="0.35">
      <c r="A450" t="s">
        <v>1254</v>
      </c>
      <c r="B450">
        <v>76</v>
      </c>
      <c r="C450" t="str">
        <f>IF(WilsonData[[#This Row],[Age]]&lt;=18, "0-18", IF(WilsonData[[#This Row],[Age]]&lt;=35,"19-35", IF(WilsonData[[#This Row],[Age]]&lt;=50, "36-50",IF(WilsonData[[#This Row],[Age]]&lt;=65,"51-65", " 66+"))))</f>
        <v xml:space="preserve"> 66+</v>
      </c>
      <c r="D450" t="s">
        <v>11</v>
      </c>
      <c r="E450" t="s">
        <v>23</v>
      </c>
      <c r="F450" t="s">
        <v>28</v>
      </c>
      <c r="G450" s="1">
        <v>45798</v>
      </c>
      <c r="H450" t="s">
        <v>39</v>
      </c>
      <c r="I450" s="2">
        <v>18080.896523447471</v>
      </c>
      <c r="J450">
        <v>114</v>
      </c>
      <c r="K450" t="s">
        <v>18</v>
      </c>
      <c r="L450" s="1">
        <v>45806</v>
      </c>
      <c r="M450" s="6">
        <f>WilsonData[[#This Row],[Discharge Date]]-WilsonData[[#This Row],[Date of Admission]]</f>
        <v>8</v>
      </c>
      <c r="N450" t="s">
        <v>27</v>
      </c>
    </row>
    <row r="451" spans="1:14" x14ac:dyDescent="0.35">
      <c r="A451" t="s">
        <v>1255</v>
      </c>
      <c r="B451">
        <v>57</v>
      </c>
      <c r="C451" t="str">
        <f>IF(WilsonData[[#This Row],[Age]]&lt;=18, "0-18", IF(WilsonData[[#This Row],[Age]]&lt;=35,"19-35", IF(WilsonData[[#This Row],[Age]]&lt;=50, "36-50",IF(WilsonData[[#This Row],[Age]]&lt;=65,"51-65", " 66+"))))</f>
        <v>51-65</v>
      </c>
      <c r="D451" t="s">
        <v>20</v>
      </c>
      <c r="E451" t="s">
        <v>34</v>
      </c>
      <c r="F451" t="s">
        <v>24</v>
      </c>
      <c r="G451" s="1">
        <v>45717</v>
      </c>
      <c r="H451" t="s">
        <v>37</v>
      </c>
      <c r="I451" s="2">
        <v>6126.7956341358367</v>
      </c>
      <c r="J451">
        <v>201</v>
      </c>
      <c r="K451" t="s">
        <v>18</v>
      </c>
      <c r="L451" s="1">
        <v>45718</v>
      </c>
      <c r="M451" s="6">
        <f>WilsonData[[#This Row],[Discharge Date]]-WilsonData[[#This Row],[Date of Admission]]</f>
        <v>1</v>
      </c>
      <c r="N451" t="s">
        <v>31</v>
      </c>
    </row>
    <row r="452" spans="1:14" x14ac:dyDescent="0.35">
      <c r="A452" t="s">
        <v>1256</v>
      </c>
      <c r="B452">
        <v>84</v>
      </c>
      <c r="C452" t="str">
        <f>IF(WilsonData[[#This Row],[Age]]&lt;=18, "0-18", IF(WilsonData[[#This Row],[Age]]&lt;=35,"19-35", IF(WilsonData[[#This Row],[Age]]&lt;=50, "36-50",IF(WilsonData[[#This Row],[Age]]&lt;=65,"51-65", " 66+"))))</f>
        <v xml:space="preserve"> 66+</v>
      </c>
      <c r="D452" t="s">
        <v>20</v>
      </c>
      <c r="E452" t="s">
        <v>23</v>
      </c>
      <c r="F452" t="s">
        <v>32</v>
      </c>
      <c r="G452" s="1">
        <v>45688</v>
      </c>
      <c r="H452" t="s">
        <v>39</v>
      </c>
      <c r="I452" s="2">
        <v>18933.077423108411</v>
      </c>
      <c r="J452">
        <v>304</v>
      </c>
      <c r="K452" t="s">
        <v>18</v>
      </c>
      <c r="L452" s="1">
        <v>45692</v>
      </c>
      <c r="M452" s="6">
        <f>WilsonData[[#This Row],[Discharge Date]]-WilsonData[[#This Row],[Date of Admission]]</f>
        <v>4</v>
      </c>
      <c r="N452" t="s">
        <v>15</v>
      </c>
    </row>
    <row r="453" spans="1:14" x14ac:dyDescent="0.35">
      <c r="A453" t="s">
        <v>1257</v>
      </c>
      <c r="B453">
        <v>64</v>
      </c>
      <c r="C453" t="str">
        <f>IF(WilsonData[[#This Row],[Age]]&lt;=18, "0-18", IF(WilsonData[[#This Row],[Age]]&lt;=35,"19-35", IF(WilsonData[[#This Row],[Age]]&lt;=50, "36-50",IF(WilsonData[[#This Row],[Age]]&lt;=65,"51-65", " 66+"))))</f>
        <v>51-65</v>
      </c>
      <c r="D453" t="s">
        <v>20</v>
      </c>
      <c r="E453" t="s">
        <v>16</v>
      </c>
      <c r="F453" t="s">
        <v>28</v>
      </c>
      <c r="G453" s="1">
        <v>45931</v>
      </c>
      <c r="H453" t="s">
        <v>36</v>
      </c>
      <c r="I453" s="2">
        <v>7588.712520722218</v>
      </c>
      <c r="J453">
        <v>150</v>
      </c>
      <c r="K453" t="s">
        <v>18</v>
      </c>
      <c r="L453" s="1">
        <v>45938</v>
      </c>
      <c r="M453" s="6">
        <f>WilsonData[[#This Row],[Discharge Date]]-WilsonData[[#This Row],[Date of Admission]]</f>
        <v>7</v>
      </c>
      <c r="N453" t="s">
        <v>31</v>
      </c>
    </row>
    <row r="454" spans="1:14" x14ac:dyDescent="0.35">
      <c r="A454" t="s">
        <v>1258</v>
      </c>
      <c r="B454">
        <v>26</v>
      </c>
      <c r="C454" t="str">
        <f>IF(WilsonData[[#This Row],[Age]]&lt;=18, "0-18", IF(WilsonData[[#This Row],[Age]]&lt;=35,"19-35", IF(WilsonData[[#This Row],[Age]]&lt;=50, "36-50",IF(WilsonData[[#This Row],[Age]]&lt;=65,"51-65", " 66+"))))</f>
        <v>19-35</v>
      </c>
      <c r="D454" t="s">
        <v>11</v>
      </c>
      <c r="E454" t="s">
        <v>26</v>
      </c>
      <c r="F454" t="s">
        <v>30</v>
      </c>
      <c r="G454" s="1">
        <v>45894</v>
      </c>
      <c r="H454" t="s">
        <v>36</v>
      </c>
      <c r="I454" s="2">
        <v>2352.7801412862168</v>
      </c>
      <c r="J454">
        <v>371</v>
      </c>
      <c r="K454" t="s">
        <v>25</v>
      </c>
      <c r="L454" s="1">
        <v>45898</v>
      </c>
      <c r="M454" s="6">
        <f>WilsonData[[#This Row],[Discharge Date]]-WilsonData[[#This Row],[Date of Admission]]</f>
        <v>4</v>
      </c>
      <c r="N454" t="s">
        <v>19</v>
      </c>
    </row>
    <row r="455" spans="1:14" x14ac:dyDescent="0.35">
      <c r="A455" t="s">
        <v>1259</v>
      </c>
      <c r="B455">
        <v>23</v>
      </c>
      <c r="C455" t="str">
        <f>IF(WilsonData[[#This Row],[Age]]&lt;=18, "0-18", IF(WilsonData[[#This Row],[Age]]&lt;=35,"19-35", IF(WilsonData[[#This Row],[Age]]&lt;=50, "36-50",IF(WilsonData[[#This Row],[Age]]&lt;=65,"51-65", " 66+"))))</f>
        <v>19-35</v>
      </c>
      <c r="D455" t="s">
        <v>20</v>
      </c>
      <c r="E455" t="s">
        <v>34</v>
      </c>
      <c r="F455" t="s">
        <v>17</v>
      </c>
      <c r="G455" s="1">
        <v>45721</v>
      </c>
      <c r="H455" t="s">
        <v>39</v>
      </c>
      <c r="I455" s="2">
        <v>11986.480740122101</v>
      </c>
      <c r="J455">
        <v>282</v>
      </c>
      <c r="K455" t="s">
        <v>18</v>
      </c>
      <c r="L455" s="1">
        <v>45724</v>
      </c>
      <c r="M455" s="6">
        <f>WilsonData[[#This Row],[Discharge Date]]-WilsonData[[#This Row],[Date of Admission]]</f>
        <v>3</v>
      </c>
      <c r="N455" t="s">
        <v>19</v>
      </c>
    </row>
    <row r="456" spans="1:14" x14ac:dyDescent="0.35">
      <c r="A456" t="s">
        <v>1260</v>
      </c>
      <c r="B456">
        <v>67</v>
      </c>
      <c r="C456" t="str">
        <f>IF(WilsonData[[#This Row],[Age]]&lt;=18, "0-18", IF(WilsonData[[#This Row],[Age]]&lt;=35,"19-35", IF(WilsonData[[#This Row],[Age]]&lt;=50, "36-50",IF(WilsonData[[#This Row],[Age]]&lt;=65,"51-65", " 66+"))))</f>
        <v xml:space="preserve"> 66+</v>
      </c>
      <c r="D456" t="s">
        <v>20</v>
      </c>
      <c r="E456" t="s">
        <v>16</v>
      </c>
      <c r="F456" t="s">
        <v>24</v>
      </c>
      <c r="G456" s="1">
        <v>45869</v>
      </c>
      <c r="H456" t="s">
        <v>37</v>
      </c>
      <c r="I456" s="2">
        <v>3421.1417491810889</v>
      </c>
      <c r="J456">
        <v>319</v>
      </c>
      <c r="K456" t="s">
        <v>18</v>
      </c>
      <c r="L456" s="1">
        <v>45878</v>
      </c>
      <c r="M456" s="6">
        <f>WilsonData[[#This Row],[Discharge Date]]-WilsonData[[#This Row],[Date of Admission]]</f>
        <v>9</v>
      </c>
      <c r="N456" t="s">
        <v>15</v>
      </c>
    </row>
    <row r="457" spans="1:14" x14ac:dyDescent="0.35">
      <c r="A457" t="s">
        <v>1261</v>
      </c>
      <c r="B457">
        <v>38</v>
      </c>
      <c r="C457" t="str">
        <f>IF(WilsonData[[#This Row],[Age]]&lt;=18, "0-18", IF(WilsonData[[#This Row],[Age]]&lt;=35,"19-35", IF(WilsonData[[#This Row],[Age]]&lt;=50, "36-50",IF(WilsonData[[#This Row],[Age]]&lt;=65,"51-65", " 66+"))))</f>
        <v>36-50</v>
      </c>
      <c r="D457" t="s">
        <v>11</v>
      </c>
      <c r="E457" t="s">
        <v>26</v>
      </c>
      <c r="F457" t="s">
        <v>32</v>
      </c>
      <c r="G457" s="1">
        <v>45820</v>
      </c>
      <c r="H457" t="s">
        <v>36</v>
      </c>
      <c r="I457" s="2">
        <v>7744.4729741370747</v>
      </c>
      <c r="J457">
        <v>205</v>
      </c>
      <c r="K457" t="s">
        <v>25</v>
      </c>
      <c r="L457" s="1">
        <v>45832</v>
      </c>
      <c r="M457" s="6">
        <f>WilsonData[[#This Row],[Discharge Date]]-WilsonData[[#This Row],[Date of Admission]]</f>
        <v>12</v>
      </c>
      <c r="N457" t="s">
        <v>27</v>
      </c>
    </row>
    <row r="458" spans="1:14" x14ac:dyDescent="0.35">
      <c r="A458" t="s">
        <v>1262</v>
      </c>
      <c r="B458">
        <v>20</v>
      </c>
      <c r="C458" t="str">
        <f>IF(WilsonData[[#This Row],[Age]]&lt;=18, "0-18", IF(WilsonData[[#This Row],[Age]]&lt;=35,"19-35", IF(WilsonData[[#This Row],[Age]]&lt;=50, "36-50",IF(WilsonData[[#This Row],[Age]]&lt;=65,"51-65", " 66+"))))</f>
        <v>19-35</v>
      </c>
      <c r="D458" t="s">
        <v>20</v>
      </c>
      <c r="E458" t="s">
        <v>12</v>
      </c>
      <c r="F458" t="s">
        <v>28</v>
      </c>
      <c r="G458" s="1">
        <v>45933</v>
      </c>
      <c r="H458" t="s">
        <v>37</v>
      </c>
      <c r="I458" s="2">
        <v>17104.843252852679</v>
      </c>
      <c r="J458">
        <v>359</v>
      </c>
      <c r="K458" t="s">
        <v>18</v>
      </c>
      <c r="L458" s="1">
        <v>45943</v>
      </c>
      <c r="M458" s="6">
        <f>WilsonData[[#This Row],[Discharge Date]]-WilsonData[[#This Row],[Date of Admission]]</f>
        <v>10</v>
      </c>
      <c r="N458" t="s">
        <v>31</v>
      </c>
    </row>
    <row r="459" spans="1:14" x14ac:dyDescent="0.35">
      <c r="A459" t="s">
        <v>1263</v>
      </c>
      <c r="B459">
        <v>29</v>
      </c>
      <c r="C459" t="str">
        <f>IF(WilsonData[[#This Row],[Age]]&lt;=18, "0-18", IF(WilsonData[[#This Row],[Age]]&lt;=35,"19-35", IF(WilsonData[[#This Row],[Age]]&lt;=50, "36-50",IF(WilsonData[[#This Row],[Age]]&lt;=65,"51-65", " 66+"))))</f>
        <v>19-35</v>
      </c>
      <c r="D459" t="s">
        <v>20</v>
      </c>
      <c r="E459" t="s">
        <v>16</v>
      </c>
      <c r="F459" t="s">
        <v>30</v>
      </c>
      <c r="G459" s="1">
        <v>45834</v>
      </c>
      <c r="H459" t="s">
        <v>36</v>
      </c>
      <c r="I459" s="2">
        <v>19011.442046608339</v>
      </c>
      <c r="J459">
        <v>205</v>
      </c>
      <c r="K459" t="s">
        <v>18</v>
      </c>
      <c r="L459" s="1">
        <v>45842</v>
      </c>
      <c r="M459" s="6">
        <f>WilsonData[[#This Row],[Discharge Date]]-WilsonData[[#This Row],[Date of Admission]]</f>
        <v>8</v>
      </c>
      <c r="N459" t="s">
        <v>27</v>
      </c>
    </row>
    <row r="460" spans="1:14" x14ac:dyDescent="0.35">
      <c r="A460" t="s">
        <v>1264</v>
      </c>
      <c r="B460">
        <v>51</v>
      </c>
      <c r="C460" t="str">
        <f>IF(WilsonData[[#This Row],[Age]]&lt;=18, "0-18", IF(WilsonData[[#This Row],[Age]]&lt;=35,"19-35", IF(WilsonData[[#This Row],[Age]]&lt;=50, "36-50",IF(WilsonData[[#This Row],[Age]]&lt;=65,"51-65", " 66+"))))</f>
        <v>51-65</v>
      </c>
      <c r="D460" t="s">
        <v>11</v>
      </c>
      <c r="E460" t="s">
        <v>34</v>
      </c>
      <c r="F460" t="s">
        <v>32</v>
      </c>
      <c r="G460" s="1">
        <v>45913</v>
      </c>
      <c r="H460" t="s">
        <v>39</v>
      </c>
      <c r="I460" s="2">
        <v>15188.190391994031</v>
      </c>
      <c r="J460">
        <v>396</v>
      </c>
      <c r="K460" t="s">
        <v>18</v>
      </c>
      <c r="L460" s="1">
        <v>45914</v>
      </c>
      <c r="M460" s="6">
        <f>WilsonData[[#This Row],[Discharge Date]]-WilsonData[[#This Row],[Date of Admission]]</f>
        <v>1</v>
      </c>
      <c r="N460" t="s">
        <v>22</v>
      </c>
    </row>
    <row r="461" spans="1:14" x14ac:dyDescent="0.35">
      <c r="A461" t="s">
        <v>1265</v>
      </c>
      <c r="B461">
        <v>23</v>
      </c>
      <c r="C461" t="str">
        <f>IF(WilsonData[[#This Row],[Age]]&lt;=18, "0-18", IF(WilsonData[[#This Row],[Age]]&lt;=35,"19-35", IF(WilsonData[[#This Row],[Age]]&lt;=50, "36-50",IF(WilsonData[[#This Row],[Age]]&lt;=65,"51-65", " 66+"))))</f>
        <v>19-35</v>
      </c>
      <c r="D461" t="s">
        <v>11</v>
      </c>
      <c r="E461" t="s">
        <v>23</v>
      </c>
      <c r="F461" t="s">
        <v>32</v>
      </c>
      <c r="G461" s="1">
        <v>45712</v>
      </c>
      <c r="H461" t="s">
        <v>37</v>
      </c>
      <c r="I461" s="2">
        <v>12052.21107360632</v>
      </c>
      <c r="J461">
        <v>360</v>
      </c>
      <c r="K461" t="s">
        <v>25</v>
      </c>
      <c r="L461" s="1">
        <v>45725</v>
      </c>
      <c r="M461" s="6">
        <f>WilsonData[[#This Row],[Discharge Date]]-WilsonData[[#This Row],[Date of Admission]]</f>
        <v>13</v>
      </c>
      <c r="N461" t="s">
        <v>27</v>
      </c>
    </row>
    <row r="462" spans="1:14" x14ac:dyDescent="0.35">
      <c r="A462" t="s">
        <v>1266</v>
      </c>
      <c r="B462">
        <v>68</v>
      </c>
      <c r="C462" t="str">
        <f>IF(WilsonData[[#This Row],[Age]]&lt;=18, "0-18", IF(WilsonData[[#This Row],[Age]]&lt;=35,"19-35", IF(WilsonData[[#This Row],[Age]]&lt;=50, "36-50",IF(WilsonData[[#This Row],[Age]]&lt;=65,"51-65", " 66+"))))</f>
        <v xml:space="preserve"> 66+</v>
      </c>
      <c r="D462" t="s">
        <v>11</v>
      </c>
      <c r="E462" t="s">
        <v>23</v>
      </c>
      <c r="F462" t="s">
        <v>24</v>
      </c>
      <c r="G462" s="1">
        <v>46011</v>
      </c>
      <c r="H462" t="s">
        <v>37</v>
      </c>
      <c r="I462" s="2">
        <v>39030.528217438281</v>
      </c>
      <c r="J462">
        <v>327</v>
      </c>
      <c r="K462" t="s">
        <v>25</v>
      </c>
      <c r="L462" s="1">
        <v>46012</v>
      </c>
      <c r="M462" s="6">
        <f>WilsonData[[#This Row],[Discharge Date]]-WilsonData[[#This Row],[Date of Admission]]</f>
        <v>1</v>
      </c>
      <c r="N462" t="s">
        <v>31</v>
      </c>
    </row>
    <row r="463" spans="1:14" x14ac:dyDescent="0.35">
      <c r="A463" t="s">
        <v>1267</v>
      </c>
      <c r="B463">
        <v>78</v>
      </c>
      <c r="C463" t="str">
        <f>IF(WilsonData[[#This Row],[Age]]&lt;=18, "0-18", IF(WilsonData[[#This Row],[Age]]&lt;=35,"19-35", IF(WilsonData[[#This Row],[Age]]&lt;=50, "36-50",IF(WilsonData[[#This Row],[Age]]&lt;=65,"51-65", " 66+"))))</f>
        <v xml:space="preserve"> 66+</v>
      </c>
      <c r="D463" t="s">
        <v>11</v>
      </c>
      <c r="E463" t="s">
        <v>23</v>
      </c>
      <c r="F463" t="s">
        <v>30</v>
      </c>
      <c r="G463" s="1">
        <v>45961</v>
      </c>
      <c r="H463" t="s">
        <v>38</v>
      </c>
      <c r="I463" s="2">
        <v>33591.224131166142</v>
      </c>
      <c r="J463">
        <v>226</v>
      </c>
      <c r="K463" t="s">
        <v>25</v>
      </c>
      <c r="L463" s="1">
        <v>45968</v>
      </c>
      <c r="M463" s="6">
        <f>WilsonData[[#This Row],[Discharge Date]]-WilsonData[[#This Row],[Date of Admission]]</f>
        <v>7</v>
      </c>
      <c r="N463" t="s">
        <v>31</v>
      </c>
    </row>
    <row r="464" spans="1:14" x14ac:dyDescent="0.35">
      <c r="A464" t="s">
        <v>1268</v>
      </c>
      <c r="B464">
        <v>34</v>
      </c>
      <c r="C464" t="str">
        <f>IF(WilsonData[[#This Row],[Age]]&lt;=18, "0-18", IF(WilsonData[[#This Row],[Age]]&lt;=35,"19-35", IF(WilsonData[[#This Row],[Age]]&lt;=50, "36-50",IF(WilsonData[[#This Row],[Age]]&lt;=65,"51-65", " 66+"))))</f>
        <v>19-35</v>
      </c>
      <c r="D464" t="s">
        <v>20</v>
      </c>
      <c r="E464" t="s">
        <v>34</v>
      </c>
      <c r="F464" t="s">
        <v>13</v>
      </c>
      <c r="G464" s="1">
        <v>45774</v>
      </c>
      <c r="H464" t="s">
        <v>37</v>
      </c>
      <c r="I464" s="2">
        <v>20086.903608660399</v>
      </c>
      <c r="J464">
        <v>336</v>
      </c>
      <c r="K464" t="s">
        <v>25</v>
      </c>
      <c r="L464" s="1">
        <v>45785</v>
      </c>
      <c r="M464" s="6">
        <f>WilsonData[[#This Row],[Discharge Date]]-WilsonData[[#This Row],[Date of Admission]]</f>
        <v>11</v>
      </c>
      <c r="N464" t="s">
        <v>15</v>
      </c>
    </row>
    <row r="465" spans="1:14" x14ac:dyDescent="0.35">
      <c r="A465" t="s">
        <v>1269</v>
      </c>
      <c r="B465">
        <v>61</v>
      </c>
      <c r="C465" t="str">
        <f>IF(WilsonData[[#This Row],[Age]]&lt;=18, "0-18", IF(WilsonData[[#This Row],[Age]]&lt;=35,"19-35", IF(WilsonData[[#This Row],[Age]]&lt;=50, "36-50",IF(WilsonData[[#This Row],[Age]]&lt;=65,"51-65", " 66+"))))</f>
        <v>51-65</v>
      </c>
      <c r="D465" t="s">
        <v>11</v>
      </c>
      <c r="E465" t="s">
        <v>33</v>
      </c>
      <c r="F465" t="s">
        <v>28</v>
      </c>
      <c r="G465" s="1">
        <v>45895</v>
      </c>
      <c r="H465" t="s">
        <v>39</v>
      </c>
      <c r="I465" s="2">
        <v>26749.101188101471</v>
      </c>
      <c r="J465">
        <v>422</v>
      </c>
      <c r="K465" t="s">
        <v>18</v>
      </c>
      <c r="L465" s="1">
        <v>45901</v>
      </c>
      <c r="M465" s="6">
        <f>WilsonData[[#This Row],[Discharge Date]]-WilsonData[[#This Row],[Date of Admission]]</f>
        <v>6</v>
      </c>
      <c r="N465" t="s">
        <v>22</v>
      </c>
    </row>
    <row r="466" spans="1:14" x14ac:dyDescent="0.35">
      <c r="A466" t="s">
        <v>1270</v>
      </c>
      <c r="B466">
        <v>39</v>
      </c>
      <c r="C466" t="str">
        <f>IF(WilsonData[[#This Row],[Age]]&lt;=18, "0-18", IF(WilsonData[[#This Row],[Age]]&lt;=35,"19-35", IF(WilsonData[[#This Row],[Age]]&lt;=50, "36-50",IF(WilsonData[[#This Row],[Age]]&lt;=65,"51-65", " 66+"))))</f>
        <v>36-50</v>
      </c>
      <c r="D466" t="s">
        <v>20</v>
      </c>
      <c r="E466" t="s">
        <v>33</v>
      </c>
      <c r="F466" t="s">
        <v>30</v>
      </c>
      <c r="G466" s="1">
        <v>45780</v>
      </c>
      <c r="H466" t="s">
        <v>37</v>
      </c>
      <c r="I466" s="2">
        <v>11965.677958288539</v>
      </c>
      <c r="J466">
        <v>318</v>
      </c>
      <c r="K466" t="s">
        <v>25</v>
      </c>
      <c r="L466" s="1">
        <v>45784</v>
      </c>
      <c r="M466" s="6">
        <f>WilsonData[[#This Row],[Discharge Date]]-WilsonData[[#This Row],[Date of Admission]]</f>
        <v>4</v>
      </c>
      <c r="N466" t="s">
        <v>19</v>
      </c>
    </row>
    <row r="467" spans="1:14" x14ac:dyDescent="0.35">
      <c r="A467" t="s">
        <v>1271</v>
      </c>
      <c r="B467">
        <v>50</v>
      </c>
      <c r="C467" t="str">
        <f>IF(WilsonData[[#This Row],[Age]]&lt;=18, "0-18", IF(WilsonData[[#This Row],[Age]]&lt;=35,"19-35", IF(WilsonData[[#This Row],[Age]]&lt;=50, "36-50",IF(WilsonData[[#This Row],[Age]]&lt;=65,"51-65", " 66+"))))</f>
        <v>36-50</v>
      </c>
      <c r="D467" t="s">
        <v>11</v>
      </c>
      <c r="E467" t="s">
        <v>12</v>
      </c>
      <c r="F467" t="s">
        <v>30</v>
      </c>
      <c r="G467" s="1">
        <v>45973</v>
      </c>
      <c r="H467" t="s">
        <v>39</v>
      </c>
      <c r="I467" s="2">
        <v>19882.384409340899</v>
      </c>
      <c r="J467">
        <v>299</v>
      </c>
      <c r="K467" t="s">
        <v>18</v>
      </c>
      <c r="L467" s="1">
        <v>45974</v>
      </c>
      <c r="M467" s="6">
        <f>WilsonData[[#This Row],[Discharge Date]]-WilsonData[[#This Row],[Date of Admission]]</f>
        <v>1</v>
      </c>
      <c r="N467" t="s">
        <v>15</v>
      </c>
    </row>
    <row r="468" spans="1:14" x14ac:dyDescent="0.35">
      <c r="A468" t="s">
        <v>1272</v>
      </c>
      <c r="B468">
        <v>53</v>
      </c>
      <c r="C468" t="str">
        <f>IF(WilsonData[[#This Row],[Age]]&lt;=18, "0-18", IF(WilsonData[[#This Row],[Age]]&lt;=35,"19-35", IF(WilsonData[[#This Row],[Age]]&lt;=50, "36-50",IF(WilsonData[[#This Row],[Age]]&lt;=65,"51-65", " 66+"))))</f>
        <v>51-65</v>
      </c>
      <c r="D468" t="s">
        <v>11</v>
      </c>
      <c r="E468" t="s">
        <v>16</v>
      </c>
      <c r="F468" t="s">
        <v>28</v>
      </c>
      <c r="G468" s="1">
        <v>45955</v>
      </c>
      <c r="H468" t="s">
        <v>39</v>
      </c>
      <c r="I468" s="2">
        <v>46111.003762471177</v>
      </c>
      <c r="J468">
        <v>385</v>
      </c>
      <c r="K468" t="s">
        <v>25</v>
      </c>
      <c r="L468" s="1">
        <v>45969</v>
      </c>
      <c r="M468" s="6">
        <f>WilsonData[[#This Row],[Discharge Date]]-WilsonData[[#This Row],[Date of Admission]]</f>
        <v>14</v>
      </c>
      <c r="N468" t="s">
        <v>31</v>
      </c>
    </row>
    <row r="469" spans="1:14" x14ac:dyDescent="0.35">
      <c r="A469" t="s">
        <v>1273</v>
      </c>
      <c r="B469">
        <v>71</v>
      </c>
      <c r="C469" t="str">
        <f>IF(WilsonData[[#This Row],[Age]]&lt;=18, "0-18", IF(WilsonData[[#This Row],[Age]]&lt;=35,"19-35", IF(WilsonData[[#This Row],[Age]]&lt;=50, "36-50",IF(WilsonData[[#This Row],[Age]]&lt;=65,"51-65", " 66+"))))</f>
        <v xml:space="preserve"> 66+</v>
      </c>
      <c r="D469" t="s">
        <v>20</v>
      </c>
      <c r="E469" t="s">
        <v>29</v>
      </c>
      <c r="F469" t="s">
        <v>13</v>
      </c>
      <c r="G469" s="1">
        <v>45953</v>
      </c>
      <c r="H469" t="s">
        <v>39</v>
      </c>
      <c r="I469" s="2">
        <v>10915.439964741579</v>
      </c>
      <c r="J469">
        <v>455</v>
      </c>
      <c r="K469" t="s">
        <v>18</v>
      </c>
      <c r="L469" s="1">
        <v>45958</v>
      </c>
      <c r="M469" s="6">
        <f>WilsonData[[#This Row],[Discharge Date]]-WilsonData[[#This Row],[Date of Admission]]</f>
        <v>5</v>
      </c>
      <c r="N469" t="s">
        <v>27</v>
      </c>
    </row>
    <row r="470" spans="1:14" x14ac:dyDescent="0.35">
      <c r="A470" t="s">
        <v>1274</v>
      </c>
      <c r="B470">
        <v>66</v>
      </c>
      <c r="C470" t="str">
        <f>IF(WilsonData[[#This Row],[Age]]&lt;=18, "0-18", IF(WilsonData[[#This Row],[Age]]&lt;=35,"19-35", IF(WilsonData[[#This Row],[Age]]&lt;=50, "36-50",IF(WilsonData[[#This Row],[Age]]&lt;=65,"51-65", " 66+"))))</f>
        <v xml:space="preserve"> 66+</v>
      </c>
      <c r="D470" t="s">
        <v>11</v>
      </c>
      <c r="E470" t="s">
        <v>33</v>
      </c>
      <c r="F470" t="s">
        <v>32</v>
      </c>
      <c r="G470" s="1">
        <v>45805</v>
      </c>
      <c r="H470" t="s">
        <v>37</v>
      </c>
      <c r="I470" s="2">
        <v>27563.774742123769</v>
      </c>
      <c r="J470">
        <v>404</v>
      </c>
      <c r="K470" t="s">
        <v>18</v>
      </c>
      <c r="L470" s="1">
        <v>45810</v>
      </c>
      <c r="M470" s="6">
        <f>WilsonData[[#This Row],[Discharge Date]]-WilsonData[[#This Row],[Date of Admission]]</f>
        <v>5</v>
      </c>
      <c r="N470" t="s">
        <v>27</v>
      </c>
    </row>
    <row r="471" spans="1:14" x14ac:dyDescent="0.35">
      <c r="A471" t="s">
        <v>1275</v>
      </c>
      <c r="B471">
        <v>57</v>
      </c>
      <c r="C471" t="str">
        <f>IF(WilsonData[[#This Row],[Age]]&lt;=18, "0-18", IF(WilsonData[[#This Row],[Age]]&lt;=35,"19-35", IF(WilsonData[[#This Row],[Age]]&lt;=50, "36-50",IF(WilsonData[[#This Row],[Age]]&lt;=65,"51-65", " 66+"))))</f>
        <v>51-65</v>
      </c>
      <c r="D471" t="s">
        <v>20</v>
      </c>
      <c r="E471" t="s">
        <v>16</v>
      </c>
      <c r="F471" t="s">
        <v>13</v>
      </c>
      <c r="G471" s="1">
        <v>45845</v>
      </c>
      <c r="H471" t="s">
        <v>38</v>
      </c>
      <c r="I471" s="2">
        <v>6991.6256813632099</v>
      </c>
      <c r="J471">
        <v>342</v>
      </c>
      <c r="K471" t="s">
        <v>25</v>
      </c>
      <c r="L471" s="1">
        <v>45853</v>
      </c>
      <c r="M471" s="6">
        <f>WilsonData[[#This Row],[Discharge Date]]-WilsonData[[#This Row],[Date of Admission]]</f>
        <v>8</v>
      </c>
      <c r="N471" t="s">
        <v>27</v>
      </c>
    </row>
    <row r="472" spans="1:14" x14ac:dyDescent="0.35">
      <c r="A472" t="s">
        <v>1276</v>
      </c>
      <c r="B472">
        <v>56</v>
      </c>
      <c r="C472" t="str">
        <f>IF(WilsonData[[#This Row],[Age]]&lt;=18, "0-18", IF(WilsonData[[#This Row],[Age]]&lt;=35,"19-35", IF(WilsonData[[#This Row],[Age]]&lt;=50, "36-50",IF(WilsonData[[#This Row],[Age]]&lt;=65,"51-65", " 66+"))))</f>
        <v>51-65</v>
      </c>
      <c r="D472" t="s">
        <v>20</v>
      </c>
      <c r="E472" t="s">
        <v>33</v>
      </c>
      <c r="F472" t="s">
        <v>28</v>
      </c>
      <c r="G472" s="1">
        <v>45797</v>
      </c>
      <c r="H472" t="s">
        <v>38</v>
      </c>
      <c r="I472" s="2">
        <v>23596.551170422081</v>
      </c>
      <c r="J472">
        <v>238</v>
      </c>
      <c r="K472" t="s">
        <v>18</v>
      </c>
      <c r="L472" s="1">
        <v>45809</v>
      </c>
      <c r="M472" s="6">
        <f>WilsonData[[#This Row],[Discharge Date]]-WilsonData[[#This Row],[Date of Admission]]</f>
        <v>12</v>
      </c>
      <c r="N472" t="s">
        <v>27</v>
      </c>
    </row>
    <row r="473" spans="1:14" x14ac:dyDescent="0.35">
      <c r="A473" t="s">
        <v>1277</v>
      </c>
      <c r="B473">
        <v>80</v>
      </c>
      <c r="C473" t="str">
        <f>IF(WilsonData[[#This Row],[Age]]&lt;=18, "0-18", IF(WilsonData[[#This Row],[Age]]&lt;=35,"19-35", IF(WilsonData[[#This Row],[Age]]&lt;=50, "36-50",IF(WilsonData[[#This Row],[Age]]&lt;=65,"51-65", " 66+"))))</f>
        <v xml:space="preserve"> 66+</v>
      </c>
      <c r="D473" t="s">
        <v>11</v>
      </c>
      <c r="E473" t="s">
        <v>29</v>
      </c>
      <c r="F473" t="s">
        <v>17</v>
      </c>
      <c r="G473" s="1">
        <v>45776</v>
      </c>
      <c r="H473" t="s">
        <v>38</v>
      </c>
      <c r="I473" s="2">
        <v>38973.540605411363</v>
      </c>
      <c r="J473">
        <v>377</v>
      </c>
      <c r="K473" t="s">
        <v>25</v>
      </c>
      <c r="L473" s="1">
        <v>45784</v>
      </c>
      <c r="M473" s="6">
        <f>WilsonData[[#This Row],[Discharge Date]]-WilsonData[[#This Row],[Date of Admission]]</f>
        <v>8</v>
      </c>
      <c r="N473" t="s">
        <v>27</v>
      </c>
    </row>
    <row r="474" spans="1:14" x14ac:dyDescent="0.35">
      <c r="A474" t="s">
        <v>1278</v>
      </c>
      <c r="B474">
        <v>19</v>
      </c>
      <c r="C474" t="str">
        <f>IF(WilsonData[[#This Row],[Age]]&lt;=18, "0-18", IF(WilsonData[[#This Row],[Age]]&lt;=35,"19-35", IF(WilsonData[[#This Row],[Age]]&lt;=50, "36-50",IF(WilsonData[[#This Row],[Age]]&lt;=65,"51-65", " 66+"))))</f>
        <v>19-35</v>
      </c>
      <c r="D474" t="s">
        <v>20</v>
      </c>
      <c r="E474" t="s">
        <v>16</v>
      </c>
      <c r="F474" t="s">
        <v>32</v>
      </c>
      <c r="G474" s="1">
        <v>45976</v>
      </c>
      <c r="H474" t="s">
        <v>37</v>
      </c>
      <c r="I474" s="2">
        <v>28782.907491009151</v>
      </c>
      <c r="J474">
        <v>164</v>
      </c>
      <c r="K474" t="s">
        <v>25</v>
      </c>
      <c r="L474" s="1">
        <v>45985</v>
      </c>
      <c r="M474" s="6">
        <f>WilsonData[[#This Row],[Discharge Date]]-WilsonData[[#This Row],[Date of Admission]]</f>
        <v>9</v>
      </c>
      <c r="N474" t="s">
        <v>19</v>
      </c>
    </row>
    <row r="475" spans="1:14" x14ac:dyDescent="0.35">
      <c r="A475" t="s">
        <v>1279</v>
      </c>
      <c r="B475">
        <v>69</v>
      </c>
      <c r="C475" t="str">
        <f>IF(WilsonData[[#This Row],[Age]]&lt;=18, "0-18", IF(WilsonData[[#This Row],[Age]]&lt;=35,"19-35", IF(WilsonData[[#This Row],[Age]]&lt;=50, "36-50",IF(WilsonData[[#This Row],[Age]]&lt;=65,"51-65", " 66+"))))</f>
        <v xml:space="preserve"> 66+</v>
      </c>
      <c r="D475" t="s">
        <v>11</v>
      </c>
      <c r="E475" t="s">
        <v>33</v>
      </c>
      <c r="F475" t="s">
        <v>30</v>
      </c>
      <c r="G475" s="1">
        <v>45674</v>
      </c>
      <c r="H475" t="s">
        <v>36</v>
      </c>
      <c r="I475" s="2">
        <v>45659.081665433812</v>
      </c>
      <c r="J475">
        <v>308</v>
      </c>
      <c r="K475" t="s">
        <v>18</v>
      </c>
      <c r="L475" s="1">
        <v>45679</v>
      </c>
      <c r="M475" s="6">
        <f>WilsonData[[#This Row],[Discharge Date]]-WilsonData[[#This Row],[Date of Admission]]</f>
        <v>5</v>
      </c>
      <c r="N475" t="s">
        <v>19</v>
      </c>
    </row>
    <row r="476" spans="1:14" x14ac:dyDescent="0.35">
      <c r="A476" t="s">
        <v>1280</v>
      </c>
      <c r="B476">
        <v>29</v>
      </c>
      <c r="C476" t="str">
        <f>IF(WilsonData[[#This Row],[Age]]&lt;=18, "0-18", IF(WilsonData[[#This Row],[Age]]&lt;=35,"19-35", IF(WilsonData[[#This Row],[Age]]&lt;=50, "36-50",IF(WilsonData[[#This Row],[Age]]&lt;=65,"51-65", " 66+"))))</f>
        <v>19-35</v>
      </c>
      <c r="D476" t="s">
        <v>20</v>
      </c>
      <c r="E476" t="s">
        <v>12</v>
      </c>
      <c r="F476" t="s">
        <v>13</v>
      </c>
      <c r="G476" s="1">
        <v>45874</v>
      </c>
      <c r="H476" t="s">
        <v>38</v>
      </c>
      <c r="I476" s="2">
        <v>25767.375180585161</v>
      </c>
      <c r="J476">
        <v>310</v>
      </c>
      <c r="K476" t="s">
        <v>18</v>
      </c>
      <c r="L476" s="1">
        <v>45880</v>
      </c>
      <c r="M476" s="6">
        <f>WilsonData[[#This Row],[Discharge Date]]-WilsonData[[#This Row],[Date of Admission]]</f>
        <v>6</v>
      </c>
      <c r="N476" t="s">
        <v>27</v>
      </c>
    </row>
    <row r="477" spans="1:14" x14ac:dyDescent="0.35">
      <c r="A477" t="s">
        <v>1281</v>
      </c>
      <c r="B477">
        <v>44</v>
      </c>
      <c r="C477" t="str">
        <f>IF(WilsonData[[#This Row],[Age]]&lt;=18, "0-18", IF(WilsonData[[#This Row],[Age]]&lt;=35,"19-35", IF(WilsonData[[#This Row],[Age]]&lt;=50, "36-50",IF(WilsonData[[#This Row],[Age]]&lt;=65,"51-65", " 66+"))))</f>
        <v>36-50</v>
      </c>
      <c r="D477" t="s">
        <v>11</v>
      </c>
      <c r="E477" t="s">
        <v>23</v>
      </c>
      <c r="F477" t="s">
        <v>17</v>
      </c>
      <c r="G477" s="1">
        <v>45968</v>
      </c>
      <c r="H477" t="s">
        <v>36</v>
      </c>
      <c r="I477" s="2">
        <v>16460.825115253989</v>
      </c>
      <c r="J477">
        <v>410</v>
      </c>
      <c r="K477" t="s">
        <v>25</v>
      </c>
      <c r="L477" s="1">
        <v>45979</v>
      </c>
      <c r="M477" s="6">
        <f>WilsonData[[#This Row],[Discharge Date]]-WilsonData[[#This Row],[Date of Admission]]</f>
        <v>11</v>
      </c>
      <c r="N477" t="s">
        <v>31</v>
      </c>
    </row>
    <row r="478" spans="1:14" x14ac:dyDescent="0.35">
      <c r="A478" t="s">
        <v>1282</v>
      </c>
      <c r="B478">
        <v>60</v>
      </c>
      <c r="C478" t="str">
        <f>IF(WilsonData[[#This Row],[Age]]&lt;=18, "0-18", IF(WilsonData[[#This Row],[Age]]&lt;=35,"19-35", IF(WilsonData[[#This Row],[Age]]&lt;=50, "36-50",IF(WilsonData[[#This Row],[Age]]&lt;=65,"51-65", " 66+"))))</f>
        <v>51-65</v>
      </c>
      <c r="D478" t="s">
        <v>20</v>
      </c>
      <c r="E478" t="s">
        <v>33</v>
      </c>
      <c r="F478" t="s">
        <v>17</v>
      </c>
      <c r="G478" s="1">
        <v>45969</v>
      </c>
      <c r="H478" t="s">
        <v>37</v>
      </c>
      <c r="I478" s="2">
        <v>20560.964662905881</v>
      </c>
      <c r="J478">
        <v>394</v>
      </c>
      <c r="K478" t="s">
        <v>18</v>
      </c>
      <c r="L478" s="1">
        <v>45976</v>
      </c>
      <c r="M478" s="6">
        <f>WilsonData[[#This Row],[Discharge Date]]-WilsonData[[#This Row],[Date of Admission]]</f>
        <v>7</v>
      </c>
      <c r="N478" t="s">
        <v>19</v>
      </c>
    </row>
    <row r="479" spans="1:14" x14ac:dyDescent="0.35">
      <c r="A479" t="s">
        <v>1283</v>
      </c>
      <c r="B479">
        <v>43</v>
      </c>
      <c r="C479" t="str">
        <f>IF(WilsonData[[#This Row],[Age]]&lt;=18, "0-18", IF(WilsonData[[#This Row],[Age]]&lt;=35,"19-35", IF(WilsonData[[#This Row],[Age]]&lt;=50, "36-50",IF(WilsonData[[#This Row],[Age]]&lt;=65,"51-65", " 66+"))))</f>
        <v>36-50</v>
      </c>
      <c r="D479" t="s">
        <v>20</v>
      </c>
      <c r="E479" t="s">
        <v>12</v>
      </c>
      <c r="F479" t="s">
        <v>28</v>
      </c>
      <c r="G479" s="1">
        <v>45705</v>
      </c>
      <c r="H479" t="s">
        <v>39</v>
      </c>
      <c r="I479" s="2">
        <v>41792.053540283319</v>
      </c>
      <c r="J479">
        <v>357</v>
      </c>
      <c r="K479" t="s">
        <v>18</v>
      </c>
      <c r="L479" s="1">
        <v>45718</v>
      </c>
      <c r="M479" s="6">
        <f>WilsonData[[#This Row],[Discharge Date]]-WilsonData[[#This Row],[Date of Admission]]</f>
        <v>13</v>
      </c>
      <c r="N479" t="s">
        <v>15</v>
      </c>
    </row>
    <row r="480" spans="1:14" x14ac:dyDescent="0.35">
      <c r="A480" t="s">
        <v>1284</v>
      </c>
      <c r="B480">
        <v>35</v>
      </c>
      <c r="C480" t="str">
        <f>IF(WilsonData[[#This Row],[Age]]&lt;=18, "0-18", IF(WilsonData[[#This Row],[Age]]&lt;=35,"19-35", IF(WilsonData[[#This Row],[Age]]&lt;=50, "36-50",IF(WilsonData[[#This Row],[Age]]&lt;=65,"51-65", " 66+"))))</f>
        <v>19-35</v>
      </c>
      <c r="D480" t="s">
        <v>11</v>
      </c>
      <c r="E480" t="s">
        <v>26</v>
      </c>
      <c r="F480" t="s">
        <v>32</v>
      </c>
      <c r="G480" s="1">
        <v>45949</v>
      </c>
      <c r="H480" t="s">
        <v>36</v>
      </c>
      <c r="I480" s="2">
        <v>27396.265745891869</v>
      </c>
      <c r="J480">
        <v>420</v>
      </c>
      <c r="K480" t="s">
        <v>18</v>
      </c>
      <c r="L480" s="1">
        <v>45963</v>
      </c>
      <c r="M480" s="6">
        <f>WilsonData[[#This Row],[Discharge Date]]-WilsonData[[#This Row],[Date of Admission]]</f>
        <v>14</v>
      </c>
      <c r="N480" t="s">
        <v>27</v>
      </c>
    </row>
    <row r="481" spans="1:14" x14ac:dyDescent="0.35">
      <c r="A481" t="s">
        <v>1285</v>
      </c>
      <c r="B481">
        <v>74</v>
      </c>
      <c r="C481" t="str">
        <f>IF(WilsonData[[#This Row],[Age]]&lt;=18, "0-18", IF(WilsonData[[#This Row],[Age]]&lt;=35,"19-35", IF(WilsonData[[#This Row],[Age]]&lt;=50, "36-50",IF(WilsonData[[#This Row],[Age]]&lt;=65,"51-65", " 66+"))))</f>
        <v xml:space="preserve"> 66+</v>
      </c>
      <c r="D481" t="s">
        <v>11</v>
      </c>
      <c r="E481" t="s">
        <v>21</v>
      </c>
      <c r="F481" t="s">
        <v>30</v>
      </c>
      <c r="G481" s="1">
        <v>46004</v>
      </c>
      <c r="H481" t="s">
        <v>37</v>
      </c>
      <c r="I481" s="2">
        <v>9342.4932701384369</v>
      </c>
      <c r="J481">
        <v>379</v>
      </c>
      <c r="K481" t="s">
        <v>18</v>
      </c>
      <c r="L481" s="1">
        <v>46014</v>
      </c>
      <c r="M481" s="6">
        <f>WilsonData[[#This Row],[Discharge Date]]-WilsonData[[#This Row],[Date of Admission]]</f>
        <v>10</v>
      </c>
      <c r="N481" t="s">
        <v>31</v>
      </c>
    </row>
    <row r="482" spans="1:14" x14ac:dyDescent="0.35">
      <c r="A482" t="s">
        <v>1286</v>
      </c>
      <c r="B482">
        <v>19</v>
      </c>
      <c r="C482" t="str">
        <f>IF(WilsonData[[#This Row],[Age]]&lt;=18, "0-18", IF(WilsonData[[#This Row],[Age]]&lt;=35,"19-35", IF(WilsonData[[#This Row],[Age]]&lt;=50, "36-50",IF(WilsonData[[#This Row],[Age]]&lt;=65,"51-65", " 66+"))))</f>
        <v>19-35</v>
      </c>
      <c r="D482" t="s">
        <v>20</v>
      </c>
      <c r="E482" t="s">
        <v>33</v>
      </c>
      <c r="F482" t="s">
        <v>17</v>
      </c>
      <c r="G482" s="1">
        <v>45953</v>
      </c>
      <c r="H482" t="s">
        <v>39</v>
      </c>
      <c r="I482" s="2">
        <v>29487.108459668761</v>
      </c>
      <c r="J482">
        <v>479</v>
      </c>
      <c r="K482" t="s">
        <v>18</v>
      </c>
      <c r="L482" s="1">
        <v>45964</v>
      </c>
      <c r="M482" s="6">
        <f>WilsonData[[#This Row],[Discharge Date]]-WilsonData[[#This Row],[Date of Admission]]</f>
        <v>11</v>
      </c>
      <c r="N482" t="s">
        <v>15</v>
      </c>
    </row>
    <row r="483" spans="1:14" x14ac:dyDescent="0.35">
      <c r="A483" t="s">
        <v>1287</v>
      </c>
      <c r="B483">
        <v>64</v>
      </c>
      <c r="C483" t="str">
        <f>IF(WilsonData[[#This Row],[Age]]&lt;=18, "0-18", IF(WilsonData[[#This Row],[Age]]&lt;=35,"19-35", IF(WilsonData[[#This Row],[Age]]&lt;=50, "36-50",IF(WilsonData[[#This Row],[Age]]&lt;=65,"51-65", " 66+"))))</f>
        <v>51-65</v>
      </c>
      <c r="D483" t="s">
        <v>20</v>
      </c>
      <c r="E483" t="s">
        <v>12</v>
      </c>
      <c r="F483" t="s">
        <v>28</v>
      </c>
      <c r="G483" s="1">
        <v>45723</v>
      </c>
      <c r="H483" t="s">
        <v>39</v>
      </c>
      <c r="I483" s="2">
        <v>47243.07353682386</v>
      </c>
      <c r="J483">
        <v>479</v>
      </c>
      <c r="K483" t="s">
        <v>18</v>
      </c>
      <c r="L483" s="1">
        <v>45733</v>
      </c>
      <c r="M483" s="6">
        <f>WilsonData[[#This Row],[Discharge Date]]-WilsonData[[#This Row],[Date of Admission]]</f>
        <v>10</v>
      </c>
      <c r="N483" t="s">
        <v>19</v>
      </c>
    </row>
    <row r="484" spans="1:14" x14ac:dyDescent="0.35">
      <c r="A484" t="s">
        <v>1288</v>
      </c>
      <c r="B484">
        <v>33</v>
      </c>
      <c r="C484" t="str">
        <f>IF(WilsonData[[#This Row],[Age]]&lt;=18, "0-18", IF(WilsonData[[#This Row],[Age]]&lt;=35,"19-35", IF(WilsonData[[#This Row],[Age]]&lt;=50, "36-50",IF(WilsonData[[#This Row],[Age]]&lt;=65,"51-65", " 66+"))))</f>
        <v>19-35</v>
      </c>
      <c r="D484" t="s">
        <v>11</v>
      </c>
      <c r="E484" t="s">
        <v>33</v>
      </c>
      <c r="F484" t="s">
        <v>17</v>
      </c>
      <c r="G484" s="1">
        <v>45707</v>
      </c>
      <c r="H484" t="s">
        <v>37</v>
      </c>
      <c r="I484" s="2">
        <v>12961.37254976216</v>
      </c>
      <c r="J484">
        <v>403</v>
      </c>
      <c r="K484" t="s">
        <v>18</v>
      </c>
      <c r="L484" s="1">
        <v>45715</v>
      </c>
      <c r="M484" s="6">
        <f>WilsonData[[#This Row],[Discharge Date]]-WilsonData[[#This Row],[Date of Admission]]</f>
        <v>8</v>
      </c>
      <c r="N484" t="s">
        <v>31</v>
      </c>
    </row>
    <row r="485" spans="1:14" x14ac:dyDescent="0.35">
      <c r="A485" t="s">
        <v>1289</v>
      </c>
      <c r="B485">
        <v>44</v>
      </c>
      <c r="C485" t="str">
        <f>IF(WilsonData[[#This Row],[Age]]&lt;=18, "0-18", IF(WilsonData[[#This Row],[Age]]&lt;=35,"19-35", IF(WilsonData[[#This Row],[Age]]&lt;=50, "36-50",IF(WilsonData[[#This Row],[Age]]&lt;=65,"51-65", " 66+"))))</f>
        <v>36-50</v>
      </c>
      <c r="D485" t="s">
        <v>20</v>
      </c>
      <c r="E485" t="s">
        <v>23</v>
      </c>
      <c r="F485" t="s">
        <v>32</v>
      </c>
      <c r="G485" s="1">
        <v>45916</v>
      </c>
      <c r="H485" t="s">
        <v>37</v>
      </c>
      <c r="I485" s="2">
        <v>38955.555431980727</v>
      </c>
      <c r="J485">
        <v>158</v>
      </c>
      <c r="K485" t="s">
        <v>25</v>
      </c>
      <c r="L485" s="1">
        <v>45925</v>
      </c>
      <c r="M485" s="6">
        <f>WilsonData[[#This Row],[Discharge Date]]-WilsonData[[#This Row],[Date of Admission]]</f>
        <v>9</v>
      </c>
      <c r="N485" t="s">
        <v>31</v>
      </c>
    </row>
    <row r="486" spans="1:14" x14ac:dyDescent="0.35">
      <c r="A486" t="s">
        <v>1290</v>
      </c>
      <c r="B486">
        <v>50</v>
      </c>
      <c r="C486" t="str">
        <f>IF(WilsonData[[#This Row],[Age]]&lt;=18, "0-18", IF(WilsonData[[#This Row],[Age]]&lt;=35,"19-35", IF(WilsonData[[#This Row],[Age]]&lt;=50, "36-50",IF(WilsonData[[#This Row],[Age]]&lt;=65,"51-65", " 66+"))))</f>
        <v>36-50</v>
      </c>
      <c r="D486" t="s">
        <v>20</v>
      </c>
      <c r="E486" t="s">
        <v>26</v>
      </c>
      <c r="F486" t="s">
        <v>28</v>
      </c>
      <c r="G486" s="1">
        <v>45824</v>
      </c>
      <c r="H486" t="s">
        <v>37</v>
      </c>
      <c r="I486" s="2">
        <v>31669.933419492991</v>
      </c>
      <c r="J486">
        <v>198</v>
      </c>
      <c r="K486" t="s">
        <v>25</v>
      </c>
      <c r="L486" s="1">
        <v>45830</v>
      </c>
      <c r="M486" s="6">
        <f>WilsonData[[#This Row],[Discharge Date]]-WilsonData[[#This Row],[Date of Admission]]</f>
        <v>6</v>
      </c>
      <c r="N486" t="s">
        <v>22</v>
      </c>
    </row>
    <row r="487" spans="1:14" x14ac:dyDescent="0.35">
      <c r="A487" t="s">
        <v>1291</v>
      </c>
      <c r="B487">
        <v>52</v>
      </c>
      <c r="C487" t="str">
        <f>IF(WilsonData[[#This Row],[Age]]&lt;=18, "0-18", IF(WilsonData[[#This Row],[Age]]&lt;=35,"19-35", IF(WilsonData[[#This Row],[Age]]&lt;=50, "36-50",IF(WilsonData[[#This Row],[Age]]&lt;=65,"51-65", " 66+"))))</f>
        <v>51-65</v>
      </c>
      <c r="D487" t="s">
        <v>20</v>
      </c>
      <c r="E487" t="s">
        <v>34</v>
      </c>
      <c r="F487" t="s">
        <v>17</v>
      </c>
      <c r="G487" s="1">
        <v>45844</v>
      </c>
      <c r="H487" t="s">
        <v>36</v>
      </c>
      <c r="I487" s="2">
        <v>38683.446827763008</v>
      </c>
      <c r="J487">
        <v>418</v>
      </c>
      <c r="K487" t="s">
        <v>25</v>
      </c>
      <c r="L487" s="1">
        <v>45854</v>
      </c>
      <c r="M487" s="6">
        <f>WilsonData[[#This Row],[Discharge Date]]-WilsonData[[#This Row],[Date of Admission]]</f>
        <v>10</v>
      </c>
      <c r="N487" t="s">
        <v>15</v>
      </c>
    </row>
    <row r="488" spans="1:14" x14ac:dyDescent="0.35">
      <c r="A488" t="s">
        <v>1292</v>
      </c>
      <c r="B488">
        <v>83</v>
      </c>
      <c r="C488" t="str">
        <f>IF(WilsonData[[#This Row],[Age]]&lt;=18, "0-18", IF(WilsonData[[#This Row],[Age]]&lt;=35,"19-35", IF(WilsonData[[#This Row],[Age]]&lt;=50, "36-50",IF(WilsonData[[#This Row],[Age]]&lt;=65,"51-65", " 66+"))))</f>
        <v xml:space="preserve"> 66+</v>
      </c>
      <c r="D488" t="s">
        <v>20</v>
      </c>
      <c r="E488" t="s">
        <v>34</v>
      </c>
      <c r="F488" t="s">
        <v>13</v>
      </c>
      <c r="G488" s="1">
        <v>45946</v>
      </c>
      <c r="H488" t="s">
        <v>39</v>
      </c>
      <c r="I488" s="2">
        <v>24836.307731728681</v>
      </c>
      <c r="J488">
        <v>380</v>
      </c>
      <c r="K488" t="s">
        <v>25</v>
      </c>
      <c r="L488" s="1">
        <v>45960</v>
      </c>
      <c r="M488" s="6">
        <f>WilsonData[[#This Row],[Discharge Date]]-WilsonData[[#This Row],[Date of Admission]]</f>
        <v>14</v>
      </c>
      <c r="N488" t="s">
        <v>27</v>
      </c>
    </row>
    <row r="489" spans="1:14" x14ac:dyDescent="0.35">
      <c r="A489" t="s">
        <v>1293</v>
      </c>
      <c r="B489">
        <v>72</v>
      </c>
      <c r="C489" t="str">
        <f>IF(WilsonData[[#This Row],[Age]]&lt;=18, "0-18", IF(WilsonData[[#This Row],[Age]]&lt;=35,"19-35", IF(WilsonData[[#This Row],[Age]]&lt;=50, "36-50",IF(WilsonData[[#This Row],[Age]]&lt;=65,"51-65", " 66+"))))</f>
        <v xml:space="preserve"> 66+</v>
      </c>
      <c r="D489" t="s">
        <v>20</v>
      </c>
      <c r="E489" t="s">
        <v>23</v>
      </c>
      <c r="F489" t="s">
        <v>24</v>
      </c>
      <c r="G489" s="1">
        <v>45983</v>
      </c>
      <c r="H489" t="s">
        <v>39</v>
      </c>
      <c r="I489" s="2">
        <v>19860.590223399751</v>
      </c>
      <c r="J489">
        <v>466</v>
      </c>
      <c r="K489" t="s">
        <v>18</v>
      </c>
      <c r="L489" s="1">
        <v>45984</v>
      </c>
      <c r="M489" s="6">
        <f>WilsonData[[#This Row],[Discharge Date]]-WilsonData[[#This Row],[Date of Admission]]</f>
        <v>1</v>
      </c>
      <c r="N489" t="s">
        <v>22</v>
      </c>
    </row>
    <row r="490" spans="1:14" x14ac:dyDescent="0.35">
      <c r="A490" t="s">
        <v>1294</v>
      </c>
      <c r="B490">
        <v>37</v>
      </c>
      <c r="C490" t="str">
        <f>IF(WilsonData[[#This Row],[Age]]&lt;=18, "0-18", IF(WilsonData[[#This Row],[Age]]&lt;=35,"19-35", IF(WilsonData[[#This Row],[Age]]&lt;=50, "36-50",IF(WilsonData[[#This Row],[Age]]&lt;=65,"51-65", " 66+"))))</f>
        <v>36-50</v>
      </c>
      <c r="D490" t="s">
        <v>11</v>
      </c>
      <c r="E490" t="s">
        <v>33</v>
      </c>
      <c r="F490" t="s">
        <v>32</v>
      </c>
      <c r="G490" s="1">
        <v>45749</v>
      </c>
      <c r="H490" t="s">
        <v>38</v>
      </c>
      <c r="I490" s="2">
        <v>9447.8462138127197</v>
      </c>
      <c r="J490">
        <v>159</v>
      </c>
      <c r="K490" t="s">
        <v>18</v>
      </c>
      <c r="L490" s="1">
        <v>45751</v>
      </c>
      <c r="M490" s="6">
        <f>WilsonData[[#This Row],[Discharge Date]]-WilsonData[[#This Row],[Date of Admission]]</f>
        <v>2</v>
      </c>
      <c r="N490" t="s">
        <v>22</v>
      </c>
    </row>
    <row r="491" spans="1:14" x14ac:dyDescent="0.35">
      <c r="A491" t="s">
        <v>1295</v>
      </c>
      <c r="B491">
        <v>44</v>
      </c>
      <c r="C491" t="str">
        <f>IF(WilsonData[[#This Row],[Age]]&lt;=18, "0-18", IF(WilsonData[[#This Row],[Age]]&lt;=35,"19-35", IF(WilsonData[[#This Row],[Age]]&lt;=50, "36-50",IF(WilsonData[[#This Row],[Age]]&lt;=65,"51-65", " 66+"))))</f>
        <v>36-50</v>
      </c>
      <c r="D491" t="s">
        <v>11</v>
      </c>
      <c r="E491" t="s">
        <v>16</v>
      </c>
      <c r="F491" t="s">
        <v>24</v>
      </c>
      <c r="G491" s="1">
        <v>45969</v>
      </c>
      <c r="H491" t="s">
        <v>37</v>
      </c>
      <c r="I491" s="2">
        <v>41131.014179550708</v>
      </c>
      <c r="J491">
        <v>432</v>
      </c>
      <c r="K491" t="s">
        <v>18</v>
      </c>
      <c r="L491" s="1">
        <v>45981</v>
      </c>
      <c r="M491" s="6">
        <f>WilsonData[[#This Row],[Discharge Date]]-WilsonData[[#This Row],[Date of Admission]]</f>
        <v>12</v>
      </c>
      <c r="N491" t="s">
        <v>19</v>
      </c>
    </row>
    <row r="492" spans="1:14" x14ac:dyDescent="0.35">
      <c r="A492" t="s">
        <v>1296</v>
      </c>
      <c r="B492">
        <v>22</v>
      </c>
      <c r="C492" t="str">
        <f>IF(WilsonData[[#This Row],[Age]]&lt;=18, "0-18", IF(WilsonData[[#This Row],[Age]]&lt;=35,"19-35", IF(WilsonData[[#This Row],[Age]]&lt;=50, "36-50",IF(WilsonData[[#This Row],[Age]]&lt;=65,"51-65", " 66+"))))</f>
        <v>19-35</v>
      </c>
      <c r="D492" t="s">
        <v>20</v>
      </c>
      <c r="E492" t="s">
        <v>21</v>
      </c>
      <c r="F492" t="s">
        <v>28</v>
      </c>
      <c r="G492" s="1">
        <v>45735</v>
      </c>
      <c r="H492" t="s">
        <v>36</v>
      </c>
      <c r="I492" s="2">
        <v>28907.31963848351</v>
      </c>
      <c r="J492">
        <v>284</v>
      </c>
      <c r="K492" t="s">
        <v>25</v>
      </c>
      <c r="L492" s="1">
        <v>45745</v>
      </c>
      <c r="M492" s="6">
        <f>WilsonData[[#This Row],[Discharge Date]]-WilsonData[[#This Row],[Date of Admission]]</f>
        <v>10</v>
      </c>
      <c r="N492" t="s">
        <v>19</v>
      </c>
    </row>
    <row r="493" spans="1:14" x14ac:dyDescent="0.35">
      <c r="A493" t="s">
        <v>1297</v>
      </c>
      <c r="B493">
        <v>66</v>
      </c>
      <c r="C493" t="str">
        <f>IF(WilsonData[[#This Row],[Age]]&lt;=18, "0-18", IF(WilsonData[[#This Row],[Age]]&lt;=35,"19-35", IF(WilsonData[[#This Row],[Age]]&lt;=50, "36-50",IF(WilsonData[[#This Row],[Age]]&lt;=65,"51-65", " 66+"))))</f>
        <v xml:space="preserve"> 66+</v>
      </c>
      <c r="D493" t="s">
        <v>11</v>
      </c>
      <c r="E493" t="s">
        <v>33</v>
      </c>
      <c r="F493" t="s">
        <v>32</v>
      </c>
      <c r="G493" s="1">
        <v>45814</v>
      </c>
      <c r="H493" t="s">
        <v>39</v>
      </c>
      <c r="I493" s="2">
        <v>10980.53923666976</v>
      </c>
      <c r="J493">
        <v>113</v>
      </c>
      <c r="K493" t="s">
        <v>25</v>
      </c>
      <c r="L493" s="1">
        <v>45819</v>
      </c>
      <c r="M493" s="6">
        <f>WilsonData[[#This Row],[Discharge Date]]-WilsonData[[#This Row],[Date of Admission]]</f>
        <v>5</v>
      </c>
      <c r="N493" t="s">
        <v>31</v>
      </c>
    </row>
    <row r="494" spans="1:14" x14ac:dyDescent="0.35">
      <c r="A494" t="s">
        <v>1298</v>
      </c>
      <c r="B494">
        <v>77</v>
      </c>
      <c r="C494" t="str">
        <f>IF(WilsonData[[#This Row],[Age]]&lt;=18, "0-18", IF(WilsonData[[#This Row],[Age]]&lt;=35,"19-35", IF(WilsonData[[#This Row],[Age]]&lt;=50, "36-50",IF(WilsonData[[#This Row],[Age]]&lt;=65,"51-65", " 66+"))))</f>
        <v xml:space="preserve"> 66+</v>
      </c>
      <c r="D494" t="s">
        <v>20</v>
      </c>
      <c r="E494" t="s">
        <v>16</v>
      </c>
      <c r="F494" t="s">
        <v>30</v>
      </c>
      <c r="G494" s="1">
        <v>45991</v>
      </c>
      <c r="H494" t="s">
        <v>38</v>
      </c>
      <c r="I494" s="2">
        <v>19855.109035933499</v>
      </c>
      <c r="J494">
        <v>440</v>
      </c>
      <c r="K494" t="s">
        <v>25</v>
      </c>
      <c r="L494" s="1">
        <v>45992</v>
      </c>
      <c r="M494" s="6">
        <f>WilsonData[[#This Row],[Discharge Date]]-WilsonData[[#This Row],[Date of Admission]]</f>
        <v>1</v>
      </c>
      <c r="N494" t="s">
        <v>22</v>
      </c>
    </row>
    <row r="495" spans="1:14" x14ac:dyDescent="0.35">
      <c r="A495" t="s">
        <v>1299</v>
      </c>
      <c r="B495">
        <v>65</v>
      </c>
      <c r="C495" t="str">
        <f>IF(WilsonData[[#This Row],[Age]]&lt;=18, "0-18", IF(WilsonData[[#This Row],[Age]]&lt;=35,"19-35", IF(WilsonData[[#This Row],[Age]]&lt;=50, "36-50",IF(WilsonData[[#This Row],[Age]]&lt;=65,"51-65", " 66+"))))</f>
        <v>51-65</v>
      </c>
      <c r="D495" t="s">
        <v>20</v>
      </c>
      <c r="E495" t="s">
        <v>21</v>
      </c>
      <c r="F495" t="s">
        <v>28</v>
      </c>
      <c r="G495" s="1">
        <v>45729</v>
      </c>
      <c r="H495" t="s">
        <v>36</v>
      </c>
      <c r="I495" s="2">
        <v>43477.755524406602</v>
      </c>
      <c r="J495">
        <v>442</v>
      </c>
      <c r="K495" t="s">
        <v>18</v>
      </c>
      <c r="L495" s="1">
        <v>45740</v>
      </c>
      <c r="M495" s="6">
        <f>WilsonData[[#This Row],[Discharge Date]]-WilsonData[[#This Row],[Date of Admission]]</f>
        <v>11</v>
      </c>
      <c r="N495" t="s">
        <v>27</v>
      </c>
    </row>
    <row r="496" spans="1:14" x14ac:dyDescent="0.35">
      <c r="A496" t="s">
        <v>1300</v>
      </c>
      <c r="B496">
        <v>26</v>
      </c>
      <c r="C496" t="str">
        <f>IF(WilsonData[[#This Row],[Age]]&lt;=18, "0-18", IF(WilsonData[[#This Row],[Age]]&lt;=35,"19-35", IF(WilsonData[[#This Row],[Age]]&lt;=50, "36-50",IF(WilsonData[[#This Row],[Age]]&lt;=65,"51-65", " 66+"))))</f>
        <v>19-35</v>
      </c>
      <c r="D496" t="s">
        <v>11</v>
      </c>
      <c r="E496" t="s">
        <v>23</v>
      </c>
      <c r="F496" t="s">
        <v>13</v>
      </c>
      <c r="G496" s="1">
        <v>45818</v>
      </c>
      <c r="H496" t="s">
        <v>38</v>
      </c>
      <c r="I496" s="2">
        <v>6654.6343902702883</v>
      </c>
      <c r="J496">
        <v>145</v>
      </c>
      <c r="K496" t="s">
        <v>18</v>
      </c>
      <c r="L496" s="1">
        <v>45829</v>
      </c>
      <c r="M496" s="6">
        <f>WilsonData[[#This Row],[Discharge Date]]-WilsonData[[#This Row],[Date of Admission]]</f>
        <v>11</v>
      </c>
      <c r="N496" t="s">
        <v>22</v>
      </c>
    </row>
    <row r="497" spans="1:14" x14ac:dyDescent="0.35">
      <c r="A497" t="s">
        <v>1301</v>
      </c>
      <c r="B497">
        <v>69</v>
      </c>
      <c r="C497" t="str">
        <f>IF(WilsonData[[#This Row],[Age]]&lt;=18, "0-18", IF(WilsonData[[#This Row],[Age]]&lt;=35,"19-35", IF(WilsonData[[#This Row],[Age]]&lt;=50, "36-50",IF(WilsonData[[#This Row],[Age]]&lt;=65,"51-65", " 66+"))))</f>
        <v xml:space="preserve"> 66+</v>
      </c>
      <c r="D497" t="s">
        <v>11</v>
      </c>
      <c r="E497" t="s">
        <v>21</v>
      </c>
      <c r="F497" t="s">
        <v>32</v>
      </c>
      <c r="G497" s="1">
        <v>45696</v>
      </c>
      <c r="H497" t="s">
        <v>38</v>
      </c>
      <c r="I497" s="2">
        <v>7702.4675388246442</v>
      </c>
      <c r="J497">
        <v>287</v>
      </c>
      <c r="K497" t="s">
        <v>25</v>
      </c>
      <c r="L497" s="1">
        <v>45706</v>
      </c>
      <c r="M497" s="6">
        <f>WilsonData[[#This Row],[Discharge Date]]-WilsonData[[#This Row],[Date of Admission]]</f>
        <v>10</v>
      </c>
      <c r="N497" t="s">
        <v>19</v>
      </c>
    </row>
    <row r="498" spans="1:14" x14ac:dyDescent="0.35">
      <c r="A498" t="s">
        <v>1302</v>
      </c>
      <c r="B498">
        <v>85</v>
      </c>
      <c r="C498" t="str">
        <f>IF(WilsonData[[#This Row],[Age]]&lt;=18, "0-18", IF(WilsonData[[#This Row],[Age]]&lt;=35,"19-35", IF(WilsonData[[#This Row],[Age]]&lt;=50, "36-50",IF(WilsonData[[#This Row],[Age]]&lt;=65,"51-65", " 66+"))))</f>
        <v xml:space="preserve"> 66+</v>
      </c>
      <c r="D498" t="s">
        <v>11</v>
      </c>
      <c r="E498" t="s">
        <v>21</v>
      </c>
      <c r="F498" t="s">
        <v>28</v>
      </c>
      <c r="G498" s="1">
        <v>45776</v>
      </c>
      <c r="H498" t="s">
        <v>38</v>
      </c>
      <c r="I498" s="2">
        <v>44129.30844666365</v>
      </c>
      <c r="J498">
        <v>309</v>
      </c>
      <c r="K498" t="s">
        <v>25</v>
      </c>
      <c r="L498" s="1">
        <v>45780</v>
      </c>
      <c r="M498" s="6">
        <f>WilsonData[[#This Row],[Discharge Date]]-WilsonData[[#This Row],[Date of Admission]]</f>
        <v>4</v>
      </c>
      <c r="N498" t="s">
        <v>15</v>
      </c>
    </row>
    <row r="499" spans="1:14" x14ac:dyDescent="0.35">
      <c r="A499" t="s">
        <v>1303</v>
      </c>
      <c r="B499">
        <v>33</v>
      </c>
      <c r="C499" t="str">
        <f>IF(WilsonData[[#This Row],[Age]]&lt;=18, "0-18", IF(WilsonData[[#This Row],[Age]]&lt;=35,"19-35", IF(WilsonData[[#This Row],[Age]]&lt;=50, "36-50",IF(WilsonData[[#This Row],[Age]]&lt;=65,"51-65", " 66+"))))</f>
        <v>19-35</v>
      </c>
      <c r="D499" t="s">
        <v>20</v>
      </c>
      <c r="E499" t="s">
        <v>12</v>
      </c>
      <c r="F499" t="s">
        <v>13</v>
      </c>
      <c r="G499" s="1">
        <v>45878</v>
      </c>
      <c r="H499" t="s">
        <v>37</v>
      </c>
      <c r="I499" s="2">
        <v>14372.737637807601</v>
      </c>
      <c r="J499">
        <v>135</v>
      </c>
      <c r="K499" t="s">
        <v>25</v>
      </c>
      <c r="L499" s="1">
        <v>45885</v>
      </c>
      <c r="M499" s="6">
        <f>WilsonData[[#This Row],[Discharge Date]]-WilsonData[[#This Row],[Date of Admission]]</f>
        <v>7</v>
      </c>
      <c r="N499" t="s">
        <v>15</v>
      </c>
    </row>
    <row r="500" spans="1:14" x14ac:dyDescent="0.35">
      <c r="A500" t="s">
        <v>1304</v>
      </c>
      <c r="B500">
        <v>53</v>
      </c>
      <c r="C500" t="str">
        <f>IF(WilsonData[[#This Row],[Age]]&lt;=18, "0-18", IF(WilsonData[[#This Row],[Age]]&lt;=35,"19-35", IF(WilsonData[[#This Row],[Age]]&lt;=50, "36-50",IF(WilsonData[[#This Row],[Age]]&lt;=65,"51-65", " 66+"))))</f>
        <v>51-65</v>
      </c>
      <c r="D500" t="s">
        <v>20</v>
      </c>
      <c r="E500" t="s">
        <v>23</v>
      </c>
      <c r="F500" t="s">
        <v>13</v>
      </c>
      <c r="G500" s="1">
        <v>45843</v>
      </c>
      <c r="H500" t="s">
        <v>39</v>
      </c>
      <c r="I500" s="2">
        <v>9024.0923011812956</v>
      </c>
      <c r="J500">
        <v>178</v>
      </c>
      <c r="K500" t="s">
        <v>25</v>
      </c>
      <c r="L500" s="1">
        <v>45857</v>
      </c>
      <c r="M500" s="6">
        <f>WilsonData[[#This Row],[Discharge Date]]-WilsonData[[#This Row],[Date of Admission]]</f>
        <v>14</v>
      </c>
      <c r="N500" t="s">
        <v>27</v>
      </c>
    </row>
    <row r="501" spans="1:14" x14ac:dyDescent="0.35">
      <c r="A501" t="s">
        <v>1305</v>
      </c>
      <c r="B501">
        <v>22</v>
      </c>
      <c r="C501" t="str">
        <f>IF(WilsonData[[#This Row],[Age]]&lt;=18, "0-18", IF(WilsonData[[#This Row],[Age]]&lt;=35,"19-35", IF(WilsonData[[#This Row],[Age]]&lt;=50, "36-50",IF(WilsonData[[#This Row],[Age]]&lt;=65,"51-65", " 66+"))))</f>
        <v>19-35</v>
      </c>
      <c r="D501" t="s">
        <v>11</v>
      </c>
      <c r="E501" t="s">
        <v>34</v>
      </c>
      <c r="F501" t="s">
        <v>17</v>
      </c>
      <c r="G501" s="1">
        <v>45970</v>
      </c>
      <c r="H501" t="s">
        <v>39</v>
      </c>
      <c r="I501" s="2">
        <v>37216.706496772647</v>
      </c>
      <c r="J501">
        <v>345</v>
      </c>
      <c r="K501" t="s">
        <v>25</v>
      </c>
      <c r="L501" s="1">
        <v>45977</v>
      </c>
      <c r="M501" s="6">
        <f>WilsonData[[#This Row],[Discharge Date]]-WilsonData[[#This Row],[Date of Admission]]</f>
        <v>7</v>
      </c>
      <c r="N501" t="s">
        <v>19</v>
      </c>
    </row>
    <row r="502" spans="1:14" x14ac:dyDescent="0.35">
      <c r="A502" t="s">
        <v>1306</v>
      </c>
      <c r="B502">
        <v>81</v>
      </c>
      <c r="C502" t="str">
        <f>IF(WilsonData[[#This Row],[Age]]&lt;=18, "0-18", IF(WilsonData[[#This Row],[Age]]&lt;=35,"19-35", IF(WilsonData[[#This Row],[Age]]&lt;=50, "36-50",IF(WilsonData[[#This Row],[Age]]&lt;=65,"51-65", " 66+"))))</f>
        <v xml:space="preserve"> 66+</v>
      </c>
      <c r="D502" t="s">
        <v>11</v>
      </c>
      <c r="E502" t="s">
        <v>26</v>
      </c>
      <c r="F502" t="s">
        <v>28</v>
      </c>
      <c r="G502" s="1">
        <v>45886</v>
      </c>
      <c r="H502" t="s">
        <v>36</v>
      </c>
      <c r="I502" s="2">
        <v>18283.38967311088</v>
      </c>
      <c r="J502">
        <v>153</v>
      </c>
      <c r="K502" t="s">
        <v>25</v>
      </c>
      <c r="L502" s="1">
        <v>45894</v>
      </c>
      <c r="M502" s="6">
        <f>WilsonData[[#This Row],[Discharge Date]]-WilsonData[[#This Row],[Date of Admission]]</f>
        <v>8</v>
      </c>
      <c r="N502" t="s">
        <v>15</v>
      </c>
    </row>
    <row r="503" spans="1:14" x14ac:dyDescent="0.35">
      <c r="A503" t="s">
        <v>1307</v>
      </c>
      <c r="B503">
        <v>70</v>
      </c>
      <c r="C503" t="str">
        <f>IF(WilsonData[[#This Row],[Age]]&lt;=18, "0-18", IF(WilsonData[[#This Row],[Age]]&lt;=35,"19-35", IF(WilsonData[[#This Row],[Age]]&lt;=50, "36-50",IF(WilsonData[[#This Row],[Age]]&lt;=65,"51-65", " 66+"))))</f>
        <v xml:space="preserve"> 66+</v>
      </c>
      <c r="D503" t="s">
        <v>11</v>
      </c>
      <c r="E503" t="s">
        <v>16</v>
      </c>
      <c r="F503" t="s">
        <v>28</v>
      </c>
      <c r="G503" s="1">
        <v>45944</v>
      </c>
      <c r="H503" t="s">
        <v>37</v>
      </c>
      <c r="I503" s="2">
        <v>11838.8651860794</v>
      </c>
      <c r="J503">
        <v>389</v>
      </c>
      <c r="K503" t="s">
        <v>25</v>
      </c>
      <c r="L503" s="1">
        <v>45948</v>
      </c>
      <c r="M503" s="6">
        <f>WilsonData[[#This Row],[Discharge Date]]-WilsonData[[#This Row],[Date of Admission]]</f>
        <v>4</v>
      </c>
      <c r="N503" t="s">
        <v>31</v>
      </c>
    </row>
    <row r="504" spans="1:14" x14ac:dyDescent="0.35">
      <c r="A504" t="s">
        <v>1308</v>
      </c>
      <c r="B504">
        <v>41</v>
      </c>
      <c r="C504" t="str">
        <f>IF(WilsonData[[#This Row],[Age]]&lt;=18, "0-18", IF(WilsonData[[#This Row],[Age]]&lt;=35,"19-35", IF(WilsonData[[#This Row],[Age]]&lt;=50, "36-50",IF(WilsonData[[#This Row],[Age]]&lt;=65,"51-65", " 66+"))))</f>
        <v>36-50</v>
      </c>
      <c r="D504" t="s">
        <v>20</v>
      </c>
      <c r="E504" t="s">
        <v>12</v>
      </c>
      <c r="F504" t="s">
        <v>13</v>
      </c>
      <c r="G504" s="1">
        <v>45985</v>
      </c>
      <c r="H504" t="s">
        <v>37</v>
      </c>
      <c r="I504" s="2">
        <v>37685.2743238283</v>
      </c>
      <c r="J504">
        <v>390</v>
      </c>
      <c r="K504" t="s">
        <v>18</v>
      </c>
      <c r="L504" s="1">
        <v>45991</v>
      </c>
      <c r="M504" s="6">
        <f>WilsonData[[#This Row],[Discharge Date]]-WilsonData[[#This Row],[Date of Admission]]</f>
        <v>6</v>
      </c>
      <c r="N504" t="s">
        <v>19</v>
      </c>
    </row>
    <row r="505" spans="1:14" x14ac:dyDescent="0.35">
      <c r="A505" t="s">
        <v>1309</v>
      </c>
      <c r="B505">
        <v>65</v>
      </c>
      <c r="C505" t="str">
        <f>IF(WilsonData[[#This Row],[Age]]&lt;=18, "0-18", IF(WilsonData[[#This Row],[Age]]&lt;=35,"19-35", IF(WilsonData[[#This Row],[Age]]&lt;=50, "36-50",IF(WilsonData[[#This Row],[Age]]&lt;=65,"51-65", " 66+"))))</f>
        <v>51-65</v>
      </c>
      <c r="D505" t="s">
        <v>20</v>
      </c>
      <c r="E505" t="s">
        <v>16</v>
      </c>
      <c r="F505" t="s">
        <v>24</v>
      </c>
      <c r="G505" s="1">
        <v>45739</v>
      </c>
      <c r="H505" t="s">
        <v>37</v>
      </c>
      <c r="I505" s="2">
        <v>19547.240509988969</v>
      </c>
      <c r="J505">
        <v>368</v>
      </c>
      <c r="K505" t="s">
        <v>18</v>
      </c>
      <c r="L505" s="1">
        <v>45741</v>
      </c>
      <c r="M505" s="6">
        <f>WilsonData[[#This Row],[Discharge Date]]-WilsonData[[#This Row],[Date of Admission]]</f>
        <v>2</v>
      </c>
      <c r="N505" t="s">
        <v>22</v>
      </c>
    </row>
    <row r="506" spans="1:14" x14ac:dyDescent="0.35">
      <c r="A506" t="s">
        <v>1310</v>
      </c>
      <c r="B506">
        <v>76</v>
      </c>
      <c r="C506" t="str">
        <f>IF(WilsonData[[#This Row],[Age]]&lt;=18, "0-18", IF(WilsonData[[#This Row],[Age]]&lt;=35,"19-35", IF(WilsonData[[#This Row],[Age]]&lt;=50, "36-50",IF(WilsonData[[#This Row],[Age]]&lt;=65,"51-65", " 66+"))))</f>
        <v xml:space="preserve"> 66+</v>
      </c>
      <c r="D506" t="s">
        <v>11</v>
      </c>
      <c r="E506" t="s">
        <v>12</v>
      </c>
      <c r="F506" t="s">
        <v>28</v>
      </c>
      <c r="G506" s="1">
        <v>45742</v>
      </c>
      <c r="H506" t="s">
        <v>36</v>
      </c>
      <c r="I506" s="2">
        <v>39557.888444639721</v>
      </c>
      <c r="J506">
        <v>179</v>
      </c>
      <c r="K506" t="s">
        <v>25</v>
      </c>
      <c r="L506" s="1">
        <v>45745</v>
      </c>
      <c r="M506" s="6">
        <f>WilsonData[[#This Row],[Discharge Date]]-WilsonData[[#This Row],[Date of Admission]]</f>
        <v>3</v>
      </c>
      <c r="N506" t="s">
        <v>22</v>
      </c>
    </row>
    <row r="507" spans="1:14" x14ac:dyDescent="0.35">
      <c r="A507" t="s">
        <v>1311</v>
      </c>
      <c r="B507">
        <v>40</v>
      </c>
      <c r="C507" t="str">
        <f>IF(WilsonData[[#This Row],[Age]]&lt;=18, "0-18", IF(WilsonData[[#This Row],[Age]]&lt;=35,"19-35", IF(WilsonData[[#This Row],[Age]]&lt;=50, "36-50",IF(WilsonData[[#This Row],[Age]]&lt;=65,"51-65", " 66+"))))</f>
        <v>36-50</v>
      </c>
      <c r="D507" t="s">
        <v>20</v>
      </c>
      <c r="E507" t="s">
        <v>26</v>
      </c>
      <c r="F507" t="s">
        <v>24</v>
      </c>
      <c r="G507" s="1">
        <v>45668</v>
      </c>
      <c r="H507" t="s">
        <v>36</v>
      </c>
      <c r="I507" s="2">
        <v>5289.0850208270422</v>
      </c>
      <c r="J507">
        <v>310</v>
      </c>
      <c r="K507" t="s">
        <v>25</v>
      </c>
      <c r="L507" s="1">
        <v>45678</v>
      </c>
      <c r="M507" s="6">
        <f>WilsonData[[#This Row],[Discharge Date]]-WilsonData[[#This Row],[Date of Admission]]</f>
        <v>10</v>
      </c>
      <c r="N507" t="s">
        <v>27</v>
      </c>
    </row>
    <row r="508" spans="1:14" x14ac:dyDescent="0.35">
      <c r="A508" t="s">
        <v>1312</v>
      </c>
      <c r="B508">
        <v>29</v>
      </c>
      <c r="C508" t="str">
        <f>IF(WilsonData[[#This Row],[Age]]&lt;=18, "0-18", IF(WilsonData[[#This Row],[Age]]&lt;=35,"19-35", IF(WilsonData[[#This Row],[Age]]&lt;=50, "36-50",IF(WilsonData[[#This Row],[Age]]&lt;=65,"51-65", " 66+"))))</f>
        <v>19-35</v>
      </c>
      <c r="D508" t="s">
        <v>11</v>
      </c>
      <c r="E508" t="s">
        <v>26</v>
      </c>
      <c r="F508" t="s">
        <v>28</v>
      </c>
      <c r="G508" s="1">
        <v>45721</v>
      </c>
      <c r="H508" t="s">
        <v>38</v>
      </c>
      <c r="I508" s="2">
        <v>34620.964345653912</v>
      </c>
      <c r="J508">
        <v>236</v>
      </c>
      <c r="K508" t="s">
        <v>25</v>
      </c>
      <c r="L508" s="1">
        <v>45725</v>
      </c>
      <c r="M508" s="6">
        <f>WilsonData[[#This Row],[Discharge Date]]-WilsonData[[#This Row],[Date of Admission]]</f>
        <v>4</v>
      </c>
      <c r="N508" t="s">
        <v>19</v>
      </c>
    </row>
    <row r="509" spans="1:14" x14ac:dyDescent="0.35">
      <c r="A509" t="s">
        <v>1313</v>
      </c>
      <c r="B509">
        <v>74</v>
      </c>
      <c r="C509" t="str">
        <f>IF(WilsonData[[#This Row],[Age]]&lt;=18, "0-18", IF(WilsonData[[#This Row],[Age]]&lt;=35,"19-35", IF(WilsonData[[#This Row],[Age]]&lt;=50, "36-50",IF(WilsonData[[#This Row],[Age]]&lt;=65,"51-65", " 66+"))))</f>
        <v xml:space="preserve"> 66+</v>
      </c>
      <c r="D509" t="s">
        <v>11</v>
      </c>
      <c r="E509" t="s">
        <v>16</v>
      </c>
      <c r="F509" t="s">
        <v>30</v>
      </c>
      <c r="G509" s="1">
        <v>45923</v>
      </c>
      <c r="H509" t="s">
        <v>37</v>
      </c>
      <c r="I509" s="2">
        <v>33943.91691076228</v>
      </c>
      <c r="J509">
        <v>235</v>
      </c>
      <c r="K509" t="s">
        <v>25</v>
      </c>
      <c r="L509" s="1">
        <v>45929</v>
      </c>
      <c r="M509" s="6">
        <f>WilsonData[[#This Row],[Discharge Date]]-WilsonData[[#This Row],[Date of Admission]]</f>
        <v>6</v>
      </c>
      <c r="N509" t="s">
        <v>15</v>
      </c>
    </row>
    <row r="510" spans="1:14" x14ac:dyDescent="0.35">
      <c r="A510" t="s">
        <v>1314</v>
      </c>
      <c r="B510">
        <v>24</v>
      </c>
      <c r="C510" t="str">
        <f>IF(WilsonData[[#This Row],[Age]]&lt;=18, "0-18", IF(WilsonData[[#This Row],[Age]]&lt;=35,"19-35", IF(WilsonData[[#This Row],[Age]]&lt;=50, "36-50",IF(WilsonData[[#This Row],[Age]]&lt;=65,"51-65", " 66+"))))</f>
        <v>19-35</v>
      </c>
      <c r="D510" t="s">
        <v>20</v>
      </c>
      <c r="E510" t="s">
        <v>26</v>
      </c>
      <c r="F510" t="s">
        <v>32</v>
      </c>
      <c r="G510" s="1">
        <v>46001</v>
      </c>
      <c r="H510" t="s">
        <v>36</v>
      </c>
      <c r="I510" s="2">
        <v>18953.795430566559</v>
      </c>
      <c r="J510">
        <v>387</v>
      </c>
      <c r="K510" t="s">
        <v>25</v>
      </c>
      <c r="L510" s="1">
        <v>46010</v>
      </c>
      <c r="M510" s="6">
        <f>WilsonData[[#This Row],[Discharge Date]]-WilsonData[[#This Row],[Date of Admission]]</f>
        <v>9</v>
      </c>
      <c r="N510" t="s">
        <v>15</v>
      </c>
    </row>
    <row r="511" spans="1:14" x14ac:dyDescent="0.35">
      <c r="A511" t="s">
        <v>1315</v>
      </c>
      <c r="B511">
        <v>77</v>
      </c>
      <c r="C511" t="str">
        <f>IF(WilsonData[[#This Row],[Age]]&lt;=18, "0-18", IF(WilsonData[[#This Row],[Age]]&lt;=35,"19-35", IF(WilsonData[[#This Row],[Age]]&lt;=50, "36-50",IF(WilsonData[[#This Row],[Age]]&lt;=65,"51-65", " 66+"))))</f>
        <v xml:space="preserve"> 66+</v>
      </c>
      <c r="D511" t="s">
        <v>20</v>
      </c>
      <c r="E511" t="s">
        <v>21</v>
      </c>
      <c r="F511" t="s">
        <v>17</v>
      </c>
      <c r="G511" s="1">
        <v>45785</v>
      </c>
      <c r="H511" t="s">
        <v>37</v>
      </c>
      <c r="I511" s="2">
        <v>19342.070888497139</v>
      </c>
      <c r="J511">
        <v>202</v>
      </c>
      <c r="K511" t="s">
        <v>18</v>
      </c>
      <c r="L511" s="1">
        <v>45790</v>
      </c>
      <c r="M511" s="6">
        <f>WilsonData[[#This Row],[Discharge Date]]-WilsonData[[#This Row],[Date of Admission]]</f>
        <v>5</v>
      </c>
      <c r="N511" t="s">
        <v>22</v>
      </c>
    </row>
    <row r="512" spans="1:14" x14ac:dyDescent="0.35">
      <c r="A512" t="s">
        <v>1316</v>
      </c>
      <c r="B512">
        <v>61</v>
      </c>
      <c r="C512" t="str">
        <f>IF(WilsonData[[#This Row],[Age]]&lt;=18, "0-18", IF(WilsonData[[#This Row],[Age]]&lt;=35,"19-35", IF(WilsonData[[#This Row],[Age]]&lt;=50, "36-50",IF(WilsonData[[#This Row],[Age]]&lt;=65,"51-65", " 66+"))))</f>
        <v>51-65</v>
      </c>
      <c r="D512" t="s">
        <v>20</v>
      </c>
      <c r="E512" t="s">
        <v>21</v>
      </c>
      <c r="F512" t="s">
        <v>24</v>
      </c>
      <c r="G512" s="1">
        <v>45932</v>
      </c>
      <c r="H512" t="s">
        <v>37</v>
      </c>
      <c r="I512" s="2">
        <v>48736.150361556472</v>
      </c>
      <c r="J512">
        <v>191</v>
      </c>
      <c r="K512" t="s">
        <v>18</v>
      </c>
      <c r="L512" s="1">
        <v>45934</v>
      </c>
      <c r="M512" s="6">
        <f>WilsonData[[#This Row],[Discharge Date]]-WilsonData[[#This Row],[Date of Admission]]</f>
        <v>2</v>
      </c>
      <c r="N512" t="s">
        <v>27</v>
      </c>
    </row>
    <row r="513" spans="1:14" x14ac:dyDescent="0.35">
      <c r="A513" t="s">
        <v>1317</v>
      </c>
      <c r="B513">
        <v>80</v>
      </c>
      <c r="C513" t="str">
        <f>IF(WilsonData[[#This Row],[Age]]&lt;=18, "0-18", IF(WilsonData[[#This Row],[Age]]&lt;=35,"19-35", IF(WilsonData[[#This Row],[Age]]&lt;=50, "36-50",IF(WilsonData[[#This Row],[Age]]&lt;=65,"51-65", " 66+"))))</f>
        <v xml:space="preserve"> 66+</v>
      </c>
      <c r="D513" t="s">
        <v>20</v>
      </c>
      <c r="E513" t="s">
        <v>33</v>
      </c>
      <c r="F513" t="s">
        <v>24</v>
      </c>
      <c r="G513" s="1">
        <v>45865</v>
      </c>
      <c r="H513" t="s">
        <v>38</v>
      </c>
      <c r="I513" s="2">
        <v>48000.228030288097</v>
      </c>
      <c r="J513">
        <v>427</v>
      </c>
      <c r="K513" t="s">
        <v>18</v>
      </c>
      <c r="L513" s="1">
        <v>45869</v>
      </c>
      <c r="M513" s="6">
        <f>WilsonData[[#This Row],[Discharge Date]]-WilsonData[[#This Row],[Date of Admission]]</f>
        <v>4</v>
      </c>
      <c r="N513" t="s">
        <v>27</v>
      </c>
    </row>
    <row r="514" spans="1:14" x14ac:dyDescent="0.35">
      <c r="A514" t="s">
        <v>1318</v>
      </c>
      <c r="B514">
        <v>71</v>
      </c>
      <c r="C514" t="str">
        <f>IF(WilsonData[[#This Row],[Age]]&lt;=18, "0-18", IF(WilsonData[[#This Row],[Age]]&lt;=35,"19-35", IF(WilsonData[[#This Row],[Age]]&lt;=50, "36-50",IF(WilsonData[[#This Row],[Age]]&lt;=65,"51-65", " 66+"))))</f>
        <v xml:space="preserve"> 66+</v>
      </c>
      <c r="D514" t="s">
        <v>11</v>
      </c>
      <c r="E514" t="s">
        <v>34</v>
      </c>
      <c r="F514" t="s">
        <v>30</v>
      </c>
      <c r="G514" s="1">
        <v>45769</v>
      </c>
      <c r="H514" t="s">
        <v>38</v>
      </c>
      <c r="I514" s="2">
        <v>10755.694254043219</v>
      </c>
      <c r="J514">
        <v>190</v>
      </c>
      <c r="K514" t="s">
        <v>18</v>
      </c>
      <c r="L514" s="1">
        <v>45770</v>
      </c>
      <c r="M514" s="6">
        <f>WilsonData[[#This Row],[Discharge Date]]-WilsonData[[#This Row],[Date of Admission]]</f>
        <v>1</v>
      </c>
      <c r="N514" t="s">
        <v>22</v>
      </c>
    </row>
    <row r="515" spans="1:14" x14ac:dyDescent="0.35">
      <c r="A515" t="s">
        <v>1319</v>
      </c>
      <c r="B515">
        <v>23</v>
      </c>
      <c r="C515" t="str">
        <f>IF(WilsonData[[#This Row],[Age]]&lt;=18, "0-18", IF(WilsonData[[#This Row],[Age]]&lt;=35,"19-35", IF(WilsonData[[#This Row],[Age]]&lt;=50, "36-50",IF(WilsonData[[#This Row],[Age]]&lt;=65,"51-65", " 66+"))))</f>
        <v>19-35</v>
      </c>
      <c r="D515" t="s">
        <v>20</v>
      </c>
      <c r="E515" t="s">
        <v>34</v>
      </c>
      <c r="F515" t="s">
        <v>30</v>
      </c>
      <c r="G515" s="1">
        <v>45809</v>
      </c>
      <c r="H515" t="s">
        <v>39</v>
      </c>
      <c r="I515" s="2">
        <v>14231.06502369</v>
      </c>
      <c r="J515">
        <v>295</v>
      </c>
      <c r="K515" t="s">
        <v>25</v>
      </c>
      <c r="L515" s="1">
        <v>45810</v>
      </c>
      <c r="M515" s="6">
        <f>WilsonData[[#This Row],[Discharge Date]]-WilsonData[[#This Row],[Date of Admission]]</f>
        <v>1</v>
      </c>
      <c r="N515" t="s">
        <v>19</v>
      </c>
    </row>
    <row r="516" spans="1:14" x14ac:dyDescent="0.35">
      <c r="A516" t="s">
        <v>1320</v>
      </c>
      <c r="B516">
        <v>46</v>
      </c>
      <c r="C516" t="str">
        <f>IF(WilsonData[[#This Row],[Age]]&lt;=18, "0-18", IF(WilsonData[[#This Row],[Age]]&lt;=35,"19-35", IF(WilsonData[[#This Row],[Age]]&lt;=50, "36-50",IF(WilsonData[[#This Row],[Age]]&lt;=65,"51-65", " 66+"))))</f>
        <v>36-50</v>
      </c>
      <c r="D516" t="s">
        <v>20</v>
      </c>
      <c r="E516" t="s">
        <v>33</v>
      </c>
      <c r="F516" t="s">
        <v>28</v>
      </c>
      <c r="G516" s="1">
        <v>45845</v>
      </c>
      <c r="H516" t="s">
        <v>36</v>
      </c>
      <c r="I516" s="2">
        <v>19046.741220692809</v>
      </c>
      <c r="J516">
        <v>160</v>
      </c>
      <c r="K516" t="s">
        <v>25</v>
      </c>
      <c r="L516" s="1">
        <v>45854</v>
      </c>
      <c r="M516" s="6">
        <f>WilsonData[[#This Row],[Discharge Date]]-WilsonData[[#This Row],[Date of Admission]]</f>
        <v>9</v>
      </c>
      <c r="N516" t="s">
        <v>27</v>
      </c>
    </row>
    <row r="517" spans="1:14" x14ac:dyDescent="0.35">
      <c r="A517" t="s">
        <v>1321</v>
      </c>
      <c r="B517">
        <v>35</v>
      </c>
      <c r="C517" t="str">
        <f>IF(WilsonData[[#This Row],[Age]]&lt;=18, "0-18", IF(WilsonData[[#This Row],[Age]]&lt;=35,"19-35", IF(WilsonData[[#This Row],[Age]]&lt;=50, "36-50",IF(WilsonData[[#This Row],[Age]]&lt;=65,"51-65", " 66+"))))</f>
        <v>19-35</v>
      </c>
      <c r="D517" t="s">
        <v>11</v>
      </c>
      <c r="E517" t="s">
        <v>34</v>
      </c>
      <c r="F517" t="s">
        <v>13</v>
      </c>
      <c r="G517" s="1">
        <v>45952</v>
      </c>
      <c r="H517" t="s">
        <v>38</v>
      </c>
      <c r="I517" s="2">
        <v>12892.54632248917</v>
      </c>
      <c r="J517">
        <v>134</v>
      </c>
      <c r="K517" t="s">
        <v>25</v>
      </c>
      <c r="L517" s="1">
        <v>45960</v>
      </c>
      <c r="M517" s="6">
        <f>WilsonData[[#This Row],[Discharge Date]]-WilsonData[[#This Row],[Date of Admission]]</f>
        <v>8</v>
      </c>
      <c r="N517" t="s">
        <v>31</v>
      </c>
    </row>
    <row r="518" spans="1:14" x14ac:dyDescent="0.35">
      <c r="A518" t="s">
        <v>1322</v>
      </c>
      <c r="B518">
        <v>23</v>
      </c>
      <c r="C518" t="str">
        <f>IF(WilsonData[[#This Row],[Age]]&lt;=18, "0-18", IF(WilsonData[[#This Row],[Age]]&lt;=35,"19-35", IF(WilsonData[[#This Row],[Age]]&lt;=50, "36-50",IF(WilsonData[[#This Row],[Age]]&lt;=65,"51-65", " 66+"))))</f>
        <v>19-35</v>
      </c>
      <c r="D518" t="s">
        <v>20</v>
      </c>
      <c r="E518" t="s">
        <v>26</v>
      </c>
      <c r="F518" t="s">
        <v>28</v>
      </c>
      <c r="G518" s="1">
        <v>45688</v>
      </c>
      <c r="H518" t="s">
        <v>37</v>
      </c>
      <c r="I518" s="2">
        <v>2495.8063392700892</v>
      </c>
      <c r="J518">
        <v>152</v>
      </c>
      <c r="K518" t="s">
        <v>18</v>
      </c>
      <c r="L518" s="1">
        <v>45702</v>
      </c>
      <c r="M518" s="6">
        <f>WilsonData[[#This Row],[Discharge Date]]-WilsonData[[#This Row],[Date of Admission]]</f>
        <v>14</v>
      </c>
      <c r="N518" t="s">
        <v>19</v>
      </c>
    </row>
    <row r="519" spans="1:14" x14ac:dyDescent="0.35">
      <c r="A519" t="s">
        <v>1323</v>
      </c>
      <c r="B519">
        <v>69</v>
      </c>
      <c r="C519" t="str">
        <f>IF(WilsonData[[#This Row],[Age]]&lt;=18, "0-18", IF(WilsonData[[#This Row],[Age]]&lt;=35,"19-35", IF(WilsonData[[#This Row],[Age]]&lt;=50, "36-50",IF(WilsonData[[#This Row],[Age]]&lt;=65,"51-65", " 66+"))))</f>
        <v xml:space="preserve"> 66+</v>
      </c>
      <c r="D519" t="s">
        <v>11</v>
      </c>
      <c r="E519" t="s">
        <v>12</v>
      </c>
      <c r="F519" t="s">
        <v>28</v>
      </c>
      <c r="G519" s="1">
        <v>45759</v>
      </c>
      <c r="H519" t="s">
        <v>36</v>
      </c>
      <c r="I519" s="2">
        <v>45401.047898034172</v>
      </c>
      <c r="J519">
        <v>472</v>
      </c>
      <c r="K519" t="s">
        <v>18</v>
      </c>
      <c r="L519" s="1">
        <v>45763</v>
      </c>
      <c r="M519" s="6">
        <f>WilsonData[[#This Row],[Discharge Date]]-WilsonData[[#This Row],[Date of Admission]]</f>
        <v>4</v>
      </c>
      <c r="N519" t="s">
        <v>31</v>
      </c>
    </row>
    <row r="520" spans="1:14" x14ac:dyDescent="0.35">
      <c r="A520" t="s">
        <v>1324</v>
      </c>
      <c r="B520">
        <v>47</v>
      </c>
      <c r="C520" t="str">
        <f>IF(WilsonData[[#This Row],[Age]]&lt;=18, "0-18", IF(WilsonData[[#This Row],[Age]]&lt;=35,"19-35", IF(WilsonData[[#This Row],[Age]]&lt;=50, "36-50",IF(WilsonData[[#This Row],[Age]]&lt;=65,"51-65", " 66+"))))</f>
        <v>36-50</v>
      </c>
      <c r="D520" t="s">
        <v>11</v>
      </c>
      <c r="E520" t="s">
        <v>29</v>
      </c>
      <c r="F520" t="s">
        <v>32</v>
      </c>
      <c r="G520" s="1">
        <v>45700</v>
      </c>
      <c r="H520" t="s">
        <v>39</v>
      </c>
      <c r="I520" s="2">
        <v>31701.70498771557</v>
      </c>
      <c r="J520">
        <v>284</v>
      </c>
      <c r="K520" t="s">
        <v>18</v>
      </c>
      <c r="L520" s="1">
        <v>45712</v>
      </c>
      <c r="M520" s="6">
        <f>WilsonData[[#This Row],[Discharge Date]]-WilsonData[[#This Row],[Date of Admission]]</f>
        <v>12</v>
      </c>
      <c r="N520" t="s">
        <v>19</v>
      </c>
    </row>
    <row r="521" spans="1:14" x14ac:dyDescent="0.35">
      <c r="A521" t="s">
        <v>1325</v>
      </c>
      <c r="B521">
        <v>81</v>
      </c>
      <c r="C521" t="str">
        <f>IF(WilsonData[[#This Row],[Age]]&lt;=18, "0-18", IF(WilsonData[[#This Row],[Age]]&lt;=35,"19-35", IF(WilsonData[[#This Row],[Age]]&lt;=50, "36-50",IF(WilsonData[[#This Row],[Age]]&lt;=65,"51-65", " 66+"))))</f>
        <v xml:space="preserve"> 66+</v>
      </c>
      <c r="D521" t="s">
        <v>20</v>
      </c>
      <c r="E521" t="s">
        <v>29</v>
      </c>
      <c r="F521" t="s">
        <v>17</v>
      </c>
      <c r="G521" s="1">
        <v>45963</v>
      </c>
      <c r="H521" t="s">
        <v>38</v>
      </c>
      <c r="I521" s="2">
        <v>29884.027060680899</v>
      </c>
      <c r="J521">
        <v>152</v>
      </c>
      <c r="K521" t="s">
        <v>25</v>
      </c>
      <c r="L521" s="1">
        <v>45968</v>
      </c>
      <c r="M521" s="6">
        <f>WilsonData[[#This Row],[Discharge Date]]-WilsonData[[#This Row],[Date of Admission]]</f>
        <v>5</v>
      </c>
      <c r="N521" t="s">
        <v>27</v>
      </c>
    </row>
    <row r="522" spans="1:14" x14ac:dyDescent="0.35">
      <c r="A522" t="s">
        <v>1326</v>
      </c>
      <c r="B522">
        <v>51</v>
      </c>
      <c r="C522" t="str">
        <f>IF(WilsonData[[#This Row],[Age]]&lt;=18, "0-18", IF(WilsonData[[#This Row],[Age]]&lt;=35,"19-35", IF(WilsonData[[#This Row],[Age]]&lt;=50, "36-50",IF(WilsonData[[#This Row],[Age]]&lt;=65,"51-65", " 66+"))))</f>
        <v>51-65</v>
      </c>
      <c r="D522" t="s">
        <v>20</v>
      </c>
      <c r="E522" t="s">
        <v>21</v>
      </c>
      <c r="F522" t="s">
        <v>13</v>
      </c>
      <c r="G522" s="1">
        <v>45768</v>
      </c>
      <c r="H522" t="s">
        <v>37</v>
      </c>
      <c r="I522" s="2">
        <v>45283.309272957827</v>
      </c>
      <c r="J522">
        <v>434</v>
      </c>
      <c r="K522" t="s">
        <v>25</v>
      </c>
      <c r="L522" s="1">
        <v>45781</v>
      </c>
      <c r="M522" s="6">
        <f>WilsonData[[#This Row],[Discharge Date]]-WilsonData[[#This Row],[Date of Admission]]</f>
        <v>13</v>
      </c>
      <c r="N522" t="s">
        <v>19</v>
      </c>
    </row>
    <row r="523" spans="1:14" x14ac:dyDescent="0.35">
      <c r="A523" t="s">
        <v>1327</v>
      </c>
      <c r="B523">
        <v>85</v>
      </c>
      <c r="C523" t="str">
        <f>IF(WilsonData[[#This Row],[Age]]&lt;=18, "0-18", IF(WilsonData[[#This Row],[Age]]&lt;=35,"19-35", IF(WilsonData[[#This Row],[Age]]&lt;=50, "36-50",IF(WilsonData[[#This Row],[Age]]&lt;=65,"51-65", " 66+"))))</f>
        <v xml:space="preserve"> 66+</v>
      </c>
      <c r="D523" t="s">
        <v>11</v>
      </c>
      <c r="E523" t="s">
        <v>26</v>
      </c>
      <c r="F523" t="s">
        <v>13</v>
      </c>
      <c r="G523" s="1">
        <v>45857</v>
      </c>
      <c r="H523" t="s">
        <v>39</v>
      </c>
      <c r="I523" s="2">
        <v>14510.743800196589</v>
      </c>
      <c r="J523">
        <v>159</v>
      </c>
      <c r="K523" t="s">
        <v>25</v>
      </c>
      <c r="L523" s="1">
        <v>45866</v>
      </c>
      <c r="M523" s="6">
        <f>WilsonData[[#This Row],[Discharge Date]]-WilsonData[[#This Row],[Date of Admission]]</f>
        <v>9</v>
      </c>
      <c r="N523" t="s">
        <v>19</v>
      </c>
    </row>
    <row r="524" spans="1:14" x14ac:dyDescent="0.35">
      <c r="A524" t="s">
        <v>1328</v>
      </c>
      <c r="B524">
        <v>34</v>
      </c>
      <c r="C524" t="str">
        <f>IF(WilsonData[[#This Row],[Age]]&lt;=18, "0-18", IF(WilsonData[[#This Row],[Age]]&lt;=35,"19-35", IF(WilsonData[[#This Row],[Age]]&lt;=50, "36-50",IF(WilsonData[[#This Row],[Age]]&lt;=65,"51-65", " 66+"))))</f>
        <v>19-35</v>
      </c>
      <c r="D524" t="s">
        <v>20</v>
      </c>
      <c r="E524" t="s">
        <v>26</v>
      </c>
      <c r="F524" t="s">
        <v>30</v>
      </c>
      <c r="G524" s="1">
        <v>45911</v>
      </c>
      <c r="H524" t="s">
        <v>39</v>
      </c>
      <c r="I524" s="2">
        <v>42567.943520048182</v>
      </c>
      <c r="J524">
        <v>452</v>
      </c>
      <c r="K524" t="s">
        <v>25</v>
      </c>
      <c r="L524" s="1">
        <v>45913</v>
      </c>
      <c r="M524" s="6">
        <f>WilsonData[[#This Row],[Discharge Date]]-WilsonData[[#This Row],[Date of Admission]]</f>
        <v>2</v>
      </c>
      <c r="N524" t="s">
        <v>27</v>
      </c>
    </row>
    <row r="525" spans="1:14" x14ac:dyDescent="0.35">
      <c r="A525" t="s">
        <v>1329</v>
      </c>
      <c r="B525">
        <v>59</v>
      </c>
      <c r="C525" t="str">
        <f>IF(WilsonData[[#This Row],[Age]]&lt;=18, "0-18", IF(WilsonData[[#This Row],[Age]]&lt;=35,"19-35", IF(WilsonData[[#This Row],[Age]]&lt;=50, "36-50",IF(WilsonData[[#This Row],[Age]]&lt;=65,"51-65", " 66+"))))</f>
        <v>51-65</v>
      </c>
      <c r="D525" t="s">
        <v>11</v>
      </c>
      <c r="E525" t="s">
        <v>12</v>
      </c>
      <c r="F525" t="s">
        <v>32</v>
      </c>
      <c r="G525" s="1">
        <v>45751</v>
      </c>
      <c r="H525" t="s">
        <v>37</v>
      </c>
      <c r="I525" s="2">
        <v>32709.614939156188</v>
      </c>
      <c r="J525">
        <v>242</v>
      </c>
      <c r="K525" t="s">
        <v>18</v>
      </c>
      <c r="L525" s="1">
        <v>45752</v>
      </c>
      <c r="M525" s="6">
        <f>WilsonData[[#This Row],[Discharge Date]]-WilsonData[[#This Row],[Date of Admission]]</f>
        <v>1</v>
      </c>
      <c r="N525" t="s">
        <v>15</v>
      </c>
    </row>
    <row r="526" spans="1:14" x14ac:dyDescent="0.35">
      <c r="A526" t="s">
        <v>1330</v>
      </c>
      <c r="B526">
        <v>25</v>
      </c>
      <c r="C526" t="str">
        <f>IF(WilsonData[[#This Row],[Age]]&lt;=18, "0-18", IF(WilsonData[[#This Row],[Age]]&lt;=35,"19-35", IF(WilsonData[[#This Row],[Age]]&lt;=50, "36-50",IF(WilsonData[[#This Row],[Age]]&lt;=65,"51-65", " 66+"))))</f>
        <v>19-35</v>
      </c>
      <c r="D526" t="s">
        <v>11</v>
      </c>
      <c r="E526" t="s">
        <v>16</v>
      </c>
      <c r="F526" t="s">
        <v>17</v>
      </c>
      <c r="G526" s="1">
        <v>45827</v>
      </c>
      <c r="H526" t="s">
        <v>38</v>
      </c>
      <c r="I526" s="2">
        <v>2743.4503859077349</v>
      </c>
      <c r="J526">
        <v>362</v>
      </c>
      <c r="K526" t="s">
        <v>18</v>
      </c>
      <c r="L526" s="1">
        <v>45836</v>
      </c>
      <c r="M526" s="6">
        <f>WilsonData[[#This Row],[Discharge Date]]-WilsonData[[#This Row],[Date of Admission]]</f>
        <v>9</v>
      </c>
      <c r="N526" t="s">
        <v>19</v>
      </c>
    </row>
    <row r="527" spans="1:14" x14ac:dyDescent="0.35">
      <c r="A527" t="s">
        <v>1331</v>
      </c>
      <c r="B527">
        <v>29</v>
      </c>
      <c r="C527" t="str">
        <f>IF(WilsonData[[#This Row],[Age]]&lt;=18, "0-18", IF(WilsonData[[#This Row],[Age]]&lt;=35,"19-35", IF(WilsonData[[#This Row],[Age]]&lt;=50, "36-50",IF(WilsonData[[#This Row],[Age]]&lt;=65,"51-65", " 66+"))))</f>
        <v>19-35</v>
      </c>
      <c r="D527" t="s">
        <v>20</v>
      </c>
      <c r="E527" t="s">
        <v>21</v>
      </c>
      <c r="F527" t="s">
        <v>32</v>
      </c>
      <c r="G527" s="1">
        <v>45798</v>
      </c>
      <c r="H527" t="s">
        <v>37</v>
      </c>
      <c r="I527" s="2">
        <v>44993.92747759894</v>
      </c>
      <c r="J527">
        <v>220</v>
      </c>
      <c r="K527" t="s">
        <v>25</v>
      </c>
      <c r="L527" s="1">
        <v>45810</v>
      </c>
      <c r="M527" s="6">
        <f>WilsonData[[#This Row],[Discharge Date]]-WilsonData[[#This Row],[Date of Admission]]</f>
        <v>12</v>
      </c>
      <c r="N527" t="s">
        <v>19</v>
      </c>
    </row>
    <row r="528" spans="1:14" x14ac:dyDescent="0.35">
      <c r="A528" t="s">
        <v>1332</v>
      </c>
      <c r="B528">
        <v>24</v>
      </c>
      <c r="C528" t="str">
        <f>IF(WilsonData[[#This Row],[Age]]&lt;=18, "0-18", IF(WilsonData[[#This Row],[Age]]&lt;=35,"19-35", IF(WilsonData[[#This Row],[Age]]&lt;=50, "36-50",IF(WilsonData[[#This Row],[Age]]&lt;=65,"51-65", " 66+"))))</f>
        <v>19-35</v>
      </c>
      <c r="D528" t="s">
        <v>20</v>
      </c>
      <c r="E528" t="s">
        <v>33</v>
      </c>
      <c r="F528" t="s">
        <v>28</v>
      </c>
      <c r="G528" s="1">
        <v>45899</v>
      </c>
      <c r="H528" t="s">
        <v>36</v>
      </c>
      <c r="I528" s="2">
        <v>47252.258265964563</v>
      </c>
      <c r="J528">
        <v>335</v>
      </c>
      <c r="K528" t="s">
        <v>18</v>
      </c>
      <c r="L528" s="1">
        <v>45911</v>
      </c>
      <c r="M528" s="6">
        <f>WilsonData[[#This Row],[Discharge Date]]-WilsonData[[#This Row],[Date of Admission]]</f>
        <v>12</v>
      </c>
      <c r="N528" t="s">
        <v>22</v>
      </c>
    </row>
    <row r="529" spans="1:14" x14ac:dyDescent="0.35">
      <c r="A529" t="s">
        <v>1333</v>
      </c>
      <c r="B529">
        <v>58</v>
      </c>
      <c r="C529" t="str">
        <f>IF(WilsonData[[#This Row],[Age]]&lt;=18, "0-18", IF(WilsonData[[#This Row],[Age]]&lt;=35,"19-35", IF(WilsonData[[#This Row],[Age]]&lt;=50, "36-50",IF(WilsonData[[#This Row],[Age]]&lt;=65,"51-65", " 66+"))))</f>
        <v>51-65</v>
      </c>
      <c r="D529" t="s">
        <v>11</v>
      </c>
      <c r="E529" t="s">
        <v>34</v>
      </c>
      <c r="F529" t="s">
        <v>32</v>
      </c>
      <c r="G529" s="1">
        <v>45793</v>
      </c>
      <c r="H529" t="s">
        <v>36</v>
      </c>
      <c r="I529" s="2">
        <v>49427.876079684313</v>
      </c>
      <c r="J529">
        <v>425</v>
      </c>
      <c r="K529" t="s">
        <v>25</v>
      </c>
      <c r="L529" s="1">
        <v>45796</v>
      </c>
      <c r="M529" s="6">
        <f>WilsonData[[#This Row],[Discharge Date]]-WilsonData[[#This Row],[Date of Admission]]</f>
        <v>3</v>
      </c>
      <c r="N529" t="s">
        <v>31</v>
      </c>
    </row>
    <row r="530" spans="1:14" x14ac:dyDescent="0.35">
      <c r="A530" t="s">
        <v>1334</v>
      </c>
      <c r="B530">
        <v>42</v>
      </c>
      <c r="C530" t="str">
        <f>IF(WilsonData[[#This Row],[Age]]&lt;=18, "0-18", IF(WilsonData[[#This Row],[Age]]&lt;=35,"19-35", IF(WilsonData[[#This Row],[Age]]&lt;=50, "36-50",IF(WilsonData[[#This Row],[Age]]&lt;=65,"51-65", " 66+"))))</f>
        <v>36-50</v>
      </c>
      <c r="D530" t="s">
        <v>20</v>
      </c>
      <c r="E530" t="s">
        <v>29</v>
      </c>
      <c r="F530" t="s">
        <v>32</v>
      </c>
      <c r="G530" s="1">
        <v>45707</v>
      </c>
      <c r="H530" t="s">
        <v>39</v>
      </c>
      <c r="I530" s="2">
        <v>44417.248286585622</v>
      </c>
      <c r="J530">
        <v>243</v>
      </c>
      <c r="K530" t="s">
        <v>18</v>
      </c>
      <c r="L530" s="1">
        <v>45716</v>
      </c>
      <c r="M530" s="6">
        <f>WilsonData[[#This Row],[Discharge Date]]-WilsonData[[#This Row],[Date of Admission]]</f>
        <v>9</v>
      </c>
      <c r="N530" t="s">
        <v>27</v>
      </c>
    </row>
    <row r="531" spans="1:14" x14ac:dyDescent="0.35">
      <c r="A531" t="s">
        <v>1335</v>
      </c>
      <c r="B531">
        <v>37</v>
      </c>
      <c r="C531" t="str">
        <f>IF(WilsonData[[#This Row],[Age]]&lt;=18, "0-18", IF(WilsonData[[#This Row],[Age]]&lt;=35,"19-35", IF(WilsonData[[#This Row],[Age]]&lt;=50, "36-50",IF(WilsonData[[#This Row],[Age]]&lt;=65,"51-65", " 66+"))))</f>
        <v>36-50</v>
      </c>
      <c r="D531" t="s">
        <v>11</v>
      </c>
      <c r="E531" t="s">
        <v>23</v>
      </c>
      <c r="F531" t="s">
        <v>28</v>
      </c>
      <c r="G531" s="1">
        <v>45958</v>
      </c>
      <c r="H531" t="s">
        <v>38</v>
      </c>
      <c r="I531" s="2">
        <v>11654.15302417734</v>
      </c>
      <c r="J531">
        <v>180</v>
      </c>
      <c r="K531" t="s">
        <v>25</v>
      </c>
      <c r="L531" s="1">
        <v>45963</v>
      </c>
      <c r="M531" s="6">
        <f>WilsonData[[#This Row],[Discharge Date]]-WilsonData[[#This Row],[Date of Admission]]</f>
        <v>5</v>
      </c>
      <c r="N531" t="s">
        <v>31</v>
      </c>
    </row>
    <row r="532" spans="1:14" x14ac:dyDescent="0.35">
      <c r="A532" t="s">
        <v>1336</v>
      </c>
      <c r="B532">
        <v>76</v>
      </c>
      <c r="C532" t="str">
        <f>IF(WilsonData[[#This Row],[Age]]&lt;=18, "0-18", IF(WilsonData[[#This Row],[Age]]&lt;=35,"19-35", IF(WilsonData[[#This Row],[Age]]&lt;=50, "36-50",IF(WilsonData[[#This Row],[Age]]&lt;=65,"51-65", " 66+"))))</f>
        <v xml:space="preserve"> 66+</v>
      </c>
      <c r="D532" t="s">
        <v>20</v>
      </c>
      <c r="E532" t="s">
        <v>29</v>
      </c>
      <c r="F532" t="s">
        <v>17</v>
      </c>
      <c r="G532" s="1">
        <v>45720</v>
      </c>
      <c r="H532" t="s">
        <v>39</v>
      </c>
      <c r="I532" s="2">
        <v>23100.647818580728</v>
      </c>
      <c r="J532">
        <v>206</v>
      </c>
      <c r="K532" t="s">
        <v>25</v>
      </c>
      <c r="L532" s="1">
        <v>45721</v>
      </c>
      <c r="M532" s="6">
        <f>WilsonData[[#This Row],[Discharge Date]]-WilsonData[[#This Row],[Date of Admission]]</f>
        <v>1</v>
      </c>
      <c r="N532" t="s">
        <v>31</v>
      </c>
    </row>
    <row r="533" spans="1:14" x14ac:dyDescent="0.35">
      <c r="A533" t="s">
        <v>1337</v>
      </c>
      <c r="B533">
        <v>68</v>
      </c>
      <c r="C533" t="str">
        <f>IF(WilsonData[[#This Row],[Age]]&lt;=18, "0-18", IF(WilsonData[[#This Row],[Age]]&lt;=35,"19-35", IF(WilsonData[[#This Row],[Age]]&lt;=50, "36-50",IF(WilsonData[[#This Row],[Age]]&lt;=65,"51-65", " 66+"))))</f>
        <v xml:space="preserve"> 66+</v>
      </c>
      <c r="D533" t="s">
        <v>20</v>
      </c>
      <c r="E533" t="s">
        <v>26</v>
      </c>
      <c r="F533" t="s">
        <v>28</v>
      </c>
      <c r="G533" s="1">
        <v>45989</v>
      </c>
      <c r="H533" t="s">
        <v>39</v>
      </c>
      <c r="I533" s="2">
        <v>48038.814758062603</v>
      </c>
      <c r="J533">
        <v>488</v>
      </c>
      <c r="K533" t="s">
        <v>18</v>
      </c>
      <c r="L533" s="1">
        <v>45998</v>
      </c>
      <c r="M533" s="6">
        <f>WilsonData[[#This Row],[Discharge Date]]-WilsonData[[#This Row],[Date of Admission]]</f>
        <v>9</v>
      </c>
      <c r="N533" t="s">
        <v>19</v>
      </c>
    </row>
    <row r="534" spans="1:14" x14ac:dyDescent="0.35">
      <c r="A534" t="s">
        <v>938</v>
      </c>
      <c r="B534">
        <v>82</v>
      </c>
      <c r="C534" t="str">
        <f>IF(WilsonData[[#This Row],[Age]]&lt;=18, "0-18", IF(WilsonData[[#This Row],[Age]]&lt;=35,"19-35", IF(WilsonData[[#This Row],[Age]]&lt;=50, "36-50",IF(WilsonData[[#This Row],[Age]]&lt;=65,"51-65", " 66+"))))</f>
        <v xml:space="preserve"> 66+</v>
      </c>
      <c r="D534" t="s">
        <v>20</v>
      </c>
      <c r="E534" t="s">
        <v>26</v>
      </c>
      <c r="F534" t="s">
        <v>17</v>
      </c>
      <c r="G534" s="1">
        <v>45687</v>
      </c>
      <c r="H534" t="s">
        <v>38</v>
      </c>
      <c r="I534" s="2">
        <v>29629.085786086911</v>
      </c>
      <c r="J534">
        <v>165</v>
      </c>
      <c r="K534" t="s">
        <v>18</v>
      </c>
      <c r="L534" s="1">
        <v>45700</v>
      </c>
      <c r="M534" s="6">
        <f>WilsonData[[#This Row],[Discharge Date]]-WilsonData[[#This Row],[Date of Admission]]</f>
        <v>13</v>
      </c>
      <c r="N534" t="s">
        <v>19</v>
      </c>
    </row>
    <row r="535" spans="1:14" x14ac:dyDescent="0.35">
      <c r="A535" t="s">
        <v>1338</v>
      </c>
      <c r="B535">
        <v>70</v>
      </c>
      <c r="C535" t="str">
        <f>IF(WilsonData[[#This Row],[Age]]&lt;=18, "0-18", IF(WilsonData[[#This Row],[Age]]&lt;=35,"19-35", IF(WilsonData[[#This Row],[Age]]&lt;=50, "36-50",IF(WilsonData[[#This Row],[Age]]&lt;=65,"51-65", " 66+"))))</f>
        <v xml:space="preserve"> 66+</v>
      </c>
      <c r="D535" t="s">
        <v>20</v>
      </c>
      <c r="E535" t="s">
        <v>29</v>
      </c>
      <c r="F535" t="s">
        <v>30</v>
      </c>
      <c r="G535" s="1">
        <v>45809</v>
      </c>
      <c r="H535" t="s">
        <v>37</v>
      </c>
      <c r="I535" s="2">
        <v>47372.796713348907</v>
      </c>
      <c r="J535">
        <v>373</v>
      </c>
      <c r="K535" t="s">
        <v>25</v>
      </c>
      <c r="L535" s="1">
        <v>45811</v>
      </c>
      <c r="M535" s="6">
        <f>WilsonData[[#This Row],[Discharge Date]]-WilsonData[[#This Row],[Date of Admission]]</f>
        <v>2</v>
      </c>
      <c r="N535" t="s">
        <v>31</v>
      </c>
    </row>
    <row r="536" spans="1:14" x14ac:dyDescent="0.35">
      <c r="A536" t="s">
        <v>1339</v>
      </c>
      <c r="B536">
        <v>69</v>
      </c>
      <c r="C536" t="str">
        <f>IF(WilsonData[[#This Row],[Age]]&lt;=18, "0-18", IF(WilsonData[[#This Row],[Age]]&lt;=35,"19-35", IF(WilsonData[[#This Row],[Age]]&lt;=50, "36-50",IF(WilsonData[[#This Row],[Age]]&lt;=65,"51-65", " 66+"))))</f>
        <v xml:space="preserve"> 66+</v>
      </c>
      <c r="D536" t="s">
        <v>11</v>
      </c>
      <c r="E536" t="s">
        <v>26</v>
      </c>
      <c r="F536" t="s">
        <v>13</v>
      </c>
      <c r="G536" s="1">
        <v>45873</v>
      </c>
      <c r="H536" t="s">
        <v>38</v>
      </c>
      <c r="I536" s="2">
        <v>18896.14754558813</v>
      </c>
      <c r="J536">
        <v>142</v>
      </c>
      <c r="K536" t="s">
        <v>18</v>
      </c>
      <c r="L536" s="1">
        <v>45887</v>
      </c>
      <c r="M536" s="6">
        <f>WilsonData[[#This Row],[Discharge Date]]-WilsonData[[#This Row],[Date of Admission]]</f>
        <v>14</v>
      </c>
      <c r="N536" t="s">
        <v>22</v>
      </c>
    </row>
    <row r="537" spans="1:14" x14ac:dyDescent="0.35">
      <c r="A537" t="s">
        <v>1340</v>
      </c>
      <c r="B537">
        <v>60</v>
      </c>
      <c r="C537" t="str">
        <f>IF(WilsonData[[#This Row],[Age]]&lt;=18, "0-18", IF(WilsonData[[#This Row],[Age]]&lt;=35,"19-35", IF(WilsonData[[#This Row],[Age]]&lt;=50, "36-50",IF(WilsonData[[#This Row],[Age]]&lt;=65,"51-65", " 66+"))))</f>
        <v>51-65</v>
      </c>
      <c r="D537" t="s">
        <v>20</v>
      </c>
      <c r="E537" t="s">
        <v>33</v>
      </c>
      <c r="F537" t="s">
        <v>17</v>
      </c>
      <c r="G537" s="1">
        <v>46016</v>
      </c>
      <c r="H537" t="s">
        <v>38</v>
      </c>
      <c r="I537" s="2">
        <v>45918.942611012681</v>
      </c>
      <c r="J537">
        <v>456</v>
      </c>
      <c r="K537" t="s">
        <v>25</v>
      </c>
      <c r="L537" s="1">
        <v>46022</v>
      </c>
      <c r="M537" s="6">
        <f>WilsonData[[#This Row],[Discharge Date]]-WilsonData[[#This Row],[Date of Admission]]</f>
        <v>6</v>
      </c>
      <c r="N537" t="s">
        <v>22</v>
      </c>
    </row>
    <row r="538" spans="1:14" x14ac:dyDescent="0.35">
      <c r="A538" t="s">
        <v>1341</v>
      </c>
      <c r="B538">
        <v>38</v>
      </c>
      <c r="C538" t="str">
        <f>IF(WilsonData[[#This Row],[Age]]&lt;=18, "0-18", IF(WilsonData[[#This Row],[Age]]&lt;=35,"19-35", IF(WilsonData[[#This Row],[Age]]&lt;=50, "36-50",IF(WilsonData[[#This Row],[Age]]&lt;=65,"51-65", " 66+"))))</f>
        <v>36-50</v>
      </c>
      <c r="D538" t="s">
        <v>20</v>
      </c>
      <c r="E538" t="s">
        <v>21</v>
      </c>
      <c r="F538" t="s">
        <v>28</v>
      </c>
      <c r="G538" s="1">
        <v>45889</v>
      </c>
      <c r="H538" t="s">
        <v>37</v>
      </c>
      <c r="I538" s="2">
        <v>41094.480242013517</v>
      </c>
      <c r="J538">
        <v>245</v>
      </c>
      <c r="K538" t="s">
        <v>25</v>
      </c>
      <c r="L538" s="1">
        <v>45890</v>
      </c>
      <c r="M538" s="6">
        <f>WilsonData[[#This Row],[Discharge Date]]-WilsonData[[#This Row],[Date of Admission]]</f>
        <v>1</v>
      </c>
      <c r="N538" t="s">
        <v>27</v>
      </c>
    </row>
    <row r="539" spans="1:14" x14ac:dyDescent="0.35">
      <c r="A539" t="s">
        <v>1342</v>
      </c>
      <c r="B539">
        <v>43</v>
      </c>
      <c r="C539" t="str">
        <f>IF(WilsonData[[#This Row],[Age]]&lt;=18, "0-18", IF(WilsonData[[#This Row],[Age]]&lt;=35,"19-35", IF(WilsonData[[#This Row],[Age]]&lt;=50, "36-50",IF(WilsonData[[#This Row],[Age]]&lt;=65,"51-65", " 66+"))))</f>
        <v>36-50</v>
      </c>
      <c r="D539" t="s">
        <v>11</v>
      </c>
      <c r="E539" t="s">
        <v>16</v>
      </c>
      <c r="F539" t="s">
        <v>24</v>
      </c>
      <c r="G539" s="1">
        <v>46010</v>
      </c>
      <c r="H539" t="s">
        <v>37</v>
      </c>
      <c r="I539" s="2">
        <v>43303.42575209507</v>
      </c>
      <c r="J539">
        <v>366</v>
      </c>
      <c r="K539" t="s">
        <v>18</v>
      </c>
      <c r="L539" s="1">
        <v>46019</v>
      </c>
      <c r="M539" s="6">
        <f>WilsonData[[#This Row],[Discharge Date]]-WilsonData[[#This Row],[Date of Admission]]</f>
        <v>9</v>
      </c>
      <c r="N539" t="s">
        <v>15</v>
      </c>
    </row>
    <row r="540" spans="1:14" x14ac:dyDescent="0.35">
      <c r="A540" t="s">
        <v>1343</v>
      </c>
      <c r="B540">
        <v>55</v>
      </c>
      <c r="C540" t="str">
        <f>IF(WilsonData[[#This Row],[Age]]&lt;=18, "0-18", IF(WilsonData[[#This Row],[Age]]&lt;=35,"19-35", IF(WilsonData[[#This Row],[Age]]&lt;=50, "36-50",IF(WilsonData[[#This Row],[Age]]&lt;=65,"51-65", " 66+"))))</f>
        <v>51-65</v>
      </c>
      <c r="D540" t="s">
        <v>20</v>
      </c>
      <c r="E540" t="s">
        <v>33</v>
      </c>
      <c r="F540" t="s">
        <v>28</v>
      </c>
      <c r="G540" s="1">
        <v>45940</v>
      </c>
      <c r="H540" t="s">
        <v>36</v>
      </c>
      <c r="I540" s="2">
        <v>8249.5050133652348</v>
      </c>
      <c r="J540">
        <v>339</v>
      </c>
      <c r="K540" t="s">
        <v>18</v>
      </c>
      <c r="L540" s="1">
        <v>45949</v>
      </c>
      <c r="M540" s="6">
        <f>WilsonData[[#This Row],[Discharge Date]]-WilsonData[[#This Row],[Date of Admission]]</f>
        <v>9</v>
      </c>
      <c r="N540" t="s">
        <v>27</v>
      </c>
    </row>
    <row r="541" spans="1:14" x14ac:dyDescent="0.35">
      <c r="A541" t="s">
        <v>1344</v>
      </c>
      <c r="B541">
        <v>84</v>
      </c>
      <c r="C541" t="str">
        <f>IF(WilsonData[[#This Row],[Age]]&lt;=18, "0-18", IF(WilsonData[[#This Row],[Age]]&lt;=35,"19-35", IF(WilsonData[[#This Row],[Age]]&lt;=50, "36-50",IF(WilsonData[[#This Row],[Age]]&lt;=65,"51-65", " 66+"))))</f>
        <v xml:space="preserve"> 66+</v>
      </c>
      <c r="D541" t="s">
        <v>20</v>
      </c>
      <c r="E541" t="s">
        <v>34</v>
      </c>
      <c r="F541" t="s">
        <v>24</v>
      </c>
      <c r="G541" s="1">
        <v>45805</v>
      </c>
      <c r="H541" t="s">
        <v>36</v>
      </c>
      <c r="I541" s="2">
        <v>-279.84240514028443</v>
      </c>
      <c r="J541">
        <v>142</v>
      </c>
      <c r="K541" t="s">
        <v>18</v>
      </c>
      <c r="L541" s="1">
        <v>45809</v>
      </c>
      <c r="M541" s="6">
        <f>WilsonData[[#This Row],[Discharge Date]]-WilsonData[[#This Row],[Date of Admission]]</f>
        <v>4</v>
      </c>
      <c r="N541" t="s">
        <v>27</v>
      </c>
    </row>
    <row r="542" spans="1:14" x14ac:dyDescent="0.35">
      <c r="A542" t="s">
        <v>1345</v>
      </c>
      <c r="B542">
        <v>47</v>
      </c>
      <c r="C542" t="str">
        <f>IF(WilsonData[[#This Row],[Age]]&lt;=18, "0-18", IF(WilsonData[[#This Row],[Age]]&lt;=35,"19-35", IF(WilsonData[[#This Row],[Age]]&lt;=50, "36-50",IF(WilsonData[[#This Row],[Age]]&lt;=65,"51-65", " 66+"))))</f>
        <v>36-50</v>
      </c>
      <c r="D542" t="s">
        <v>11</v>
      </c>
      <c r="E542" t="s">
        <v>21</v>
      </c>
      <c r="F542" t="s">
        <v>28</v>
      </c>
      <c r="G542" s="1">
        <v>45817</v>
      </c>
      <c r="H542" t="s">
        <v>36</v>
      </c>
      <c r="I542" s="2">
        <v>2487.9448234187912</v>
      </c>
      <c r="J542">
        <v>161</v>
      </c>
      <c r="K542" t="s">
        <v>25</v>
      </c>
      <c r="L542" s="1">
        <v>45831</v>
      </c>
      <c r="M542" s="6">
        <f>WilsonData[[#This Row],[Discharge Date]]-WilsonData[[#This Row],[Date of Admission]]</f>
        <v>14</v>
      </c>
      <c r="N542" t="s">
        <v>27</v>
      </c>
    </row>
    <row r="543" spans="1:14" x14ac:dyDescent="0.35">
      <c r="A543" t="s">
        <v>1346</v>
      </c>
      <c r="B543">
        <v>70</v>
      </c>
      <c r="C543" t="str">
        <f>IF(WilsonData[[#This Row],[Age]]&lt;=18, "0-18", IF(WilsonData[[#This Row],[Age]]&lt;=35,"19-35", IF(WilsonData[[#This Row],[Age]]&lt;=50, "36-50",IF(WilsonData[[#This Row],[Age]]&lt;=65,"51-65", " 66+"))))</f>
        <v xml:space="preserve"> 66+</v>
      </c>
      <c r="D543" t="s">
        <v>20</v>
      </c>
      <c r="E543" t="s">
        <v>23</v>
      </c>
      <c r="F543" t="s">
        <v>30</v>
      </c>
      <c r="G543" s="1">
        <v>45745</v>
      </c>
      <c r="H543" t="s">
        <v>39</v>
      </c>
      <c r="I543" s="2">
        <v>49752.20321753715</v>
      </c>
      <c r="J543">
        <v>321</v>
      </c>
      <c r="K543" t="s">
        <v>18</v>
      </c>
      <c r="L543" s="1">
        <v>45751</v>
      </c>
      <c r="M543" s="6">
        <f>WilsonData[[#This Row],[Discharge Date]]-WilsonData[[#This Row],[Date of Admission]]</f>
        <v>6</v>
      </c>
      <c r="N543" t="s">
        <v>19</v>
      </c>
    </row>
    <row r="544" spans="1:14" x14ac:dyDescent="0.35">
      <c r="A544" t="s">
        <v>1347</v>
      </c>
      <c r="B544">
        <v>67</v>
      </c>
      <c r="C544" t="str">
        <f>IF(WilsonData[[#This Row],[Age]]&lt;=18, "0-18", IF(WilsonData[[#This Row],[Age]]&lt;=35,"19-35", IF(WilsonData[[#This Row],[Age]]&lt;=50, "36-50",IF(WilsonData[[#This Row],[Age]]&lt;=65,"51-65", " 66+"))))</f>
        <v xml:space="preserve"> 66+</v>
      </c>
      <c r="D544" t="s">
        <v>20</v>
      </c>
      <c r="E544" t="s">
        <v>29</v>
      </c>
      <c r="F544" t="s">
        <v>28</v>
      </c>
      <c r="G544" s="1">
        <v>45882</v>
      </c>
      <c r="H544" t="s">
        <v>39</v>
      </c>
      <c r="I544" s="2">
        <v>20977.576735744839</v>
      </c>
      <c r="J544">
        <v>279</v>
      </c>
      <c r="K544" t="s">
        <v>25</v>
      </c>
      <c r="L544" s="1">
        <v>45885</v>
      </c>
      <c r="M544" s="6">
        <f>WilsonData[[#This Row],[Discharge Date]]-WilsonData[[#This Row],[Date of Admission]]</f>
        <v>3</v>
      </c>
      <c r="N544" t="s">
        <v>27</v>
      </c>
    </row>
    <row r="545" spans="1:14" x14ac:dyDescent="0.35">
      <c r="A545" t="s">
        <v>1348</v>
      </c>
      <c r="B545">
        <v>40</v>
      </c>
      <c r="C545" t="str">
        <f>IF(WilsonData[[#This Row],[Age]]&lt;=18, "0-18", IF(WilsonData[[#This Row],[Age]]&lt;=35,"19-35", IF(WilsonData[[#This Row],[Age]]&lt;=50, "36-50",IF(WilsonData[[#This Row],[Age]]&lt;=65,"51-65", " 66+"))))</f>
        <v>36-50</v>
      </c>
      <c r="D545" t="s">
        <v>20</v>
      </c>
      <c r="E545" t="s">
        <v>16</v>
      </c>
      <c r="F545" t="s">
        <v>13</v>
      </c>
      <c r="G545" s="1">
        <v>45947</v>
      </c>
      <c r="H545" t="s">
        <v>38</v>
      </c>
      <c r="I545" s="2">
        <v>-226.38112001165999</v>
      </c>
      <c r="J545">
        <v>132</v>
      </c>
      <c r="K545" t="s">
        <v>18</v>
      </c>
      <c r="L545" s="1">
        <v>45958</v>
      </c>
      <c r="M545" s="6">
        <f>WilsonData[[#This Row],[Discharge Date]]-WilsonData[[#This Row],[Date of Admission]]</f>
        <v>11</v>
      </c>
      <c r="N545" t="s">
        <v>31</v>
      </c>
    </row>
    <row r="546" spans="1:14" x14ac:dyDescent="0.35">
      <c r="A546" t="s">
        <v>1349</v>
      </c>
      <c r="B546">
        <v>29</v>
      </c>
      <c r="C546" t="str">
        <f>IF(WilsonData[[#This Row],[Age]]&lt;=18, "0-18", IF(WilsonData[[#This Row],[Age]]&lt;=35,"19-35", IF(WilsonData[[#This Row],[Age]]&lt;=50, "36-50",IF(WilsonData[[#This Row],[Age]]&lt;=65,"51-65", " 66+"))))</f>
        <v>19-35</v>
      </c>
      <c r="D546" t="s">
        <v>11</v>
      </c>
      <c r="E546" t="s">
        <v>21</v>
      </c>
      <c r="F546" t="s">
        <v>13</v>
      </c>
      <c r="G546" s="1">
        <v>45952</v>
      </c>
      <c r="H546" t="s">
        <v>37</v>
      </c>
      <c r="I546" s="2">
        <v>16529.141476231842</v>
      </c>
      <c r="J546">
        <v>124</v>
      </c>
      <c r="K546" t="s">
        <v>25</v>
      </c>
      <c r="L546" s="1">
        <v>45955</v>
      </c>
      <c r="M546" s="6">
        <f>WilsonData[[#This Row],[Discharge Date]]-WilsonData[[#This Row],[Date of Admission]]</f>
        <v>3</v>
      </c>
      <c r="N546" t="s">
        <v>15</v>
      </c>
    </row>
    <row r="547" spans="1:14" x14ac:dyDescent="0.35">
      <c r="A547" t="s">
        <v>1350</v>
      </c>
      <c r="B547">
        <v>62</v>
      </c>
      <c r="C547" t="str">
        <f>IF(WilsonData[[#This Row],[Age]]&lt;=18, "0-18", IF(WilsonData[[#This Row],[Age]]&lt;=35,"19-35", IF(WilsonData[[#This Row],[Age]]&lt;=50, "36-50",IF(WilsonData[[#This Row],[Age]]&lt;=65,"51-65", " 66+"))))</f>
        <v>51-65</v>
      </c>
      <c r="D547" t="s">
        <v>20</v>
      </c>
      <c r="E547" t="s">
        <v>34</v>
      </c>
      <c r="F547" t="s">
        <v>28</v>
      </c>
      <c r="G547" s="1">
        <v>45791</v>
      </c>
      <c r="H547" t="s">
        <v>39</v>
      </c>
      <c r="I547" s="2">
        <v>30201.88160980419</v>
      </c>
      <c r="J547">
        <v>326</v>
      </c>
      <c r="K547" t="s">
        <v>25</v>
      </c>
      <c r="L547" s="1">
        <v>45795</v>
      </c>
      <c r="M547" s="6">
        <f>WilsonData[[#This Row],[Discharge Date]]-WilsonData[[#This Row],[Date of Admission]]</f>
        <v>4</v>
      </c>
      <c r="N547" t="s">
        <v>22</v>
      </c>
    </row>
    <row r="548" spans="1:14" x14ac:dyDescent="0.35">
      <c r="A548" t="s">
        <v>1351</v>
      </c>
      <c r="B548">
        <v>83</v>
      </c>
      <c r="C548" t="str">
        <f>IF(WilsonData[[#This Row],[Age]]&lt;=18, "0-18", IF(WilsonData[[#This Row],[Age]]&lt;=35,"19-35", IF(WilsonData[[#This Row],[Age]]&lt;=50, "36-50",IF(WilsonData[[#This Row],[Age]]&lt;=65,"51-65", " 66+"))))</f>
        <v xml:space="preserve"> 66+</v>
      </c>
      <c r="D548" t="s">
        <v>20</v>
      </c>
      <c r="E548" t="s">
        <v>21</v>
      </c>
      <c r="F548" t="s">
        <v>30</v>
      </c>
      <c r="G548" s="1">
        <v>45698</v>
      </c>
      <c r="H548" t="s">
        <v>38</v>
      </c>
      <c r="I548" s="2">
        <v>1656.984539695495</v>
      </c>
      <c r="J548">
        <v>367</v>
      </c>
      <c r="K548" t="s">
        <v>18</v>
      </c>
      <c r="L548" s="1">
        <v>45700</v>
      </c>
      <c r="M548" s="6">
        <f>WilsonData[[#This Row],[Discharge Date]]-WilsonData[[#This Row],[Date of Admission]]</f>
        <v>2</v>
      </c>
      <c r="N548" t="s">
        <v>15</v>
      </c>
    </row>
    <row r="549" spans="1:14" x14ac:dyDescent="0.35">
      <c r="A549" t="s">
        <v>1352</v>
      </c>
      <c r="B549">
        <v>25</v>
      </c>
      <c r="C549" t="str">
        <f>IF(WilsonData[[#This Row],[Age]]&lt;=18, "0-18", IF(WilsonData[[#This Row],[Age]]&lt;=35,"19-35", IF(WilsonData[[#This Row],[Age]]&lt;=50, "36-50",IF(WilsonData[[#This Row],[Age]]&lt;=65,"51-65", " 66+"))))</f>
        <v>19-35</v>
      </c>
      <c r="D549" t="s">
        <v>20</v>
      </c>
      <c r="E549" t="s">
        <v>29</v>
      </c>
      <c r="F549" t="s">
        <v>24</v>
      </c>
      <c r="G549" s="1">
        <v>45773</v>
      </c>
      <c r="H549" t="s">
        <v>38</v>
      </c>
      <c r="I549" s="2">
        <v>2135.456534255889</v>
      </c>
      <c r="J549">
        <v>486</v>
      </c>
      <c r="K549" t="s">
        <v>25</v>
      </c>
      <c r="L549" s="1">
        <v>45781</v>
      </c>
      <c r="M549" s="6">
        <f>WilsonData[[#This Row],[Discharge Date]]-WilsonData[[#This Row],[Date of Admission]]</f>
        <v>8</v>
      </c>
      <c r="N549" t="s">
        <v>19</v>
      </c>
    </row>
    <row r="550" spans="1:14" x14ac:dyDescent="0.35">
      <c r="A550" t="s">
        <v>1353</v>
      </c>
      <c r="B550">
        <v>30</v>
      </c>
      <c r="C550" t="str">
        <f>IF(WilsonData[[#This Row],[Age]]&lt;=18, "0-18", IF(WilsonData[[#This Row],[Age]]&lt;=35,"19-35", IF(WilsonData[[#This Row],[Age]]&lt;=50, "36-50",IF(WilsonData[[#This Row],[Age]]&lt;=65,"51-65", " 66+"))))</f>
        <v>19-35</v>
      </c>
      <c r="D550" t="s">
        <v>20</v>
      </c>
      <c r="E550" t="s">
        <v>23</v>
      </c>
      <c r="F550" t="s">
        <v>24</v>
      </c>
      <c r="G550" s="1">
        <v>45781</v>
      </c>
      <c r="H550" t="s">
        <v>37</v>
      </c>
      <c r="I550" s="2">
        <v>11973.08970789012</v>
      </c>
      <c r="J550">
        <v>338</v>
      </c>
      <c r="K550" t="s">
        <v>25</v>
      </c>
      <c r="L550" s="1">
        <v>45792</v>
      </c>
      <c r="M550" s="6">
        <f>WilsonData[[#This Row],[Discharge Date]]-WilsonData[[#This Row],[Date of Admission]]</f>
        <v>11</v>
      </c>
      <c r="N550" t="s">
        <v>27</v>
      </c>
    </row>
    <row r="551" spans="1:14" x14ac:dyDescent="0.35">
      <c r="A551" t="s">
        <v>1354</v>
      </c>
      <c r="B551">
        <v>20</v>
      </c>
      <c r="C551" t="str">
        <f>IF(WilsonData[[#This Row],[Age]]&lt;=18, "0-18", IF(WilsonData[[#This Row],[Age]]&lt;=35,"19-35", IF(WilsonData[[#This Row],[Age]]&lt;=50, "36-50",IF(WilsonData[[#This Row],[Age]]&lt;=65,"51-65", " 66+"))))</f>
        <v>19-35</v>
      </c>
      <c r="D551" t="s">
        <v>20</v>
      </c>
      <c r="E551" t="s">
        <v>23</v>
      </c>
      <c r="F551" t="s">
        <v>30</v>
      </c>
      <c r="G551" s="1">
        <v>45970</v>
      </c>
      <c r="H551" t="s">
        <v>38</v>
      </c>
      <c r="I551" s="2">
        <v>14355.883678685181</v>
      </c>
      <c r="J551">
        <v>155</v>
      </c>
      <c r="K551" t="s">
        <v>18</v>
      </c>
      <c r="L551" s="1">
        <v>45977</v>
      </c>
      <c r="M551" s="6">
        <f>WilsonData[[#This Row],[Discharge Date]]-WilsonData[[#This Row],[Date of Admission]]</f>
        <v>7</v>
      </c>
      <c r="N551" t="s">
        <v>31</v>
      </c>
    </row>
    <row r="552" spans="1:14" x14ac:dyDescent="0.35">
      <c r="A552" t="s">
        <v>1355</v>
      </c>
      <c r="B552">
        <v>52</v>
      </c>
      <c r="C552" t="str">
        <f>IF(WilsonData[[#This Row],[Age]]&lt;=18, "0-18", IF(WilsonData[[#This Row],[Age]]&lt;=35,"19-35", IF(WilsonData[[#This Row],[Age]]&lt;=50, "36-50",IF(WilsonData[[#This Row],[Age]]&lt;=65,"51-65", " 66+"))))</f>
        <v>51-65</v>
      </c>
      <c r="D552" t="s">
        <v>20</v>
      </c>
      <c r="E552" t="s">
        <v>33</v>
      </c>
      <c r="F552" t="s">
        <v>32</v>
      </c>
      <c r="G552" s="1">
        <v>46013</v>
      </c>
      <c r="H552" t="s">
        <v>39</v>
      </c>
      <c r="I552" s="2">
        <v>28277.808970906681</v>
      </c>
      <c r="J552">
        <v>121</v>
      </c>
      <c r="K552" t="s">
        <v>25</v>
      </c>
      <c r="L552" s="1">
        <v>46015</v>
      </c>
      <c r="M552" s="6">
        <f>WilsonData[[#This Row],[Discharge Date]]-WilsonData[[#This Row],[Date of Admission]]</f>
        <v>2</v>
      </c>
      <c r="N552" t="s">
        <v>19</v>
      </c>
    </row>
    <row r="553" spans="1:14" x14ac:dyDescent="0.35">
      <c r="A553" t="s">
        <v>1356</v>
      </c>
      <c r="B553">
        <v>33</v>
      </c>
      <c r="C553" t="str">
        <f>IF(WilsonData[[#This Row],[Age]]&lt;=18, "0-18", IF(WilsonData[[#This Row],[Age]]&lt;=35,"19-35", IF(WilsonData[[#This Row],[Age]]&lt;=50, "36-50",IF(WilsonData[[#This Row],[Age]]&lt;=65,"51-65", " 66+"))))</f>
        <v>19-35</v>
      </c>
      <c r="D553" t="s">
        <v>20</v>
      </c>
      <c r="E553" t="s">
        <v>33</v>
      </c>
      <c r="F553" t="s">
        <v>28</v>
      </c>
      <c r="G553" s="1">
        <v>45989</v>
      </c>
      <c r="H553" t="s">
        <v>39</v>
      </c>
      <c r="I553" s="2">
        <v>44773.49236376601</v>
      </c>
      <c r="J553">
        <v>313</v>
      </c>
      <c r="K553" t="s">
        <v>25</v>
      </c>
      <c r="L553" s="1">
        <v>45999</v>
      </c>
      <c r="M553" s="6">
        <f>WilsonData[[#This Row],[Discharge Date]]-WilsonData[[#This Row],[Date of Admission]]</f>
        <v>10</v>
      </c>
      <c r="N553" t="s">
        <v>22</v>
      </c>
    </row>
    <row r="554" spans="1:14" x14ac:dyDescent="0.35">
      <c r="A554" t="s">
        <v>1357</v>
      </c>
      <c r="B554">
        <v>54</v>
      </c>
      <c r="C554" t="str">
        <f>IF(WilsonData[[#This Row],[Age]]&lt;=18, "0-18", IF(WilsonData[[#This Row],[Age]]&lt;=35,"19-35", IF(WilsonData[[#This Row],[Age]]&lt;=50, "36-50",IF(WilsonData[[#This Row],[Age]]&lt;=65,"51-65", " 66+"))))</f>
        <v>51-65</v>
      </c>
      <c r="D554" t="s">
        <v>20</v>
      </c>
      <c r="E554" t="s">
        <v>34</v>
      </c>
      <c r="F554" t="s">
        <v>30</v>
      </c>
      <c r="G554" s="1">
        <v>45684</v>
      </c>
      <c r="H554" t="s">
        <v>38</v>
      </c>
      <c r="I554" s="2">
        <v>33486.781640950598</v>
      </c>
      <c r="J554">
        <v>442</v>
      </c>
      <c r="K554" t="s">
        <v>25</v>
      </c>
      <c r="L554" s="1">
        <v>45695</v>
      </c>
      <c r="M554" s="6">
        <f>WilsonData[[#This Row],[Discharge Date]]-WilsonData[[#This Row],[Date of Admission]]</f>
        <v>11</v>
      </c>
      <c r="N554" t="s">
        <v>19</v>
      </c>
    </row>
    <row r="555" spans="1:14" x14ac:dyDescent="0.35">
      <c r="A555" t="s">
        <v>1358</v>
      </c>
      <c r="B555">
        <v>81</v>
      </c>
      <c r="C555" t="str">
        <f>IF(WilsonData[[#This Row],[Age]]&lt;=18, "0-18", IF(WilsonData[[#This Row],[Age]]&lt;=35,"19-35", IF(WilsonData[[#This Row],[Age]]&lt;=50, "36-50",IF(WilsonData[[#This Row],[Age]]&lt;=65,"51-65", " 66+"))))</f>
        <v xml:space="preserve"> 66+</v>
      </c>
      <c r="D555" t="s">
        <v>11</v>
      </c>
      <c r="E555" t="s">
        <v>34</v>
      </c>
      <c r="F555" t="s">
        <v>32</v>
      </c>
      <c r="G555" s="1">
        <v>45991</v>
      </c>
      <c r="H555" t="s">
        <v>36</v>
      </c>
      <c r="I555" s="2">
        <v>42433.930010047763</v>
      </c>
      <c r="J555">
        <v>206</v>
      </c>
      <c r="K555" t="s">
        <v>25</v>
      </c>
      <c r="L555" s="1">
        <v>45996</v>
      </c>
      <c r="M555" s="6">
        <f>WilsonData[[#This Row],[Discharge Date]]-WilsonData[[#This Row],[Date of Admission]]</f>
        <v>5</v>
      </c>
      <c r="N555" t="s">
        <v>22</v>
      </c>
    </row>
    <row r="556" spans="1:14" x14ac:dyDescent="0.35">
      <c r="A556" t="s">
        <v>1359</v>
      </c>
      <c r="B556">
        <v>35</v>
      </c>
      <c r="C556" t="str">
        <f>IF(WilsonData[[#This Row],[Age]]&lt;=18, "0-18", IF(WilsonData[[#This Row],[Age]]&lt;=35,"19-35", IF(WilsonData[[#This Row],[Age]]&lt;=50, "36-50",IF(WilsonData[[#This Row],[Age]]&lt;=65,"51-65", " 66+"))))</f>
        <v>19-35</v>
      </c>
      <c r="D556" t="s">
        <v>20</v>
      </c>
      <c r="E556" t="s">
        <v>12</v>
      </c>
      <c r="F556" t="s">
        <v>24</v>
      </c>
      <c r="G556" s="1">
        <v>45834</v>
      </c>
      <c r="H556" t="s">
        <v>37</v>
      </c>
      <c r="I556" s="2">
        <v>46446.293078557857</v>
      </c>
      <c r="J556">
        <v>115</v>
      </c>
      <c r="K556" t="s">
        <v>18</v>
      </c>
      <c r="L556" s="1">
        <v>45844</v>
      </c>
      <c r="M556" s="6">
        <f>WilsonData[[#This Row],[Discharge Date]]-WilsonData[[#This Row],[Date of Admission]]</f>
        <v>10</v>
      </c>
      <c r="N556" t="s">
        <v>22</v>
      </c>
    </row>
    <row r="557" spans="1:14" x14ac:dyDescent="0.35">
      <c r="A557" t="s">
        <v>1360</v>
      </c>
      <c r="B557">
        <v>44</v>
      </c>
      <c r="C557" t="str">
        <f>IF(WilsonData[[#This Row],[Age]]&lt;=18, "0-18", IF(WilsonData[[#This Row],[Age]]&lt;=35,"19-35", IF(WilsonData[[#This Row],[Age]]&lt;=50, "36-50",IF(WilsonData[[#This Row],[Age]]&lt;=65,"51-65", " 66+"))))</f>
        <v>36-50</v>
      </c>
      <c r="D557" t="s">
        <v>11</v>
      </c>
      <c r="E557" t="s">
        <v>33</v>
      </c>
      <c r="F557" t="s">
        <v>13</v>
      </c>
      <c r="G557" s="1">
        <v>45668</v>
      </c>
      <c r="H557" t="s">
        <v>37</v>
      </c>
      <c r="I557" s="2">
        <v>12795.19969223959</v>
      </c>
      <c r="J557">
        <v>335</v>
      </c>
      <c r="K557" t="s">
        <v>18</v>
      </c>
      <c r="L557" s="1">
        <v>45681</v>
      </c>
      <c r="M557" s="6">
        <f>WilsonData[[#This Row],[Discharge Date]]-WilsonData[[#This Row],[Date of Admission]]</f>
        <v>13</v>
      </c>
      <c r="N557" t="s">
        <v>15</v>
      </c>
    </row>
    <row r="558" spans="1:14" x14ac:dyDescent="0.35">
      <c r="A558" t="s">
        <v>1361</v>
      </c>
      <c r="B558">
        <v>41</v>
      </c>
      <c r="C558" t="str">
        <f>IF(WilsonData[[#This Row],[Age]]&lt;=18, "0-18", IF(WilsonData[[#This Row],[Age]]&lt;=35,"19-35", IF(WilsonData[[#This Row],[Age]]&lt;=50, "36-50",IF(WilsonData[[#This Row],[Age]]&lt;=65,"51-65", " 66+"))))</f>
        <v>36-50</v>
      </c>
      <c r="D558" t="s">
        <v>20</v>
      </c>
      <c r="E558" t="s">
        <v>21</v>
      </c>
      <c r="F558" t="s">
        <v>30</v>
      </c>
      <c r="G558" s="1">
        <v>45936</v>
      </c>
      <c r="H558" t="s">
        <v>36</v>
      </c>
      <c r="I558" s="2">
        <v>36111.965511571383</v>
      </c>
      <c r="J558">
        <v>251</v>
      </c>
      <c r="K558" t="s">
        <v>25</v>
      </c>
      <c r="L558" s="1">
        <v>45939</v>
      </c>
      <c r="M558" s="6">
        <f>WilsonData[[#This Row],[Discharge Date]]-WilsonData[[#This Row],[Date of Admission]]</f>
        <v>3</v>
      </c>
      <c r="N558" t="s">
        <v>27</v>
      </c>
    </row>
    <row r="559" spans="1:14" x14ac:dyDescent="0.35">
      <c r="A559" t="s">
        <v>1362</v>
      </c>
      <c r="B559">
        <v>68</v>
      </c>
      <c r="C559" t="str">
        <f>IF(WilsonData[[#This Row],[Age]]&lt;=18, "0-18", IF(WilsonData[[#This Row],[Age]]&lt;=35,"19-35", IF(WilsonData[[#This Row],[Age]]&lt;=50, "36-50",IF(WilsonData[[#This Row],[Age]]&lt;=65,"51-65", " 66+"))))</f>
        <v xml:space="preserve"> 66+</v>
      </c>
      <c r="D559" t="s">
        <v>20</v>
      </c>
      <c r="E559" t="s">
        <v>34</v>
      </c>
      <c r="F559" t="s">
        <v>13</v>
      </c>
      <c r="G559" s="1">
        <v>46014</v>
      </c>
      <c r="H559" t="s">
        <v>36</v>
      </c>
      <c r="I559" s="2">
        <v>42254.535773507443</v>
      </c>
      <c r="J559">
        <v>120</v>
      </c>
      <c r="K559" t="s">
        <v>25</v>
      </c>
      <c r="L559" s="1">
        <v>46020</v>
      </c>
      <c r="M559" s="6">
        <f>WilsonData[[#This Row],[Discharge Date]]-WilsonData[[#This Row],[Date of Admission]]</f>
        <v>6</v>
      </c>
      <c r="N559" t="s">
        <v>22</v>
      </c>
    </row>
    <row r="560" spans="1:14" x14ac:dyDescent="0.35">
      <c r="A560" t="s">
        <v>1363</v>
      </c>
      <c r="B560">
        <v>65</v>
      </c>
      <c r="C560" t="str">
        <f>IF(WilsonData[[#This Row],[Age]]&lt;=18, "0-18", IF(WilsonData[[#This Row],[Age]]&lt;=35,"19-35", IF(WilsonData[[#This Row],[Age]]&lt;=50, "36-50",IF(WilsonData[[#This Row],[Age]]&lt;=65,"51-65", " 66+"))))</f>
        <v>51-65</v>
      </c>
      <c r="D560" t="s">
        <v>20</v>
      </c>
      <c r="E560" t="s">
        <v>34</v>
      </c>
      <c r="F560" t="s">
        <v>13</v>
      </c>
      <c r="G560" s="1">
        <v>45851</v>
      </c>
      <c r="H560" t="s">
        <v>38</v>
      </c>
      <c r="I560" s="2">
        <v>22936.48498082588</v>
      </c>
      <c r="J560">
        <v>463</v>
      </c>
      <c r="K560" t="s">
        <v>18</v>
      </c>
      <c r="L560" s="1">
        <v>45864</v>
      </c>
      <c r="M560" s="6">
        <f>WilsonData[[#This Row],[Discharge Date]]-WilsonData[[#This Row],[Date of Admission]]</f>
        <v>13</v>
      </c>
      <c r="N560" t="s">
        <v>27</v>
      </c>
    </row>
    <row r="561" spans="1:14" x14ac:dyDescent="0.35">
      <c r="A561" t="s">
        <v>1364</v>
      </c>
      <c r="B561">
        <v>77</v>
      </c>
      <c r="C561" t="str">
        <f>IF(WilsonData[[#This Row],[Age]]&lt;=18, "0-18", IF(WilsonData[[#This Row],[Age]]&lt;=35,"19-35", IF(WilsonData[[#This Row],[Age]]&lt;=50, "36-50",IF(WilsonData[[#This Row],[Age]]&lt;=65,"51-65", " 66+"))))</f>
        <v xml:space="preserve"> 66+</v>
      </c>
      <c r="D561" t="s">
        <v>20</v>
      </c>
      <c r="E561" t="s">
        <v>26</v>
      </c>
      <c r="F561" t="s">
        <v>28</v>
      </c>
      <c r="G561" s="1">
        <v>45840</v>
      </c>
      <c r="H561" t="s">
        <v>38</v>
      </c>
      <c r="I561" s="2">
        <v>13083.092792171539</v>
      </c>
      <c r="J561">
        <v>341</v>
      </c>
      <c r="K561" t="s">
        <v>25</v>
      </c>
      <c r="L561" s="1">
        <v>45843</v>
      </c>
      <c r="M561" s="6">
        <f>WilsonData[[#This Row],[Discharge Date]]-WilsonData[[#This Row],[Date of Admission]]</f>
        <v>3</v>
      </c>
      <c r="N561" t="s">
        <v>31</v>
      </c>
    </row>
    <row r="562" spans="1:14" x14ac:dyDescent="0.35">
      <c r="A562" t="s">
        <v>1365</v>
      </c>
      <c r="B562">
        <v>63</v>
      </c>
      <c r="C562" t="str">
        <f>IF(WilsonData[[#This Row],[Age]]&lt;=18, "0-18", IF(WilsonData[[#This Row],[Age]]&lt;=35,"19-35", IF(WilsonData[[#This Row],[Age]]&lt;=50, "36-50",IF(WilsonData[[#This Row],[Age]]&lt;=65,"51-65", " 66+"))))</f>
        <v>51-65</v>
      </c>
      <c r="D562" t="s">
        <v>11</v>
      </c>
      <c r="E562" t="s">
        <v>29</v>
      </c>
      <c r="F562" t="s">
        <v>28</v>
      </c>
      <c r="G562" s="1">
        <v>45734</v>
      </c>
      <c r="H562" t="s">
        <v>36</v>
      </c>
      <c r="I562" s="2">
        <v>1403.4570133972611</v>
      </c>
      <c r="J562">
        <v>170</v>
      </c>
      <c r="K562" t="s">
        <v>25</v>
      </c>
      <c r="L562" s="1">
        <v>45741</v>
      </c>
      <c r="M562" s="6">
        <f>WilsonData[[#This Row],[Discharge Date]]-WilsonData[[#This Row],[Date of Admission]]</f>
        <v>7</v>
      </c>
      <c r="N562" t="s">
        <v>27</v>
      </c>
    </row>
    <row r="563" spans="1:14" x14ac:dyDescent="0.35">
      <c r="A563" t="s">
        <v>1366</v>
      </c>
      <c r="B563">
        <v>56</v>
      </c>
      <c r="C563" t="str">
        <f>IF(WilsonData[[#This Row],[Age]]&lt;=18, "0-18", IF(WilsonData[[#This Row],[Age]]&lt;=35,"19-35", IF(WilsonData[[#This Row],[Age]]&lt;=50, "36-50",IF(WilsonData[[#This Row],[Age]]&lt;=65,"51-65", " 66+"))))</f>
        <v>51-65</v>
      </c>
      <c r="D563" t="s">
        <v>11</v>
      </c>
      <c r="E563" t="s">
        <v>23</v>
      </c>
      <c r="F563" t="s">
        <v>32</v>
      </c>
      <c r="G563" s="1">
        <v>45817</v>
      </c>
      <c r="H563" t="s">
        <v>36</v>
      </c>
      <c r="I563" s="2">
        <v>41653.615771023593</v>
      </c>
      <c r="J563">
        <v>405</v>
      </c>
      <c r="K563" t="s">
        <v>18</v>
      </c>
      <c r="L563" s="1">
        <v>45821</v>
      </c>
      <c r="M563" s="6">
        <f>WilsonData[[#This Row],[Discharge Date]]-WilsonData[[#This Row],[Date of Admission]]</f>
        <v>4</v>
      </c>
      <c r="N563" t="s">
        <v>22</v>
      </c>
    </row>
    <row r="564" spans="1:14" x14ac:dyDescent="0.35">
      <c r="A564" t="s">
        <v>1367</v>
      </c>
      <c r="B564">
        <v>35</v>
      </c>
      <c r="C564" t="str">
        <f>IF(WilsonData[[#This Row],[Age]]&lt;=18, "0-18", IF(WilsonData[[#This Row],[Age]]&lt;=35,"19-35", IF(WilsonData[[#This Row],[Age]]&lt;=50, "36-50",IF(WilsonData[[#This Row],[Age]]&lt;=65,"51-65", " 66+"))))</f>
        <v>19-35</v>
      </c>
      <c r="D564" t="s">
        <v>11</v>
      </c>
      <c r="E564" t="s">
        <v>29</v>
      </c>
      <c r="F564" t="s">
        <v>13</v>
      </c>
      <c r="G564" s="1">
        <v>45677</v>
      </c>
      <c r="H564" t="s">
        <v>37</v>
      </c>
      <c r="I564" s="2">
        <v>40081.25165425329</v>
      </c>
      <c r="J564">
        <v>345</v>
      </c>
      <c r="K564" t="s">
        <v>18</v>
      </c>
      <c r="L564" s="1">
        <v>45681</v>
      </c>
      <c r="M564" s="6">
        <f>WilsonData[[#This Row],[Discharge Date]]-WilsonData[[#This Row],[Date of Admission]]</f>
        <v>4</v>
      </c>
      <c r="N564" t="s">
        <v>19</v>
      </c>
    </row>
    <row r="565" spans="1:14" x14ac:dyDescent="0.35">
      <c r="A565" t="s">
        <v>1368</v>
      </c>
      <c r="B565">
        <v>61</v>
      </c>
      <c r="C565" t="str">
        <f>IF(WilsonData[[#This Row],[Age]]&lt;=18, "0-18", IF(WilsonData[[#This Row],[Age]]&lt;=35,"19-35", IF(WilsonData[[#This Row],[Age]]&lt;=50, "36-50",IF(WilsonData[[#This Row],[Age]]&lt;=65,"51-65", " 66+"))))</f>
        <v>51-65</v>
      </c>
      <c r="D565" t="s">
        <v>20</v>
      </c>
      <c r="E565" t="s">
        <v>21</v>
      </c>
      <c r="F565" t="s">
        <v>28</v>
      </c>
      <c r="G565" s="1">
        <v>45982</v>
      </c>
      <c r="H565" t="s">
        <v>37</v>
      </c>
      <c r="I565" s="2">
        <v>14819.455728022651</v>
      </c>
      <c r="J565">
        <v>234</v>
      </c>
      <c r="K565" t="s">
        <v>18</v>
      </c>
      <c r="L565" s="1">
        <v>45995</v>
      </c>
      <c r="M565" s="6">
        <f>WilsonData[[#This Row],[Discharge Date]]-WilsonData[[#This Row],[Date of Admission]]</f>
        <v>13</v>
      </c>
      <c r="N565" t="s">
        <v>31</v>
      </c>
    </row>
    <row r="566" spans="1:14" x14ac:dyDescent="0.35">
      <c r="A566" t="s">
        <v>1369</v>
      </c>
      <c r="B566">
        <v>35</v>
      </c>
      <c r="C566" t="str">
        <f>IF(WilsonData[[#This Row],[Age]]&lt;=18, "0-18", IF(WilsonData[[#This Row],[Age]]&lt;=35,"19-35", IF(WilsonData[[#This Row],[Age]]&lt;=50, "36-50",IF(WilsonData[[#This Row],[Age]]&lt;=65,"51-65", " 66+"))))</f>
        <v>19-35</v>
      </c>
      <c r="D566" t="s">
        <v>11</v>
      </c>
      <c r="E566" t="s">
        <v>33</v>
      </c>
      <c r="F566" t="s">
        <v>30</v>
      </c>
      <c r="G566" s="1">
        <v>46013</v>
      </c>
      <c r="H566" t="s">
        <v>36</v>
      </c>
      <c r="I566" s="2">
        <v>22490.443614569431</v>
      </c>
      <c r="J566">
        <v>399</v>
      </c>
      <c r="K566" t="s">
        <v>25</v>
      </c>
      <c r="L566" s="1">
        <v>46015</v>
      </c>
      <c r="M566" s="6">
        <f>WilsonData[[#This Row],[Discharge Date]]-WilsonData[[#This Row],[Date of Admission]]</f>
        <v>2</v>
      </c>
      <c r="N566" t="s">
        <v>22</v>
      </c>
    </row>
    <row r="567" spans="1:14" x14ac:dyDescent="0.35">
      <c r="A567" t="s">
        <v>1370</v>
      </c>
      <c r="B567">
        <v>64</v>
      </c>
      <c r="C567" t="str">
        <f>IF(WilsonData[[#This Row],[Age]]&lt;=18, "0-18", IF(WilsonData[[#This Row],[Age]]&lt;=35,"19-35", IF(WilsonData[[#This Row],[Age]]&lt;=50, "36-50",IF(WilsonData[[#This Row],[Age]]&lt;=65,"51-65", " 66+"))))</f>
        <v>51-65</v>
      </c>
      <c r="D567" t="s">
        <v>20</v>
      </c>
      <c r="E567" t="s">
        <v>34</v>
      </c>
      <c r="F567" t="s">
        <v>13</v>
      </c>
      <c r="G567" s="1">
        <v>46013</v>
      </c>
      <c r="H567" t="s">
        <v>37</v>
      </c>
      <c r="I567" s="2">
        <v>12749.99392567508</v>
      </c>
      <c r="J567">
        <v>497</v>
      </c>
      <c r="K567" t="s">
        <v>18</v>
      </c>
      <c r="L567" s="1">
        <v>46018</v>
      </c>
      <c r="M567" s="6">
        <f>WilsonData[[#This Row],[Discharge Date]]-WilsonData[[#This Row],[Date of Admission]]</f>
        <v>5</v>
      </c>
      <c r="N567" t="s">
        <v>31</v>
      </c>
    </row>
    <row r="568" spans="1:14" x14ac:dyDescent="0.35">
      <c r="A568" t="s">
        <v>1371</v>
      </c>
      <c r="B568">
        <v>35</v>
      </c>
      <c r="C568" t="str">
        <f>IF(WilsonData[[#This Row],[Age]]&lt;=18, "0-18", IF(WilsonData[[#This Row],[Age]]&lt;=35,"19-35", IF(WilsonData[[#This Row],[Age]]&lt;=50, "36-50",IF(WilsonData[[#This Row],[Age]]&lt;=65,"51-65", " 66+"))))</f>
        <v>19-35</v>
      </c>
      <c r="D568" t="s">
        <v>20</v>
      </c>
      <c r="E568" t="s">
        <v>12</v>
      </c>
      <c r="F568" t="s">
        <v>28</v>
      </c>
      <c r="G568" s="1">
        <v>45749</v>
      </c>
      <c r="H568" t="s">
        <v>39</v>
      </c>
      <c r="I568" s="2">
        <v>27213.482705259241</v>
      </c>
      <c r="J568">
        <v>342</v>
      </c>
      <c r="K568" t="s">
        <v>18</v>
      </c>
      <c r="L568" s="1">
        <v>45760</v>
      </c>
      <c r="M568" s="6">
        <f>WilsonData[[#This Row],[Discharge Date]]-WilsonData[[#This Row],[Date of Admission]]</f>
        <v>11</v>
      </c>
      <c r="N568" t="s">
        <v>31</v>
      </c>
    </row>
    <row r="569" spans="1:14" x14ac:dyDescent="0.35">
      <c r="A569" t="s">
        <v>1372</v>
      </c>
      <c r="B569">
        <v>44</v>
      </c>
      <c r="C569" t="str">
        <f>IF(WilsonData[[#This Row],[Age]]&lt;=18, "0-18", IF(WilsonData[[#This Row],[Age]]&lt;=35,"19-35", IF(WilsonData[[#This Row],[Age]]&lt;=50, "36-50",IF(WilsonData[[#This Row],[Age]]&lt;=65,"51-65", " 66+"))))</f>
        <v>36-50</v>
      </c>
      <c r="D569" t="s">
        <v>11</v>
      </c>
      <c r="E569" t="s">
        <v>33</v>
      </c>
      <c r="F569" t="s">
        <v>28</v>
      </c>
      <c r="G569" s="1">
        <v>45974</v>
      </c>
      <c r="H569" t="s">
        <v>39</v>
      </c>
      <c r="I569" s="2">
        <v>13127.33995354016</v>
      </c>
      <c r="J569">
        <v>436</v>
      </c>
      <c r="K569" t="s">
        <v>25</v>
      </c>
      <c r="L569" s="1">
        <v>45985</v>
      </c>
      <c r="M569" s="6">
        <f>WilsonData[[#This Row],[Discharge Date]]-WilsonData[[#This Row],[Date of Admission]]</f>
        <v>11</v>
      </c>
      <c r="N569" t="s">
        <v>22</v>
      </c>
    </row>
    <row r="570" spans="1:14" x14ac:dyDescent="0.35">
      <c r="A570" t="s">
        <v>1373</v>
      </c>
      <c r="B570">
        <v>35</v>
      </c>
      <c r="C570" t="str">
        <f>IF(WilsonData[[#This Row],[Age]]&lt;=18, "0-18", IF(WilsonData[[#This Row],[Age]]&lt;=35,"19-35", IF(WilsonData[[#This Row],[Age]]&lt;=50, "36-50",IF(WilsonData[[#This Row],[Age]]&lt;=65,"51-65", " 66+"))))</f>
        <v>19-35</v>
      </c>
      <c r="D570" t="s">
        <v>11</v>
      </c>
      <c r="E570" t="s">
        <v>16</v>
      </c>
      <c r="F570" t="s">
        <v>32</v>
      </c>
      <c r="G570" s="1">
        <v>45802</v>
      </c>
      <c r="H570" t="s">
        <v>38</v>
      </c>
      <c r="I570" s="2">
        <v>43821.631937736551</v>
      </c>
      <c r="J570">
        <v>466</v>
      </c>
      <c r="K570" t="s">
        <v>25</v>
      </c>
      <c r="L570" s="1">
        <v>45813</v>
      </c>
      <c r="M570" s="6">
        <f>WilsonData[[#This Row],[Discharge Date]]-WilsonData[[#This Row],[Date of Admission]]</f>
        <v>11</v>
      </c>
      <c r="N570" t="s">
        <v>31</v>
      </c>
    </row>
    <row r="571" spans="1:14" x14ac:dyDescent="0.35">
      <c r="A571" t="s">
        <v>1374</v>
      </c>
      <c r="B571">
        <v>20</v>
      </c>
      <c r="C571" t="str">
        <f>IF(WilsonData[[#This Row],[Age]]&lt;=18, "0-18", IF(WilsonData[[#This Row],[Age]]&lt;=35,"19-35", IF(WilsonData[[#This Row],[Age]]&lt;=50, "36-50",IF(WilsonData[[#This Row],[Age]]&lt;=65,"51-65", " 66+"))))</f>
        <v>19-35</v>
      </c>
      <c r="D571" t="s">
        <v>20</v>
      </c>
      <c r="E571" t="s">
        <v>21</v>
      </c>
      <c r="F571" t="s">
        <v>28</v>
      </c>
      <c r="G571" s="1">
        <v>46006</v>
      </c>
      <c r="H571" t="s">
        <v>37</v>
      </c>
      <c r="I571" s="2">
        <v>18891.088709599069</v>
      </c>
      <c r="J571">
        <v>122</v>
      </c>
      <c r="K571" t="s">
        <v>18</v>
      </c>
      <c r="L571" s="1">
        <v>46019</v>
      </c>
      <c r="M571" s="6">
        <f>WilsonData[[#This Row],[Discharge Date]]-WilsonData[[#This Row],[Date of Admission]]</f>
        <v>13</v>
      </c>
      <c r="N571" t="s">
        <v>19</v>
      </c>
    </row>
    <row r="572" spans="1:14" x14ac:dyDescent="0.35">
      <c r="A572" t="s">
        <v>1375</v>
      </c>
      <c r="B572">
        <v>85</v>
      </c>
      <c r="C572" t="str">
        <f>IF(WilsonData[[#This Row],[Age]]&lt;=18, "0-18", IF(WilsonData[[#This Row],[Age]]&lt;=35,"19-35", IF(WilsonData[[#This Row],[Age]]&lt;=50, "36-50",IF(WilsonData[[#This Row],[Age]]&lt;=65,"51-65", " 66+"))))</f>
        <v xml:space="preserve"> 66+</v>
      </c>
      <c r="D572" t="s">
        <v>11</v>
      </c>
      <c r="E572" t="s">
        <v>23</v>
      </c>
      <c r="F572" t="s">
        <v>30</v>
      </c>
      <c r="G572" s="1">
        <v>45713</v>
      </c>
      <c r="H572" t="s">
        <v>38</v>
      </c>
      <c r="I572" s="2">
        <v>44113.542332439327</v>
      </c>
      <c r="J572">
        <v>295</v>
      </c>
      <c r="K572" t="s">
        <v>18</v>
      </c>
      <c r="L572" s="1">
        <v>45727</v>
      </c>
      <c r="M572" s="6">
        <f>WilsonData[[#This Row],[Discharge Date]]-WilsonData[[#This Row],[Date of Admission]]</f>
        <v>14</v>
      </c>
      <c r="N572" t="s">
        <v>15</v>
      </c>
    </row>
    <row r="573" spans="1:14" x14ac:dyDescent="0.35">
      <c r="A573" t="s">
        <v>1376</v>
      </c>
      <c r="B573">
        <v>37</v>
      </c>
      <c r="C573" t="str">
        <f>IF(WilsonData[[#This Row],[Age]]&lt;=18, "0-18", IF(WilsonData[[#This Row],[Age]]&lt;=35,"19-35", IF(WilsonData[[#This Row],[Age]]&lt;=50, "36-50",IF(WilsonData[[#This Row],[Age]]&lt;=65,"51-65", " 66+"))))</f>
        <v>36-50</v>
      </c>
      <c r="D573" t="s">
        <v>11</v>
      </c>
      <c r="E573" t="s">
        <v>21</v>
      </c>
      <c r="F573" t="s">
        <v>24</v>
      </c>
      <c r="G573" s="1">
        <v>45788</v>
      </c>
      <c r="H573" t="s">
        <v>36</v>
      </c>
      <c r="I573" s="2">
        <v>34184.981114590068</v>
      </c>
      <c r="J573">
        <v>126</v>
      </c>
      <c r="K573" t="s">
        <v>18</v>
      </c>
      <c r="L573" s="1">
        <v>45790</v>
      </c>
      <c r="M573" s="6">
        <f>WilsonData[[#This Row],[Discharge Date]]-WilsonData[[#This Row],[Date of Admission]]</f>
        <v>2</v>
      </c>
      <c r="N573" t="s">
        <v>27</v>
      </c>
    </row>
    <row r="574" spans="1:14" x14ac:dyDescent="0.35">
      <c r="A574" t="s">
        <v>1377</v>
      </c>
      <c r="B574">
        <v>53</v>
      </c>
      <c r="C574" t="str">
        <f>IF(WilsonData[[#This Row],[Age]]&lt;=18, "0-18", IF(WilsonData[[#This Row],[Age]]&lt;=35,"19-35", IF(WilsonData[[#This Row],[Age]]&lt;=50, "36-50",IF(WilsonData[[#This Row],[Age]]&lt;=65,"51-65", " 66+"))))</f>
        <v>51-65</v>
      </c>
      <c r="D574" t="s">
        <v>20</v>
      </c>
      <c r="E574" t="s">
        <v>33</v>
      </c>
      <c r="F574" t="s">
        <v>24</v>
      </c>
      <c r="G574" s="1">
        <v>45851</v>
      </c>
      <c r="H574" t="s">
        <v>37</v>
      </c>
      <c r="I574" s="2">
        <v>44741.122118980064</v>
      </c>
      <c r="J574">
        <v>136</v>
      </c>
      <c r="K574" t="s">
        <v>18</v>
      </c>
      <c r="L574" s="1">
        <v>45865</v>
      </c>
      <c r="M574" s="6">
        <f>WilsonData[[#This Row],[Discharge Date]]-WilsonData[[#This Row],[Date of Admission]]</f>
        <v>14</v>
      </c>
      <c r="N574" t="s">
        <v>15</v>
      </c>
    </row>
    <row r="575" spans="1:14" x14ac:dyDescent="0.35">
      <c r="A575" t="s">
        <v>1378</v>
      </c>
      <c r="B575">
        <v>33</v>
      </c>
      <c r="C575" t="str">
        <f>IF(WilsonData[[#This Row],[Age]]&lt;=18, "0-18", IF(WilsonData[[#This Row],[Age]]&lt;=35,"19-35", IF(WilsonData[[#This Row],[Age]]&lt;=50, "36-50",IF(WilsonData[[#This Row],[Age]]&lt;=65,"51-65", " 66+"))))</f>
        <v>19-35</v>
      </c>
      <c r="D575" t="s">
        <v>20</v>
      </c>
      <c r="E575" t="s">
        <v>26</v>
      </c>
      <c r="F575" t="s">
        <v>28</v>
      </c>
      <c r="G575" s="1">
        <v>45712</v>
      </c>
      <c r="H575" t="s">
        <v>39</v>
      </c>
      <c r="I575" s="2">
        <v>4251.265728776385</v>
      </c>
      <c r="J575">
        <v>273</v>
      </c>
      <c r="K575" t="s">
        <v>25</v>
      </c>
      <c r="L575" s="1">
        <v>45723</v>
      </c>
      <c r="M575" s="6">
        <f>WilsonData[[#This Row],[Discharge Date]]-WilsonData[[#This Row],[Date of Admission]]</f>
        <v>11</v>
      </c>
      <c r="N575" t="s">
        <v>27</v>
      </c>
    </row>
    <row r="576" spans="1:14" x14ac:dyDescent="0.35">
      <c r="A576" t="s">
        <v>1379</v>
      </c>
      <c r="B576">
        <v>44</v>
      </c>
      <c r="C576" t="str">
        <f>IF(WilsonData[[#This Row],[Age]]&lt;=18, "0-18", IF(WilsonData[[#This Row],[Age]]&lt;=35,"19-35", IF(WilsonData[[#This Row],[Age]]&lt;=50, "36-50",IF(WilsonData[[#This Row],[Age]]&lt;=65,"51-65", " 66+"))))</f>
        <v>36-50</v>
      </c>
      <c r="D576" t="s">
        <v>20</v>
      </c>
      <c r="E576" t="s">
        <v>34</v>
      </c>
      <c r="F576" t="s">
        <v>32</v>
      </c>
      <c r="G576" s="1">
        <v>45694</v>
      </c>
      <c r="H576" t="s">
        <v>39</v>
      </c>
      <c r="I576" s="2">
        <v>29650.509595166601</v>
      </c>
      <c r="J576">
        <v>366</v>
      </c>
      <c r="K576" t="s">
        <v>18</v>
      </c>
      <c r="L576" s="1">
        <v>45703</v>
      </c>
      <c r="M576" s="6">
        <f>WilsonData[[#This Row],[Discharge Date]]-WilsonData[[#This Row],[Date of Admission]]</f>
        <v>9</v>
      </c>
      <c r="N576" t="s">
        <v>22</v>
      </c>
    </row>
    <row r="577" spans="1:14" x14ac:dyDescent="0.35">
      <c r="A577" t="s">
        <v>1380</v>
      </c>
      <c r="B577">
        <v>46</v>
      </c>
      <c r="C577" t="str">
        <f>IF(WilsonData[[#This Row],[Age]]&lt;=18, "0-18", IF(WilsonData[[#This Row],[Age]]&lt;=35,"19-35", IF(WilsonData[[#This Row],[Age]]&lt;=50, "36-50",IF(WilsonData[[#This Row],[Age]]&lt;=65,"51-65", " 66+"))))</f>
        <v>36-50</v>
      </c>
      <c r="D577" t="s">
        <v>20</v>
      </c>
      <c r="E577" t="s">
        <v>21</v>
      </c>
      <c r="F577" t="s">
        <v>24</v>
      </c>
      <c r="G577" s="1">
        <v>45673</v>
      </c>
      <c r="H577" t="s">
        <v>36</v>
      </c>
      <c r="I577" s="2">
        <v>2127.0706645975911</v>
      </c>
      <c r="J577">
        <v>192</v>
      </c>
      <c r="K577" t="s">
        <v>18</v>
      </c>
      <c r="L577" s="1">
        <v>45680</v>
      </c>
      <c r="M577" s="6">
        <f>WilsonData[[#This Row],[Discharge Date]]-WilsonData[[#This Row],[Date of Admission]]</f>
        <v>7</v>
      </c>
      <c r="N577" t="s">
        <v>31</v>
      </c>
    </row>
    <row r="578" spans="1:14" x14ac:dyDescent="0.35">
      <c r="A578" t="s">
        <v>1381</v>
      </c>
      <c r="B578">
        <v>71</v>
      </c>
      <c r="C578" t="str">
        <f>IF(WilsonData[[#This Row],[Age]]&lt;=18, "0-18", IF(WilsonData[[#This Row],[Age]]&lt;=35,"19-35", IF(WilsonData[[#This Row],[Age]]&lt;=50, "36-50",IF(WilsonData[[#This Row],[Age]]&lt;=65,"51-65", " 66+"))))</f>
        <v xml:space="preserve"> 66+</v>
      </c>
      <c r="D578" t="s">
        <v>11</v>
      </c>
      <c r="E578" t="s">
        <v>12</v>
      </c>
      <c r="F578" t="s">
        <v>32</v>
      </c>
      <c r="G578" s="1">
        <v>45778</v>
      </c>
      <c r="H578" t="s">
        <v>37</v>
      </c>
      <c r="I578" s="2">
        <v>6383.7029427345324</v>
      </c>
      <c r="J578">
        <v>258</v>
      </c>
      <c r="K578" t="s">
        <v>18</v>
      </c>
      <c r="L578" s="1">
        <v>45786</v>
      </c>
      <c r="M578" s="6">
        <f>WilsonData[[#This Row],[Discharge Date]]-WilsonData[[#This Row],[Date of Admission]]</f>
        <v>8</v>
      </c>
      <c r="N578" t="s">
        <v>15</v>
      </c>
    </row>
    <row r="579" spans="1:14" x14ac:dyDescent="0.35">
      <c r="A579" t="s">
        <v>1382</v>
      </c>
      <c r="B579">
        <v>78</v>
      </c>
      <c r="C579" t="str">
        <f>IF(WilsonData[[#This Row],[Age]]&lt;=18, "0-18", IF(WilsonData[[#This Row],[Age]]&lt;=35,"19-35", IF(WilsonData[[#This Row],[Age]]&lt;=50, "36-50",IF(WilsonData[[#This Row],[Age]]&lt;=65,"51-65", " 66+"))))</f>
        <v xml:space="preserve"> 66+</v>
      </c>
      <c r="D579" t="s">
        <v>11</v>
      </c>
      <c r="E579" t="s">
        <v>29</v>
      </c>
      <c r="F579" t="s">
        <v>13</v>
      </c>
      <c r="G579" s="1">
        <v>45892</v>
      </c>
      <c r="H579" t="s">
        <v>37</v>
      </c>
      <c r="I579" s="2">
        <v>19579.865985069111</v>
      </c>
      <c r="J579">
        <v>349</v>
      </c>
      <c r="K579" t="s">
        <v>18</v>
      </c>
      <c r="L579" s="1">
        <v>45903</v>
      </c>
      <c r="M579" s="6">
        <f>WilsonData[[#This Row],[Discharge Date]]-WilsonData[[#This Row],[Date of Admission]]</f>
        <v>11</v>
      </c>
      <c r="N579" t="s">
        <v>31</v>
      </c>
    </row>
    <row r="580" spans="1:14" x14ac:dyDescent="0.35">
      <c r="A580" t="s">
        <v>1383</v>
      </c>
      <c r="B580">
        <v>44</v>
      </c>
      <c r="C580" t="str">
        <f>IF(WilsonData[[#This Row],[Age]]&lt;=18, "0-18", IF(WilsonData[[#This Row],[Age]]&lt;=35,"19-35", IF(WilsonData[[#This Row],[Age]]&lt;=50, "36-50",IF(WilsonData[[#This Row],[Age]]&lt;=65,"51-65", " 66+"))))</f>
        <v>36-50</v>
      </c>
      <c r="D580" t="s">
        <v>20</v>
      </c>
      <c r="E580" t="s">
        <v>16</v>
      </c>
      <c r="F580" t="s">
        <v>30</v>
      </c>
      <c r="G580" s="1">
        <v>45762</v>
      </c>
      <c r="H580" t="s">
        <v>38</v>
      </c>
      <c r="I580" s="2">
        <v>10597.064848362539</v>
      </c>
      <c r="J580">
        <v>438</v>
      </c>
      <c r="K580" t="s">
        <v>18</v>
      </c>
      <c r="L580" s="1">
        <v>45769</v>
      </c>
      <c r="M580" s="6">
        <f>WilsonData[[#This Row],[Discharge Date]]-WilsonData[[#This Row],[Date of Admission]]</f>
        <v>7</v>
      </c>
      <c r="N580" t="s">
        <v>15</v>
      </c>
    </row>
    <row r="581" spans="1:14" x14ac:dyDescent="0.35">
      <c r="A581" t="s">
        <v>1384</v>
      </c>
      <c r="B581">
        <v>43</v>
      </c>
      <c r="C581" t="str">
        <f>IF(WilsonData[[#This Row],[Age]]&lt;=18, "0-18", IF(WilsonData[[#This Row],[Age]]&lt;=35,"19-35", IF(WilsonData[[#This Row],[Age]]&lt;=50, "36-50",IF(WilsonData[[#This Row],[Age]]&lt;=65,"51-65", " 66+"))))</f>
        <v>36-50</v>
      </c>
      <c r="D581" t="s">
        <v>11</v>
      </c>
      <c r="E581" t="s">
        <v>12</v>
      </c>
      <c r="F581" t="s">
        <v>17</v>
      </c>
      <c r="G581" s="1">
        <v>45869</v>
      </c>
      <c r="H581" t="s">
        <v>38</v>
      </c>
      <c r="I581" s="2">
        <v>25682.536853059471</v>
      </c>
      <c r="J581">
        <v>487</v>
      </c>
      <c r="K581" t="s">
        <v>18</v>
      </c>
      <c r="L581" s="1">
        <v>45874</v>
      </c>
      <c r="M581" s="6">
        <f>WilsonData[[#This Row],[Discharge Date]]-WilsonData[[#This Row],[Date of Admission]]</f>
        <v>5</v>
      </c>
      <c r="N581" t="s">
        <v>22</v>
      </c>
    </row>
    <row r="582" spans="1:14" x14ac:dyDescent="0.35">
      <c r="A582" t="s">
        <v>1385</v>
      </c>
      <c r="B582">
        <v>67</v>
      </c>
      <c r="C582" t="str">
        <f>IF(WilsonData[[#This Row],[Age]]&lt;=18, "0-18", IF(WilsonData[[#This Row],[Age]]&lt;=35,"19-35", IF(WilsonData[[#This Row],[Age]]&lt;=50, "36-50",IF(WilsonData[[#This Row],[Age]]&lt;=65,"51-65", " 66+"))))</f>
        <v xml:space="preserve"> 66+</v>
      </c>
      <c r="D582" t="s">
        <v>20</v>
      </c>
      <c r="E582" t="s">
        <v>26</v>
      </c>
      <c r="F582" t="s">
        <v>13</v>
      </c>
      <c r="G582" s="1">
        <v>45891</v>
      </c>
      <c r="H582" t="s">
        <v>36</v>
      </c>
      <c r="I582" s="2">
        <v>46303.091871558187</v>
      </c>
      <c r="J582">
        <v>449</v>
      </c>
      <c r="K582" t="s">
        <v>25</v>
      </c>
      <c r="L582" s="1">
        <v>45900</v>
      </c>
      <c r="M582" s="6">
        <f>WilsonData[[#This Row],[Discharge Date]]-WilsonData[[#This Row],[Date of Admission]]</f>
        <v>9</v>
      </c>
      <c r="N582" t="s">
        <v>31</v>
      </c>
    </row>
    <row r="583" spans="1:14" x14ac:dyDescent="0.35">
      <c r="A583" t="s">
        <v>1386</v>
      </c>
      <c r="B583">
        <v>24</v>
      </c>
      <c r="C583" t="str">
        <f>IF(WilsonData[[#This Row],[Age]]&lt;=18, "0-18", IF(WilsonData[[#This Row],[Age]]&lt;=35,"19-35", IF(WilsonData[[#This Row],[Age]]&lt;=50, "36-50",IF(WilsonData[[#This Row],[Age]]&lt;=65,"51-65", " 66+"))))</f>
        <v>19-35</v>
      </c>
      <c r="D583" t="s">
        <v>20</v>
      </c>
      <c r="E583" t="s">
        <v>12</v>
      </c>
      <c r="F583" t="s">
        <v>28</v>
      </c>
      <c r="G583" s="1">
        <v>45690</v>
      </c>
      <c r="H583" t="s">
        <v>39</v>
      </c>
      <c r="I583" s="2">
        <v>21303.314228117561</v>
      </c>
      <c r="J583">
        <v>435</v>
      </c>
      <c r="K583" t="s">
        <v>18</v>
      </c>
      <c r="L583" s="1">
        <v>45703</v>
      </c>
      <c r="M583" s="6">
        <f>WilsonData[[#This Row],[Discharge Date]]-WilsonData[[#This Row],[Date of Admission]]</f>
        <v>13</v>
      </c>
      <c r="N583" t="s">
        <v>31</v>
      </c>
    </row>
    <row r="584" spans="1:14" x14ac:dyDescent="0.35">
      <c r="A584" t="s">
        <v>1387</v>
      </c>
      <c r="B584">
        <v>74</v>
      </c>
      <c r="C584" t="str">
        <f>IF(WilsonData[[#This Row],[Age]]&lt;=18, "0-18", IF(WilsonData[[#This Row],[Age]]&lt;=35,"19-35", IF(WilsonData[[#This Row],[Age]]&lt;=50, "36-50",IF(WilsonData[[#This Row],[Age]]&lt;=65,"51-65", " 66+"))))</f>
        <v xml:space="preserve"> 66+</v>
      </c>
      <c r="D584" t="s">
        <v>20</v>
      </c>
      <c r="E584" t="s">
        <v>33</v>
      </c>
      <c r="F584" t="s">
        <v>17</v>
      </c>
      <c r="G584" s="1">
        <v>45904</v>
      </c>
      <c r="H584" t="s">
        <v>36</v>
      </c>
      <c r="I584" s="2">
        <v>38654.187027127351</v>
      </c>
      <c r="J584">
        <v>437</v>
      </c>
      <c r="K584" t="s">
        <v>18</v>
      </c>
      <c r="L584" s="1">
        <v>45914</v>
      </c>
      <c r="M584" s="6">
        <f>WilsonData[[#This Row],[Discharge Date]]-WilsonData[[#This Row],[Date of Admission]]</f>
        <v>10</v>
      </c>
      <c r="N584" t="s">
        <v>31</v>
      </c>
    </row>
    <row r="585" spans="1:14" x14ac:dyDescent="0.35">
      <c r="A585" t="s">
        <v>1388</v>
      </c>
      <c r="B585">
        <v>64</v>
      </c>
      <c r="C585" t="str">
        <f>IF(WilsonData[[#This Row],[Age]]&lt;=18, "0-18", IF(WilsonData[[#This Row],[Age]]&lt;=35,"19-35", IF(WilsonData[[#This Row],[Age]]&lt;=50, "36-50",IF(WilsonData[[#This Row],[Age]]&lt;=65,"51-65", " 66+"))))</f>
        <v>51-65</v>
      </c>
      <c r="D585" t="s">
        <v>11</v>
      </c>
      <c r="E585" t="s">
        <v>34</v>
      </c>
      <c r="F585" t="s">
        <v>28</v>
      </c>
      <c r="G585" s="1">
        <v>45819</v>
      </c>
      <c r="H585" t="s">
        <v>36</v>
      </c>
      <c r="I585" s="2">
        <v>15518.597601422371</v>
      </c>
      <c r="J585">
        <v>172</v>
      </c>
      <c r="K585" t="s">
        <v>25</v>
      </c>
      <c r="L585" s="1">
        <v>45830</v>
      </c>
      <c r="M585" s="6">
        <f>WilsonData[[#This Row],[Discharge Date]]-WilsonData[[#This Row],[Date of Admission]]</f>
        <v>11</v>
      </c>
      <c r="N585" t="s">
        <v>22</v>
      </c>
    </row>
    <row r="586" spans="1:14" x14ac:dyDescent="0.35">
      <c r="A586" t="s">
        <v>1389</v>
      </c>
      <c r="B586">
        <v>51</v>
      </c>
      <c r="C586" t="str">
        <f>IF(WilsonData[[#This Row],[Age]]&lt;=18, "0-18", IF(WilsonData[[#This Row],[Age]]&lt;=35,"19-35", IF(WilsonData[[#This Row],[Age]]&lt;=50, "36-50",IF(WilsonData[[#This Row],[Age]]&lt;=65,"51-65", " 66+"))))</f>
        <v>51-65</v>
      </c>
      <c r="D586" t="s">
        <v>11</v>
      </c>
      <c r="E586" t="s">
        <v>12</v>
      </c>
      <c r="F586" t="s">
        <v>17</v>
      </c>
      <c r="G586" s="1">
        <v>45782</v>
      </c>
      <c r="H586" t="s">
        <v>36</v>
      </c>
      <c r="I586" s="2">
        <v>44110.873238509434</v>
      </c>
      <c r="J586">
        <v>493</v>
      </c>
      <c r="K586" t="s">
        <v>18</v>
      </c>
      <c r="L586" s="1">
        <v>45783</v>
      </c>
      <c r="M586" s="6">
        <f>WilsonData[[#This Row],[Discharge Date]]-WilsonData[[#This Row],[Date of Admission]]</f>
        <v>1</v>
      </c>
      <c r="N586" t="s">
        <v>15</v>
      </c>
    </row>
    <row r="587" spans="1:14" x14ac:dyDescent="0.35">
      <c r="A587" t="s">
        <v>1390</v>
      </c>
      <c r="B587">
        <v>33</v>
      </c>
      <c r="C587" t="str">
        <f>IF(WilsonData[[#This Row],[Age]]&lt;=18, "0-18", IF(WilsonData[[#This Row],[Age]]&lt;=35,"19-35", IF(WilsonData[[#This Row],[Age]]&lt;=50, "36-50",IF(WilsonData[[#This Row],[Age]]&lt;=65,"51-65", " 66+"))))</f>
        <v>19-35</v>
      </c>
      <c r="D587" t="s">
        <v>20</v>
      </c>
      <c r="E587" t="s">
        <v>23</v>
      </c>
      <c r="F587" t="s">
        <v>30</v>
      </c>
      <c r="G587" s="1">
        <v>45993</v>
      </c>
      <c r="H587" t="s">
        <v>39</v>
      </c>
      <c r="I587" s="2">
        <v>29713.25089335323</v>
      </c>
      <c r="J587">
        <v>471</v>
      </c>
      <c r="K587" t="s">
        <v>18</v>
      </c>
      <c r="L587" s="1">
        <v>46002</v>
      </c>
      <c r="M587" s="6">
        <f>WilsonData[[#This Row],[Discharge Date]]-WilsonData[[#This Row],[Date of Admission]]</f>
        <v>9</v>
      </c>
      <c r="N587" t="s">
        <v>22</v>
      </c>
    </row>
    <row r="588" spans="1:14" x14ac:dyDescent="0.35">
      <c r="A588" t="s">
        <v>1391</v>
      </c>
      <c r="B588">
        <v>53</v>
      </c>
      <c r="C588" t="str">
        <f>IF(WilsonData[[#This Row],[Age]]&lt;=18, "0-18", IF(WilsonData[[#This Row],[Age]]&lt;=35,"19-35", IF(WilsonData[[#This Row],[Age]]&lt;=50, "36-50",IF(WilsonData[[#This Row],[Age]]&lt;=65,"51-65", " 66+"))))</f>
        <v>51-65</v>
      </c>
      <c r="D588" t="s">
        <v>11</v>
      </c>
      <c r="E588" t="s">
        <v>26</v>
      </c>
      <c r="F588" t="s">
        <v>28</v>
      </c>
      <c r="G588" s="1">
        <v>45844</v>
      </c>
      <c r="H588" t="s">
        <v>37</v>
      </c>
      <c r="I588" s="2">
        <v>20557.41140520417</v>
      </c>
      <c r="J588">
        <v>177</v>
      </c>
      <c r="K588" t="s">
        <v>25</v>
      </c>
      <c r="L588" s="1">
        <v>45857</v>
      </c>
      <c r="M588" s="6">
        <f>WilsonData[[#This Row],[Discharge Date]]-WilsonData[[#This Row],[Date of Admission]]</f>
        <v>13</v>
      </c>
      <c r="N588" t="s">
        <v>31</v>
      </c>
    </row>
    <row r="589" spans="1:14" x14ac:dyDescent="0.35">
      <c r="A589" t="s">
        <v>1392</v>
      </c>
      <c r="B589">
        <v>42</v>
      </c>
      <c r="C589" t="str">
        <f>IF(WilsonData[[#This Row],[Age]]&lt;=18, "0-18", IF(WilsonData[[#This Row],[Age]]&lt;=35,"19-35", IF(WilsonData[[#This Row],[Age]]&lt;=50, "36-50",IF(WilsonData[[#This Row],[Age]]&lt;=65,"51-65", " 66+"))))</f>
        <v>36-50</v>
      </c>
      <c r="D589" t="s">
        <v>11</v>
      </c>
      <c r="E589" t="s">
        <v>12</v>
      </c>
      <c r="F589" t="s">
        <v>30</v>
      </c>
      <c r="G589" s="1">
        <v>45730</v>
      </c>
      <c r="H589" t="s">
        <v>36</v>
      </c>
      <c r="I589" s="2">
        <v>19473.808688760972</v>
      </c>
      <c r="J589">
        <v>147</v>
      </c>
      <c r="K589" t="s">
        <v>25</v>
      </c>
      <c r="L589" s="1">
        <v>45739</v>
      </c>
      <c r="M589" s="6">
        <f>WilsonData[[#This Row],[Discharge Date]]-WilsonData[[#This Row],[Date of Admission]]</f>
        <v>9</v>
      </c>
      <c r="N589" t="s">
        <v>27</v>
      </c>
    </row>
    <row r="590" spans="1:14" x14ac:dyDescent="0.35">
      <c r="A590" t="s">
        <v>1393</v>
      </c>
      <c r="B590">
        <v>42</v>
      </c>
      <c r="C590" t="str">
        <f>IF(WilsonData[[#This Row],[Age]]&lt;=18, "0-18", IF(WilsonData[[#This Row],[Age]]&lt;=35,"19-35", IF(WilsonData[[#This Row],[Age]]&lt;=50, "36-50",IF(WilsonData[[#This Row],[Age]]&lt;=65,"51-65", " 66+"))))</f>
        <v>36-50</v>
      </c>
      <c r="D590" t="s">
        <v>20</v>
      </c>
      <c r="E590" t="s">
        <v>26</v>
      </c>
      <c r="F590" t="s">
        <v>13</v>
      </c>
      <c r="G590" s="1">
        <v>45877</v>
      </c>
      <c r="H590" t="s">
        <v>36</v>
      </c>
      <c r="I590" s="2">
        <v>363.66620013158041</v>
      </c>
      <c r="J590">
        <v>192</v>
      </c>
      <c r="K590" t="s">
        <v>25</v>
      </c>
      <c r="L590" s="1">
        <v>45878</v>
      </c>
      <c r="M590" s="6">
        <f>WilsonData[[#This Row],[Discharge Date]]-WilsonData[[#This Row],[Date of Admission]]</f>
        <v>1</v>
      </c>
      <c r="N590" t="s">
        <v>27</v>
      </c>
    </row>
    <row r="591" spans="1:14" x14ac:dyDescent="0.35">
      <c r="A591" t="s">
        <v>1394</v>
      </c>
      <c r="B591">
        <v>53</v>
      </c>
      <c r="C591" t="str">
        <f>IF(WilsonData[[#This Row],[Age]]&lt;=18, "0-18", IF(WilsonData[[#This Row],[Age]]&lt;=35,"19-35", IF(WilsonData[[#This Row],[Age]]&lt;=50, "36-50",IF(WilsonData[[#This Row],[Age]]&lt;=65,"51-65", " 66+"))))</f>
        <v>51-65</v>
      </c>
      <c r="D591" t="s">
        <v>11</v>
      </c>
      <c r="E591" t="s">
        <v>21</v>
      </c>
      <c r="F591" t="s">
        <v>17</v>
      </c>
      <c r="G591" s="1">
        <v>45938</v>
      </c>
      <c r="H591" t="s">
        <v>37</v>
      </c>
      <c r="I591" s="2">
        <v>27489.87656181342</v>
      </c>
      <c r="J591">
        <v>180</v>
      </c>
      <c r="K591" t="s">
        <v>25</v>
      </c>
      <c r="L591" s="1">
        <v>45942</v>
      </c>
      <c r="M591" s="6">
        <f>WilsonData[[#This Row],[Discharge Date]]-WilsonData[[#This Row],[Date of Admission]]</f>
        <v>4</v>
      </c>
      <c r="N591" t="s">
        <v>31</v>
      </c>
    </row>
    <row r="592" spans="1:14" x14ac:dyDescent="0.35">
      <c r="A592" t="s">
        <v>1395</v>
      </c>
      <c r="B592">
        <v>56</v>
      </c>
      <c r="C592" t="str">
        <f>IF(WilsonData[[#This Row],[Age]]&lt;=18, "0-18", IF(WilsonData[[#This Row],[Age]]&lt;=35,"19-35", IF(WilsonData[[#This Row],[Age]]&lt;=50, "36-50",IF(WilsonData[[#This Row],[Age]]&lt;=65,"51-65", " 66+"))))</f>
        <v>51-65</v>
      </c>
      <c r="D592" t="s">
        <v>20</v>
      </c>
      <c r="E592" t="s">
        <v>33</v>
      </c>
      <c r="F592" t="s">
        <v>30</v>
      </c>
      <c r="G592" s="1">
        <v>45729</v>
      </c>
      <c r="H592" t="s">
        <v>38</v>
      </c>
      <c r="I592" s="2">
        <v>17703.719017962259</v>
      </c>
      <c r="J592">
        <v>208</v>
      </c>
      <c r="K592" t="s">
        <v>18</v>
      </c>
      <c r="L592" s="1">
        <v>45741</v>
      </c>
      <c r="M592" s="6">
        <f>WilsonData[[#This Row],[Discharge Date]]-WilsonData[[#This Row],[Date of Admission]]</f>
        <v>12</v>
      </c>
      <c r="N592" t="s">
        <v>31</v>
      </c>
    </row>
    <row r="593" spans="1:14" x14ac:dyDescent="0.35">
      <c r="A593" t="s">
        <v>1396</v>
      </c>
      <c r="B593">
        <v>57</v>
      </c>
      <c r="C593" t="str">
        <f>IF(WilsonData[[#This Row],[Age]]&lt;=18, "0-18", IF(WilsonData[[#This Row],[Age]]&lt;=35,"19-35", IF(WilsonData[[#This Row],[Age]]&lt;=50, "36-50",IF(WilsonData[[#This Row],[Age]]&lt;=65,"51-65", " 66+"))))</f>
        <v>51-65</v>
      </c>
      <c r="D593" t="s">
        <v>11</v>
      </c>
      <c r="E593" t="s">
        <v>34</v>
      </c>
      <c r="F593" t="s">
        <v>32</v>
      </c>
      <c r="G593" s="1">
        <v>46015</v>
      </c>
      <c r="H593" t="s">
        <v>36</v>
      </c>
      <c r="I593" s="2">
        <v>14798.174842239039</v>
      </c>
      <c r="J593">
        <v>178</v>
      </c>
      <c r="K593" t="s">
        <v>25</v>
      </c>
      <c r="L593" s="1">
        <v>46016</v>
      </c>
      <c r="M593" s="6">
        <f>WilsonData[[#This Row],[Discharge Date]]-WilsonData[[#This Row],[Date of Admission]]</f>
        <v>1</v>
      </c>
      <c r="N593" t="s">
        <v>22</v>
      </c>
    </row>
    <row r="594" spans="1:14" x14ac:dyDescent="0.35">
      <c r="A594" t="s">
        <v>1397</v>
      </c>
      <c r="B594">
        <v>19</v>
      </c>
      <c r="C594" t="str">
        <f>IF(WilsonData[[#This Row],[Age]]&lt;=18, "0-18", IF(WilsonData[[#This Row],[Age]]&lt;=35,"19-35", IF(WilsonData[[#This Row],[Age]]&lt;=50, "36-50",IF(WilsonData[[#This Row],[Age]]&lt;=65,"51-65", " 66+"))))</f>
        <v>19-35</v>
      </c>
      <c r="D594" t="s">
        <v>20</v>
      </c>
      <c r="E594" t="s">
        <v>12</v>
      </c>
      <c r="F594" t="s">
        <v>32</v>
      </c>
      <c r="G594" s="1">
        <v>45780</v>
      </c>
      <c r="H594" t="s">
        <v>39</v>
      </c>
      <c r="I594" s="2">
        <v>22119.901903087619</v>
      </c>
      <c r="J594">
        <v>327</v>
      </c>
      <c r="K594" t="s">
        <v>25</v>
      </c>
      <c r="L594" s="1">
        <v>45793</v>
      </c>
      <c r="M594" s="6">
        <f>WilsonData[[#This Row],[Discharge Date]]-WilsonData[[#This Row],[Date of Admission]]</f>
        <v>13</v>
      </c>
      <c r="N594" t="s">
        <v>19</v>
      </c>
    </row>
    <row r="595" spans="1:14" x14ac:dyDescent="0.35">
      <c r="A595" t="s">
        <v>1398</v>
      </c>
      <c r="B595">
        <v>33</v>
      </c>
      <c r="C595" t="str">
        <f>IF(WilsonData[[#This Row],[Age]]&lt;=18, "0-18", IF(WilsonData[[#This Row],[Age]]&lt;=35,"19-35", IF(WilsonData[[#This Row],[Age]]&lt;=50, "36-50",IF(WilsonData[[#This Row],[Age]]&lt;=65,"51-65", " 66+"))))</f>
        <v>19-35</v>
      </c>
      <c r="D595" t="s">
        <v>11</v>
      </c>
      <c r="E595" t="s">
        <v>33</v>
      </c>
      <c r="F595" t="s">
        <v>17</v>
      </c>
      <c r="G595" s="1">
        <v>45677</v>
      </c>
      <c r="H595" t="s">
        <v>38</v>
      </c>
      <c r="I595" s="2">
        <v>19878.299876819729</v>
      </c>
      <c r="J595">
        <v>455</v>
      </c>
      <c r="K595" t="s">
        <v>25</v>
      </c>
      <c r="L595" s="1">
        <v>45683</v>
      </c>
      <c r="M595" s="6">
        <f>WilsonData[[#This Row],[Discharge Date]]-WilsonData[[#This Row],[Date of Admission]]</f>
        <v>6</v>
      </c>
      <c r="N595" t="s">
        <v>15</v>
      </c>
    </row>
    <row r="596" spans="1:14" x14ac:dyDescent="0.35">
      <c r="A596" t="s">
        <v>1399</v>
      </c>
      <c r="B596">
        <v>18</v>
      </c>
      <c r="C596" t="str">
        <f>IF(WilsonData[[#This Row],[Age]]&lt;=18, "0-18", IF(WilsonData[[#This Row],[Age]]&lt;=35,"19-35", IF(WilsonData[[#This Row],[Age]]&lt;=50, "36-50",IF(WilsonData[[#This Row],[Age]]&lt;=65,"51-65", " 66+"))))</f>
        <v>0-18</v>
      </c>
      <c r="D596" t="s">
        <v>11</v>
      </c>
      <c r="E596" t="s">
        <v>23</v>
      </c>
      <c r="F596" t="s">
        <v>30</v>
      </c>
      <c r="G596" s="1">
        <v>45961</v>
      </c>
      <c r="H596" t="s">
        <v>39</v>
      </c>
      <c r="I596" s="2">
        <v>46012.01986013665</v>
      </c>
      <c r="J596">
        <v>369</v>
      </c>
      <c r="K596" t="s">
        <v>25</v>
      </c>
      <c r="L596" s="1">
        <v>45974</v>
      </c>
      <c r="M596" s="6">
        <f>WilsonData[[#This Row],[Discharge Date]]-WilsonData[[#This Row],[Date of Admission]]</f>
        <v>13</v>
      </c>
      <c r="N596" t="s">
        <v>31</v>
      </c>
    </row>
    <row r="597" spans="1:14" x14ac:dyDescent="0.35">
      <c r="A597" t="s">
        <v>1400</v>
      </c>
      <c r="B597">
        <v>71</v>
      </c>
      <c r="C597" t="str">
        <f>IF(WilsonData[[#This Row],[Age]]&lt;=18, "0-18", IF(WilsonData[[#This Row],[Age]]&lt;=35,"19-35", IF(WilsonData[[#This Row],[Age]]&lt;=50, "36-50",IF(WilsonData[[#This Row],[Age]]&lt;=65,"51-65", " 66+"))))</f>
        <v xml:space="preserve"> 66+</v>
      </c>
      <c r="D597" t="s">
        <v>20</v>
      </c>
      <c r="E597" t="s">
        <v>21</v>
      </c>
      <c r="F597" t="s">
        <v>24</v>
      </c>
      <c r="G597" s="1">
        <v>45708</v>
      </c>
      <c r="H597" t="s">
        <v>39</v>
      </c>
      <c r="I597" s="2">
        <v>27510.319278890322</v>
      </c>
      <c r="J597">
        <v>163</v>
      </c>
      <c r="K597" t="s">
        <v>18</v>
      </c>
      <c r="L597" s="1">
        <v>45713</v>
      </c>
      <c r="M597" s="6">
        <f>WilsonData[[#This Row],[Discharge Date]]-WilsonData[[#This Row],[Date of Admission]]</f>
        <v>5</v>
      </c>
      <c r="N597" t="s">
        <v>31</v>
      </c>
    </row>
    <row r="598" spans="1:14" x14ac:dyDescent="0.35">
      <c r="A598" t="s">
        <v>1401</v>
      </c>
      <c r="B598">
        <v>43</v>
      </c>
      <c r="C598" t="str">
        <f>IF(WilsonData[[#This Row],[Age]]&lt;=18, "0-18", IF(WilsonData[[#This Row],[Age]]&lt;=35,"19-35", IF(WilsonData[[#This Row],[Age]]&lt;=50, "36-50",IF(WilsonData[[#This Row],[Age]]&lt;=65,"51-65", " 66+"))))</f>
        <v>36-50</v>
      </c>
      <c r="D598" t="s">
        <v>20</v>
      </c>
      <c r="E598" t="s">
        <v>34</v>
      </c>
      <c r="F598" t="s">
        <v>13</v>
      </c>
      <c r="G598" s="1">
        <v>45775</v>
      </c>
      <c r="H598" t="s">
        <v>36</v>
      </c>
      <c r="I598" s="2">
        <v>32068.047250062089</v>
      </c>
      <c r="J598">
        <v>161</v>
      </c>
      <c r="K598" t="s">
        <v>18</v>
      </c>
      <c r="L598" s="1">
        <v>45781</v>
      </c>
      <c r="M598" s="6">
        <f>WilsonData[[#This Row],[Discharge Date]]-WilsonData[[#This Row],[Date of Admission]]</f>
        <v>6</v>
      </c>
      <c r="N598" t="s">
        <v>27</v>
      </c>
    </row>
    <row r="599" spans="1:14" x14ac:dyDescent="0.35">
      <c r="A599" t="s">
        <v>1402</v>
      </c>
      <c r="B599">
        <v>47</v>
      </c>
      <c r="C599" t="str">
        <f>IF(WilsonData[[#This Row],[Age]]&lt;=18, "0-18", IF(WilsonData[[#This Row],[Age]]&lt;=35,"19-35", IF(WilsonData[[#This Row],[Age]]&lt;=50, "36-50",IF(WilsonData[[#This Row],[Age]]&lt;=65,"51-65", " 66+"))))</f>
        <v>36-50</v>
      </c>
      <c r="D599" t="s">
        <v>11</v>
      </c>
      <c r="E599" t="s">
        <v>23</v>
      </c>
      <c r="F599" t="s">
        <v>30</v>
      </c>
      <c r="G599" s="1">
        <v>45885</v>
      </c>
      <c r="H599" t="s">
        <v>36</v>
      </c>
      <c r="I599" s="2">
        <v>13519.77433735948</v>
      </c>
      <c r="J599">
        <v>436</v>
      </c>
      <c r="K599" t="s">
        <v>18</v>
      </c>
      <c r="L599" s="1">
        <v>45899</v>
      </c>
      <c r="M599" s="6">
        <f>WilsonData[[#This Row],[Discharge Date]]-WilsonData[[#This Row],[Date of Admission]]</f>
        <v>14</v>
      </c>
      <c r="N599" t="s">
        <v>19</v>
      </c>
    </row>
    <row r="600" spans="1:14" x14ac:dyDescent="0.35">
      <c r="A600" t="s">
        <v>1403</v>
      </c>
      <c r="B600">
        <v>57</v>
      </c>
      <c r="C600" t="str">
        <f>IF(WilsonData[[#This Row],[Age]]&lt;=18, "0-18", IF(WilsonData[[#This Row],[Age]]&lt;=35,"19-35", IF(WilsonData[[#This Row],[Age]]&lt;=50, "36-50",IF(WilsonData[[#This Row],[Age]]&lt;=65,"51-65", " 66+"))))</f>
        <v>51-65</v>
      </c>
      <c r="D600" t="s">
        <v>11</v>
      </c>
      <c r="E600" t="s">
        <v>23</v>
      </c>
      <c r="F600" t="s">
        <v>32</v>
      </c>
      <c r="G600" s="1">
        <v>45940</v>
      </c>
      <c r="H600" t="s">
        <v>36</v>
      </c>
      <c r="I600" s="2">
        <v>42056.044881278911</v>
      </c>
      <c r="J600">
        <v>277</v>
      </c>
      <c r="K600" t="s">
        <v>18</v>
      </c>
      <c r="L600" s="1">
        <v>45942</v>
      </c>
      <c r="M600" s="6">
        <f>WilsonData[[#This Row],[Discharge Date]]-WilsonData[[#This Row],[Date of Admission]]</f>
        <v>2</v>
      </c>
      <c r="N600" t="s">
        <v>15</v>
      </c>
    </row>
    <row r="601" spans="1:14" x14ac:dyDescent="0.35">
      <c r="A601" t="s">
        <v>1404</v>
      </c>
      <c r="B601">
        <v>26</v>
      </c>
      <c r="C601" t="str">
        <f>IF(WilsonData[[#This Row],[Age]]&lt;=18, "0-18", IF(WilsonData[[#This Row],[Age]]&lt;=35,"19-35", IF(WilsonData[[#This Row],[Age]]&lt;=50, "36-50",IF(WilsonData[[#This Row],[Age]]&lt;=65,"51-65", " 66+"))))</f>
        <v>19-35</v>
      </c>
      <c r="D601" t="s">
        <v>20</v>
      </c>
      <c r="E601" t="s">
        <v>21</v>
      </c>
      <c r="F601" t="s">
        <v>32</v>
      </c>
      <c r="G601" s="1">
        <v>45672</v>
      </c>
      <c r="H601" t="s">
        <v>36</v>
      </c>
      <c r="I601" s="2">
        <v>39655.140227197291</v>
      </c>
      <c r="J601">
        <v>444</v>
      </c>
      <c r="K601" t="s">
        <v>25</v>
      </c>
      <c r="L601" s="1">
        <v>45685</v>
      </c>
      <c r="M601" s="6">
        <f>WilsonData[[#This Row],[Discharge Date]]-WilsonData[[#This Row],[Date of Admission]]</f>
        <v>13</v>
      </c>
      <c r="N601" t="s">
        <v>19</v>
      </c>
    </row>
    <row r="602" spans="1:14" x14ac:dyDescent="0.35">
      <c r="A602" t="s">
        <v>1405</v>
      </c>
      <c r="B602">
        <v>67</v>
      </c>
      <c r="C602" t="str">
        <f>IF(WilsonData[[#This Row],[Age]]&lt;=18, "0-18", IF(WilsonData[[#This Row],[Age]]&lt;=35,"19-35", IF(WilsonData[[#This Row],[Age]]&lt;=50, "36-50",IF(WilsonData[[#This Row],[Age]]&lt;=65,"51-65", " 66+"))))</f>
        <v xml:space="preserve"> 66+</v>
      </c>
      <c r="D602" t="s">
        <v>11</v>
      </c>
      <c r="E602" t="s">
        <v>12</v>
      </c>
      <c r="F602" t="s">
        <v>24</v>
      </c>
      <c r="G602" s="1">
        <v>45845</v>
      </c>
      <c r="H602" t="s">
        <v>38</v>
      </c>
      <c r="I602" s="2">
        <v>10210.304434653381</v>
      </c>
      <c r="J602">
        <v>207</v>
      </c>
      <c r="K602" t="s">
        <v>25</v>
      </c>
      <c r="L602" s="1">
        <v>45859</v>
      </c>
      <c r="M602" s="6">
        <f>WilsonData[[#This Row],[Discharge Date]]-WilsonData[[#This Row],[Date of Admission]]</f>
        <v>14</v>
      </c>
      <c r="N602" t="s">
        <v>19</v>
      </c>
    </row>
    <row r="603" spans="1:14" x14ac:dyDescent="0.35">
      <c r="A603" t="s">
        <v>1406</v>
      </c>
      <c r="B603">
        <v>52</v>
      </c>
      <c r="C603" t="str">
        <f>IF(WilsonData[[#This Row],[Age]]&lt;=18, "0-18", IF(WilsonData[[#This Row],[Age]]&lt;=35,"19-35", IF(WilsonData[[#This Row],[Age]]&lt;=50, "36-50",IF(WilsonData[[#This Row],[Age]]&lt;=65,"51-65", " 66+"))))</f>
        <v>51-65</v>
      </c>
      <c r="D603" t="s">
        <v>20</v>
      </c>
      <c r="E603" t="s">
        <v>34</v>
      </c>
      <c r="F603" t="s">
        <v>13</v>
      </c>
      <c r="G603" s="1">
        <v>45891</v>
      </c>
      <c r="H603" t="s">
        <v>37</v>
      </c>
      <c r="I603" s="2">
        <v>18173.153656373452</v>
      </c>
      <c r="J603">
        <v>332</v>
      </c>
      <c r="K603" t="s">
        <v>25</v>
      </c>
      <c r="L603" s="1">
        <v>45900</v>
      </c>
      <c r="M603" s="6">
        <f>WilsonData[[#This Row],[Discharge Date]]-WilsonData[[#This Row],[Date of Admission]]</f>
        <v>9</v>
      </c>
      <c r="N603" t="s">
        <v>22</v>
      </c>
    </row>
    <row r="604" spans="1:14" x14ac:dyDescent="0.35">
      <c r="A604" t="s">
        <v>1407</v>
      </c>
      <c r="B604">
        <v>67</v>
      </c>
      <c r="C604" t="str">
        <f>IF(WilsonData[[#This Row],[Age]]&lt;=18, "0-18", IF(WilsonData[[#This Row],[Age]]&lt;=35,"19-35", IF(WilsonData[[#This Row],[Age]]&lt;=50, "36-50",IF(WilsonData[[#This Row],[Age]]&lt;=65,"51-65", " 66+"))))</f>
        <v xml:space="preserve"> 66+</v>
      </c>
      <c r="D604" t="s">
        <v>20</v>
      </c>
      <c r="E604" t="s">
        <v>33</v>
      </c>
      <c r="F604" t="s">
        <v>17</v>
      </c>
      <c r="G604" s="1">
        <v>45890</v>
      </c>
      <c r="H604" t="s">
        <v>36</v>
      </c>
      <c r="I604" s="2">
        <v>41829.772450793709</v>
      </c>
      <c r="J604">
        <v>422</v>
      </c>
      <c r="K604" t="s">
        <v>25</v>
      </c>
      <c r="L604" s="1">
        <v>45904</v>
      </c>
      <c r="M604" s="6">
        <f>WilsonData[[#This Row],[Discharge Date]]-WilsonData[[#This Row],[Date of Admission]]</f>
        <v>14</v>
      </c>
      <c r="N604" t="s">
        <v>19</v>
      </c>
    </row>
    <row r="605" spans="1:14" x14ac:dyDescent="0.35">
      <c r="A605" t="s">
        <v>1408</v>
      </c>
      <c r="B605">
        <v>66</v>
      </c>
      <c r="C605" t="str">
        <f>IF(WilsonData[[#This Row],[Age]]&lt;=18, "0-18", IF(WilsonData[[#This Row],[Age]]&lt;=35,"19-35", IF(WilsonData[[#This Row],[Age]]&lt;=50, "36-50",IF(WilsonData[[#This Row],[Age]]&lt;=65,"51-65", " 66+"))))</f>
        <v xml:space="preserve"> 66+</v>
      </c>
      <c r="D605" t="s">
        <v>20</v>
      </c>
      <c r="E605" t="s">
        <v>26</v>
      </c>
      <c r="F605" t="s">
        <v>24</v>
      </c>
      <c r="G605" s="1">
        <v>45708</v>
      </c>
      <c r="H605" t="s">
        <v>39</v>
      </c>
      <c r="I605" s="2">
        <v>35775.587444921221</v>
      </c>
      <c r="J605">
        <v>221</v>
      </c>
      <c r="K605" t="s">
        <v>18</v>
      </c>
      <c r="L605" s="1">
        <v>45713</v>
      </c>
      <c r="M605" s="6">
        <f>WilsonData[[#This Row],[Discharge Date]]-WilsonData[[#This Row],[Date of Admission]]</f>
        <v>5</v>
      </c>
      <c r="N605" t="s">
        <v>27</v>
      </c>
    </row>
    <row r="606" spans="1:14" x14ac:dyDescent="0.35">
      <c r="A606" t="s">
        <v>1409</v>
      </c>
      <c r="B606">
        <v>64</v>
      </c>
      <c r="C606" t="str">
        <f>IF(WilsonData[[#This Row],[Age]]&lt;=18, "0-18", IF(WilsonData[[#This Row],[Age]]&lt;=35,"19-35", IF(WilsonData[[#This Row],[Age]]&lt;=50, "36-50",IF(WilsonData[[#This Row],[Age]]&lt;=65,"51-65", " 66+"))))</f>
        <v>51-65</v>
      </c>
      <c r="D606" t="s">
        <v>20</v>
      </c>
      <c r="E606" t="s">
        <v>34</v>
      </c>
      <c r="F606" t="s">
        <v>13</v>
      </c>
      <c r="G606" s="1">
        <v>45724</v>
      </c>
      <c r="H606" t="s">
        <v>38</v>
      </c>
      <c r="I606" s="2">
        <v>40217.369222765068</v>
      </c>
      <c r="J606">
        <v>118</v>
      </c>
      <c r="K606" t="s">
        <v>25</v>
      </c>
      <c r="L606" s="1">
        <v>45735</v>
      </c>
      <c r="M606" s="6">
        <f>WilsonData[[#This Row],[Discharge Date]]-WilsonData[[#This Row],[Date of Admission]]</f>
        <v>11</v>
      </c>
      <c r="N606" t="s">
        <v>22</v>
      </c>
    </row>
    <row r="607" spans="1:14" x14ac:dyDescent="0.35">
      <c r="A607" t="s">
        <v>1410</v>
      </c>
      <c r="B607">
        <v>54</v>
      </c>
      <c r="C607" t="str">
        <f>IF(WilsonData[[#This Row],[Age]]&lt;=18, "0-18", IF(WilsonData[[#This Row],[Age]]&lt;=35,"19-35", IF(WilsonData[[#This Row],[Age]]&lt;=50, "36-50",IF(WilsonData[[#This Row],[Age]]&lt;=65,"51-65", " 66+"))))</f>
        <v>51-65</v>
      </c>
      <c r="D607" t="s">
        <v>11</v>
      </c>
      <c r="E607" t="s">
        <v>34</v>
      </c>
      <c r="F607" t="s">
        <v>28</v>
      </c>
      <c r="G607" s="1">
        <v>45808</v>
      </c>
      <c r="H607" t="s">
        <v>37</v>
      </c>
      <c r="I607" s="2">
        <v>49665.830077794708</v>
      </c>
      <c r="J607">
        <v>377</v>
      </c>
      <c r="K607" t="s">
        <v>25</v>
      </c>
      <c r="L607" s="1">
        <v>45814</v>
      </c>
      <c r="M607" s="6">
        <f>WilsonData[[#This Row],[Discharge Date]]-WilsonData[[#This Row],[Date of Admission]]</f>
        <v>6</v>
      </c>
      <c r="N607" t="s">
        <v>27</v>
      </c>
    </row>
    <row r="608" spans="1:14" x14ac:dyDescent="0.35">
      <c r="A608" t="s">
        <v>1411</v>
      </c>
      <c r="B608">
        <v>31</v>
      </c>
      <c r="C608" t="str">
        <f>IF(WilsonData[[#This Row],[Age]]&lt;=18, "0-18", IF(WilsonData[[#This Row],[Age]]&lt;=35,"19-35", IF(WilsonData[[#This Row],[Age]]&lt;=50, "36-50",IF(WilsonData[[#This Row],[Age]]&lt;=65,"51-65", " 66+"))))</f>
        <v>19-35</v>
      </c>
      <c r="D608" t="s">
        <v>11</v>
      </c>
      <c r="E608" t="s">
        <v>26</v>
      </c>
      <c r="F608" t="s">
        <v>24</v>
      </c>
      <c r="G608" s="1">
        <v>45789</v>
      </c>
      <c r="H608" t="s">
        <v>38</v>
      </c>
      <c r="I608" s="2">
        <v>17266.018881045591</v>
      </c>
      <c r="J608">
        <v>307</v>
      </c>
      <c r="K608" t="s">
        <v>25</v>
      </c>
      <c r="L608" s="1">
        <v>45798</v>
      </c>
      <c r="M608" s="6">
        <f>WilsonData[[#This Row],[Discharge Date]]-WilsonData[[#This Row],[Date of Admission]]</f>
        <v>9</v>
      </c>
      <c r="N608" t="s">
        <v>19</v>
      </c>
    </row>
    <row r="609" spans="1:14" x14ac:dyDescent="0.35">
      <c r="A609" t="s">
        <v>1412</v>
      </c>
      <c r="B609">
        <v>73</v>
      </c>
      <c r="C609" t="str">
        <f>IF(WilsonData[[#This Row],[Age]]&lt;=18, "0-18", IF(WilsonData[[#This Row],[Age]]&lt;=35,"19-35", IF(WilsonData[[#This Row],[Age]]&lt;=50, "36-50",IF(WilsonData[[#This Row],[Age]]&lt;=65,"51-65", " 66+"))))</f>
        <v xml:space="preserve"> 66+</v>
      </c>
      <c r="D609" t="s">
        <v>20</v>
      </c>
      <c r="E609" t="s">
        <v>33</v>
      </c>
      <c r="F609" t="s">
        <v>28</v>
      </c>
      <c r="G609" s="1">
        <v>45807</v>
      </c>
      <c r="H609" t="s">
        <v>37</v>
      </c>
      <c r="I609" s="2">
        <v>16009.554042263349</v>
      </c>
      <c r="J609">
        <v>388</v>
      </c>
      <c r="K609" t="s">
        <v>18</v>
      </c>
      <c r="L609" s="1">
        <v>45813</v>
      </c>
      <c r="M609" s="6">
        <f>WilsonData[[#This Row],[Discharge Date]]-WilsonData[[#This Row],[Date of Admission]]</f>
        <v>6</v>
      </c>
      <c r="N609" t="s">
        <v>31</v>
      </c>
    </row>
    <row r="610" spans="1:14" x14ac:dyDescent="0.35">
      <c r="A610" t="s">
        <v>1413</v>
      </c>
      <c r="B610">
        <v>62</v>
      </c>
      <c r="C610" t="str">
        <f>IF(WilsonData[[#This Row],[Age]]&lt;=18, "0-18", IF(WilsonData[[#This Row],[Age]]&lt;=35,"19-35", IF(WilsonData[[#This Row],[Age]]&lt;=50, "36-50",IF(WilsonData[[#This Row],[Age]]&lt;=65,"51-65", " 66+"))))</f>
        <v>51-65</v>
      </c>
      <c r="D610" t="s">
        <v>11</v>
      </c>
      <c r="E610" t="s">
        <v>12</v>
      </c>
      <c r="F610" t="s">
        <v>17</v>
      </c>
      <c r="G610" s="1">
        <v>45877</v>
      </c>
      <c r="H610" t="s">
        <v>39</v>
      </c>
      <c r="I610" s="2">
        <v>40643.906033414278</v>
      </c>
      <c r="J610">
        <v>140</v>
      </c>
      <c r="K610" t="s">
        <v>18</v>
      </c>
      <c r="L610" s="1">
        <v>45885</v>
      </c>
      <c r="M610" s="6">
        <f>WilsonData[[#This Row],[Discharge Date]]-WilsonData[[#This Row],[Date of Admission]]</f>
        <v>8</v>
      </c>
      <c r="N610" t="s">
        <v>19</v>
      </c>
    </row>
    <row r="611" spans="1:14" x14ac:dyDescent="0.35">
      <c r="A611" t="s">
        <v>1414</v>
      </c>
      <c r="B611">
        <v>20</v>
      </c>
      <c r="C611" t="str">
        <f>IF(WilsonData[[#This Row],[Age]]&lt;=18, "0-18", IF(WilsonData[[#This Row],[Age]]&lt;=35,"19-35", IF(WilsonData[[#This Row],[Age]]&lt;=50, "36-50",IF(WilsonData[[#This Row],[Age]]&lt;=65,"51-65", " 66+"))))</f>
        <v>19-35</v>
      </c>
      <c r="D611" t="s">
        <v>11</v>
      </c>
      <c r="E611" t="s">
        <v>29</v>
      </c>
      <c r="F611" t="s">
        <v>30</v>
      </c>
      <c r="G611" s="1">
        <v>45774</v>
      </c>
      <c r="H611" t="s">
        <v>38</v>
      </c>
      <c r="I611" s="2">
        <v>22180.713230583551</v>
      </c>
      <c r="J611">
        <v>434</v>
      </c>
      <c r="K611" t="s">
        <v>18</v>
      </c>
      <c r="L611" s="1">
        <v>45786</v>
      </c>
      <c r="M611" s="6">
        <f>WilsonData[[#This Row],[Discharge Date]]-WilsonData[[#This Row],[Date of Admission]]</f>
        <v>12</v>
      </c>
      <c r="N611" t="s">
        <v>27</v>
      </c>
    </row>
    <row r="612" spans="1:14" x14ac:dyDescent="0.35">
      <c r="A612" t="s">
        <v>1415</v>
      </c>
      <c r="B612">
        <v>58</v>
      </c>
      <c r="C612" t="str">
        <f>IF(WilsonData[[#This Row],[Age]]&lt;=18, "0-18", IF(WilsonData[[#This Row],[Age]]&lt;=35,"19-35", IF(WilsonData[[#This Row],[Age]]&lt;=50, "36-50",IF(WilsonData[[#This Row],[Age]]&lt;=65,"51-65", " 66+"))))</f>
        <v>51-65</v>
      </c>
      <c r="D612" t="s">
        <v>20</v>
      </c>
      <c r="E612" t="s">
        <v>29</v>
      </c>
      <c r="F612" t="s">
        <v>13</v>
      </c>
      <c r="G612" s="1">
        <v>45898</v>
      </c>
      <c r="H612" t="s">
        <v>36</v>
      </c>
      <c r="I612" s="2">
        <v>28597.694636428962</v>
      </c>
      <c r="J612">
        <v>364</v>
      </c>
      <c r="K612" t="s">
        <v>18</v>
      </c>
      <c r="L612" s="1">
        <v>45899</v>
      </c>
      <c r="M612" s="6">
        <f>WilsonData[[#This Row],[Discharge Date]]-WilsonData[[#This Row],[Date of Admission]]</f>
        <v>1</v>
      </c>
      <c r="N612" t="s">
        <v>19</v>
      </c>
    </row>
    <row r="613" spans="1:14" x14ac:dyDescent="0.35">
      <c r="A613" t="s">
        <v>1416</v>
      </c>
      <c r="B613">
        <v>19</v>
      </c>
      <c r="C613" t="str">
        <f>IF(WilsonData[[#This Row],[Age]]&lt;=18, "0-18", IF(WilsonData[[#This Row],[Age]]&lt;=35,"19-35", IF(WilsonData[[#This Row],[Age]]&lt;=50, "36-50",IF(WilsonData[[#This Row],[Age]]&lt;=65,"51-65", " 66+"))))</f>
        <v>19-35</v>
      </c>
      <c r="D613" t="s">
        <v>20</v>
      </c>
      <c r="E613" t="s">
        <v>34</v>
      </c>
      <c r="F613" t="s">
        <v>17</v>
      </c>
      <c r="G613" s="1">
        <v>45811</v>
      </c>
      <c r="H613" t="s">
        <v>37</v>
      </c>
      <c r="I613" s="2">
        <v>46258.618479093457</v>
      </c>
      <c r="J613">
        <v>108</v>
      </c>
      <c r="K613" t="s">
        <v>18</v>
      </c>
      <c r="L613" s="1">
        <v>45820</v>
      </c>
      <c r="M613" s="6">
        <f>WilsonData[[#This Row],[Discharge Date]]-WilsonData[[#This Row],[Date of Admission]]</f>
        <v>9</v>
      </c>
      <c r="N613" t="s">
        <v>31</v>
      </c>
    </row>
    <row r="614" spans="1:14" x14ac:dyDescent="0.35">
      <c r="A614" t="s">
        <v>1417</v>
      </c>
      <c r="B614">
        <v>72</v>
      </c>
      <c r="C614" t="str">
        <f>IF(WilsonData[[#This Row],[Age]]&lt;=18, "0-18", IF(WilsonData[[#This Row],[Age]]&lt;=35,"19-35", IF(WilsonData[[#This Row],[Age]]&lt;=50, "36-50",IF(WilsonData[[#This Row],[Age]]&lt;=65,"51-65", " 66+"))))</f>
        <v xml:space="preserve"> 66+</v>
      </c>
      <c r="D614" t="s">
        <v>11</v>
      </c>
      <c r="E614" t="s">
        <v>21</v>
      </c>
      <c r="F614" t="s">
        <v>32</v>
      </c>
      <c r="G614" s="1">
        <v>45889</v>
      </c>
      <c r="H614" t="s">
        <v>38</v>
      </c>
      <c r="I614" s="2">
        <v>44748.521243369833</v>
      </c>
      <c r="J614">
        <v>151</v>
      </c>
      <c r="K614" t="s">
        <v>18</v>
      </c>
      <c r="L614" s="1">
        <v>45897</v>
      </c>
      <c r="M614" s="6">
        <f>WilsonData[[#This Row],[Discharge Date]]-WilsonData[[#This Row],[Date of Admission]]</f>
        <v>8</v>
      </c>
      <c r="N614" t="s">
        <v>22</v>
      </c>
    </row>
    <row r="615" spans="1:14" x14ac:dyDescent="0.35">
      <c r="A615" t="s">
        <v>1418</v>
      </c>
      <c r="B615">
        <v>78</v>
      </c>
      <c r="C615" t="str">
        <f>IF(WilsonData[[#This Row],[Age]]&lt;=18, "0-18", IF(WilsonData[[#This Row],[Age]]&lt;=35,"19-35", IF(WilsonData[[#This Row],[Age]]&lt;=50, "36-50",IF(WilsonData[[#This Row],[Age]]&lt;=65,"51-65", " 66+"))))</f>
        <v xml:space="preserve"> 66+</v>
      </c>
      <c r="D615" t="s">
        <v>20</v>
      </c>
      <c r="E615" t="s">
        <v>12</v>
      </c>
      <c r="F615" t="s">
        <v>32</v>
      </c>
      <c r="G615" s="1">
        <v>45981</v>
      </c>
      <c r="H615" t="s">
        <v>38</v>
      </c>
      <c r="I615" s="2">
        <v>38367.474403362343</v>
      </c>
      <c r="J615">
        <v>159</v>
      </c>
      <c r="K615" t="s">
        <v>25</v>
      </c>
      <c r="L615" s="1">
        <v>45995</v>
      </c>
      <c r="M615" s="6">
        <f>WilsonData[[#This Row],[Discharge Date]]-WilsonData[[#This Row],[Date of Admission]]</f>
        <v>14</v>
      </c>
      <c r="N615" t="s">
        <v>22</v>
      </c>
    </row>
    <row r="616" spans="1:14" x14ac:dyDescent="0.35">
      <c r="A616" t="s">
        <v>1419</v>
      </c>
      <c r="B616">
        <v>25</v>
      </c>
      <c r="C616" t="str">
        <f>IF(WilsonData[[#This Row],[Age]]&lt;=18, "0-18", IF(WilsonData[[#This Row],[Age]]&lt;=35,"19-35", IF(WilsonData[[#This Row],[Age]]&lt;=50, "36-50",IF(WilsonData[[#This Row],[Age]]&lt;=65,"51-65", " 66+"))))</f>
        <v>19-35</v>
      </c>
      <c r="D616" t="s">
        <v>11</v>
      </c>
      <c r="E616" t="s">
        <v>29</v>
      </c>
      <c r="F616" t="s">
        <v>30</v>
      </c>
      <c r="G616" s="1">
        <v>45921</v>
      </c>
      <c r="H616" t="s">
        <v>38</v>
      </c>
      <c r="I616" s="2">
        <v>43735.184369034207</v>
      </c>
      <c r="J616">
        <v>379</v>
      </c>
      <c r="K616" t="s">
        <v>25</v>
      </c>
      <c r="L616" s="1">
        <v>45925</v>
      </c>
      <c r="M616" s="6">
        <f>WilsonData[[#This Row],[Discharge Date]]-WilsonData[[#This Row],[Date of Admission]]</f>
        <v>4</v>
      </c>
      <c r="N616" t="s">
        <v>15</v>
      </c>
    </row>
    <row r="617" spans="1:14" x14ac:dyDescent="0.35">
      <c r="A617" t="s">
        <v>1420</v>
      </c>
      <c r="B617">
        <v>50</v>
      </c>
      <c r="C617" t="str">
        <f>IF(WilsonData[[#This Row],[Age]]&lt;=18, "0-18", IF(WilsonData[[#This Row],[Age]]&lt;=35,"19-35", IF(WilsonData[[#This Row],[Age]]&lt;=50, "36-50",IF(WilsonData[[#This Row],[Age]]&lt;=65,"51-65", " 66+"))))</f>
        <v>36-50</v>
      </c>
      <c r="D617" t="s">
        <v>20</v>
      </c>
      <c r="E617" t="s">
        <v>23</v>
      </c>
      <c r="F617" t="s">
        <v>28</v>
      </c>
      <c r="G617" s="1">
        <v>45745</v>
      </c>
      <c r="H617" t="s">
        <v>36</v>
      </c>
      <c r="I617" s="2">
        <v>37989.117592141723</v>
      </c>
      <c r="J617">
        <v>291</v>
      </c>
      <c r="K617" t="s">
        <v>25</v>
      </c>
      <c r="L617" s="1">
        <v>45747</v>
      </c>
      <c r="M617" s="6">
        <f>WilsonData[[#This Row],[Discharge Date]]-WilsonData[[#This Row],[Date of Admission]]</f>
        <v>2</v>
      </c>
      <c r="N617" t="s">
        <v>22</v>
      </c>
    </row>
    <row r="618" spans="1:14" x14ac:dyDescent="0.35">
      <c r="A618" t="s">
        <v>1421</v>
      </c>
      <c r="B618">
        <v>49</v>
      </c>
      <c r="C618" t="str">
        <f>IF(WilsonData[[#This Row],[Age]]&lt;=18, "0-18", IF(WilsonData[[#This Row],[Age]]&lt;=35,"19-35", IF(WilsonData[[#This Row],[Age]]&lt;=50, "36-50",IF(WilsonData[[#This Row],[Age]]&lt;=65,"51-65", " 66+"))))</f>
        <v>36-50</v>
      </c>
      <c r="D618" t="s">
        <v>20</v>
      </c>
      <c r="E618" t="s">
        <v>21</v>
      </c>
      <c r="F618" t="s">
        <v>13</v>
      </c>
      <c r="G618" s="1">
        <v>45748</v>
      </c>
      <c r="H618" t="s">
        <v>37</v>
      </c>
      <c r="I618" s="2">
        <v>2327.4287417176638</v>
      </c>
      <c r="J618">
        <v>132</v>
      </c>
      <c r="K618" t="s">
        <v>25</v>
      </c>
      <c r="L618" s="1">
        <v>45755</v>
      </c>
      <c r="M618" s="6">
        <f>WilsonData[[#This Row],[Discharge Date]]-WilsonData[[#This Row],[Date of Admission]]</f>
        <v>7</v>
      </c>
      <c r="N618" t="s">
        <v>15</v>
      </c>
    </row>
    <row r="619" spans="1:14" x14ac:dyDescent="0.35">
      <c r="A619" t="s">
        <v>1422</v>
      </c>
      <c r="B619">
        <v>67</v>
      </c>
      <c r="C619" t="str">
        <f>IF(WilsonData[[#This Row],[Age]]&lt;=18, "0-18", IF(WilsonData[[#This Row],[Age]]&lt;=35,"19-35", IF(WilsonData[[#This Row],[Age]]&lt;=50, "36-50",IF(WilsonData[[#This Row],[Age]]&lt;=65,"51-65", " 66+"))))</f>
        <v xml:space="preserve"> 66+</v>
      </c>
      <c r="D619" t="s">
        <v>11</v>
      </c>
      <c r="E619" t="s">
        <v>23</v>
      </c>
      <c r="F619" t="s">
        <v>17</v>
      </c>
      <c r="G619" s="1">
        <v>45851</v>
      </c>
      <c r="H619" t="s">
        <v>38</v>
      </c>
      <c r="I619" s="2">
        <v>8466.001486340263</v>
      </c>
      <c r="J619">
        <v>178</v>
      </c>
      <c r="K619" t="s">
        <v>25</v>
      </c>
      <c r="L619" s="1">
        <v>45865</v>
      </c>
      <c r="M619" s="6">
        <f>WilsonData[[#This Row],[Discharge Date]]-WilsonData[[#This Row],[Date of Admission]]</f>
        <v>14</v>
      </c>
      <c r="N619" t="s">
        <v>15</v>
      </c>
    </row>
    <row r="620" spans="1:14" x14ac:dyDescent="0.35">
      <c r="A620" t="s">
        <v>1423</v>
      </c>
      <c r="B620">
        <v>23</v>
      </c>
      <c r="C620" t="str">
        <f>IF(WilsonData[[#This Row],[Age]]&lt;=18, "0-18", IF(WilsonData[[#This Row],[Age]]&lt;=35,"19-35", IF(WilsonData[[#This Row],[Age]]&lt;=50, "36-50",IF(WilsonData[[#This Row],[Age]]&lt;=65,"51-65", " 66+"))))</f>
        <v>19-35</v>
      </c>
      <c r="D620" t="s">
        <v>11</v>
      </c>
      <c r="E620" t="s">
        <v>29</v>
      </c>
      <c r="F620" t="s">
        <v>17</v>
      </c>
      <c r="G620" s="1">
        <v>45983</v>
      </c>
      <c r="H620" t="s">
        <v>38</v>
      </c>
      <c r="I620" s="2">
        <v>46909.010369823904</v>
      </c>
      <c r="J620">
        <v>498</v>
      </c>
      <c r="K620" t="s">
        <v>18</v>
      </c>
      <c r="L620" s="1">
        <v>45984</v>
      </c>
      <c r="M620" s="6">
        <f>WilsonData[[#This Row],[Discharge Date]]-WilsonData[[#This Row],[Date of Admission]]</f>
        <v>1</v>
      </c>
      <c r="N620" t="s">
        <v>27</v>
      </c>
    </row>
    <row r="621" spans="1:14" x14ac:dyDescent="0.35">
      <c r="A621" t="s">
        <v>1424</v>
      </c>
      <c r="B621">
        <v>51</v>
      </c>
      <c r="C621" t="str">
        <f>IF(WilsonData[[#This Row],[Age]]&lt;=18, "0-18", IF(WilsonData[[#This Row],[Age]]&lt;=35,"19-35", IF(WilsonData[[#This Row],[Age]]&lt;=50, "36-50",IF(WilsonData[[#This Row],[Age]]&lt;=65,"51-65", " 66+"))))</f>
        <v>51-65</v>
      </c>
      <c r="D621" t="s">
        <v>20</v>
      </c>
      <c r="E621" t="s">
        <v>34</v>
      </c>
      <c r="F621" t="s">
        <v>28</v>
      </c>
      <c r="G621" s="1">
        <v>45845</v>
      </c>
      <c r="H621" t="s">
        <v>39</v>
      </c>
      <c r="I621" s="2">
        <v>15968.90145697251</v>
      </c>
      <c r="J621">
        <v>337</v>
      </c>
      <c r="K621" t="s">
        <v>18</v>
      </c>
      <c r="L621" s="1">
        <v>45850</v>
      </c>
      <c r="M621" s="6">
        <f>WilsonData[[#This Row],[Discharge Date]]-WilsonData[[#This Row],[Date of Admission]]</f>
        <v>5</v>
      </c>
      <c r="N621" t="s">
        <v>31</v>
      </c>
    </row>
    <row r="622" spans="1:14" x14ac:dyDescent="0.35">
      <c r="A622" t="s">
        <v>1425</v>
      </c>
      <c r="B622">
        <v>48</v>
      </c>
      <c r="C622" t="str">
        <f>IF(WilsonData[[#This Row],[Age]]&lt;=18, "0-18", IF(WilsonData[[#This Row],[Age]]&lt;=35,"19-35", IF(WilsonData[[#This Row],[Age]]&lt;=50, "36-50",IF(WilsonData[[#This Row],[Age]]&lt;=65,"51-65", " 66+"))))</f>
        <v>36-50</v>
      </c>
      <c r="D622" t="s">
        <v>11</v>
      </c>
      <c r="E622" t="s">
        <v>21</v>
      </c>
      <c r="F622" t="s">
        <v>30</v>
      </c>
      <c r="G622" s="1">
        <v>45934</v>
      </c>
      <c r="H622" t="s">
        <v>37</v>
      </c>
      <c r="I622" s="2">
        <v>20513.421361748511</v>
      </c>
      <c r="J622">
        <v>317</v>
      </c>
      <c r="K622" t="s">
        <v>18</v>
      </c>
      <c r="L622" s="1">
        <v>45938</v>
      </c>
      <c r="M622" s="6">
        <f>WilsonData[[#This Row],[Discharge Date]]-WilsonData[[#This Row],[Date of Admission]]</f>
        <v>4</v>
      </c>
      <c r="N622" t="s">
        <v>19</v>
      </c>
    </row>
    <row r="623" spans="1:14" x14ac:dyDescent="0.35">
      <c r="A623" t="s">
        <v>1426</v>
      </c>
      <c r="B623">
        <v>36</v>
      </c>
      <c r="C623" t="str">
        <f>IF(WilsonData[[#This Row],[Age]]&lt;=18, "0-18", IF(WilsonData[[#This Row],[Age]]&lt;=35,"19-35", IF(WilsonData[[#This Row],[Age]]&lt;=50, "36-50",IF(WilsonData[[#This Row],[Age]]&lt;=65,"51-65", " 66+"))))</f>
        <v>36-50</v>
      </c>
      <c r="D623" t="s">
        <v>20</v>
      </c>
      <c r="E623" t="s">
        <v>12</v>
      </c>
      <c r="F623" t="s">
        <v>13</v>
      </c>
      <c r="G623" s="1">
        <v>45669</v>
      </c>
      <c r="H623" t="s">
        <v>39</v>
      </c>
      <c r="I623" s="2">
        <v>22754.692130789739</v>
      </c>
      <c r="J623">
        <v>247</v>
      </c>
      <c r="K623" t="s">
        <v>25</v>
      </c>
      <c r="L623" s="1">
        <v>45682</v>
      </c>
      <c r="M623" s="6">
        <f>WilsonData[[#This Row],[Discharge Date]]-WilsonData[[#This Row],[Date of Admission]]</f>
        <v>13</v>
      </c>
      <c r="N623" t="s">
        <v>19</v>
      </c>
    </row>
    <row r="624" spans="1:14" x14ac:dyDescent="0.35">
      <c r="A624" t="s">
        <v>1427</v>
      </c>
      <c r="B624">
        <v>54</v>
      </c>
      <c r="C624" t="str">
        <f>IF(WilsonData[[#This Row],[Age]]&lt;=18, "0-18", IF(WilsonData[[#This Row],[Age]]&lt;=35,"19-35", IF(WilsonData[[#This Row],[Age]]&lt;=50, "36-50",IF(WilsonData[[#This Row],[Age]]&lt;=65,"51-65", " 66+"))))</f>
        <v>51-65</v>
      </c>
      <c r="D624" t="s">
        <v>20</v>
      </c>
      <c r="E624" t="s">
        <v>16</v>
      </c>
      <c r="F624" t="s">
        <v>28</v>
      </c>
      <c r="G624" s="1">
        <v>45859</v>
      </c>
      <c r="H624" t="s">
        <v>36</v>
      </c>
      <c r="I624" s="2">
        <v>14915.627165902781</v>
      </c>
      <c r="J624">
        <v>114</v>
      </c>
      <c r="K624" t="s">
        <v>25</v>
      </c>
      <c r="L624" s="1">
        <v>45860</v>
      </c>
      <c r="M624" s="6">
        <f>WilsonData[[#This Row],[Discharge Date]]-WilsonData[[#This Row],[Date of Admission]]</f>
        <v>1</v>
      </c>
      <c r="N624" t="s">
        <v>19</v>
      </c>
    </row>
    <row r="625" spans="1:14" x14ac:dyDescent="0.35">
      <c r="A625" t="s">
        <v>1428</v>
      </c>
      <c r="B625">
        <v>84</v>
      </c>
      <c r="C625" t="str">
        <f>IF(WilsonData[[#This Row],[Age]]&lt;=18, "0-18", IF(WilsonData[[#This Row],[Age]]&lt;=35,"19-35", IF(WilsonData[[#This Row],[Age]]&lt;=50, "36-50",IF(WilsonData[[#This Row],[Age]]&lt;=65,"51-65", " 66+"))))</f>
        <v xml:space="preserve"> 66+</v>
      </c>
      <c r="D625" t="s">
        <v>20</v>
      </c>
      <c r="E625" t="s">
        <v>23</v>
      </c>
      <c r="F625" t="s">
        <v>30</v>
      </c>
      <c r="G625" s="1">
        <v>45915</v>
      </c>
      <c r="H625" t="s">
        <v>36</v>
      </c>
      <c r="I625" s="2">
        <v>24198.412246997399</v>
      </c>
      <c r="J625">
        <v>287</v>
      </c>
      <c r="K625" t="s">
        <v>25</v>
      </c>
      <c r="L625" s="1">
        <v>45919</v>
      </c>
      <c r="M625" s="6">
        <f>WilsonData[[#This Row],[Discharge Date]]-WilsonData[[#This Row],[Date of Admission]]</f>
        <v>4</v>
      </c>
      <c r="N625" t="s">
        <v>31</v>
      </c>
    </row>
    <row r="626" spans="1:14" x14ac:dyDescent="0.35">
      <c r="A626" t="s">
        <v>1429</v>
      </c>
      <c r="B626">
        <v>58</v>
      </c>
      <c r="C626" t="str">
        <f>IF(WilsonData[[#This Row],[Age]]&lt;=18, "0-18", IF(WilsonData[[#This Row],[Age]]&lt;=35,"19-35", IF(WilsonData[[#This Row],[Age]]&lt;=50, "36-50",IF(WilsonData[[#This Row],[Age]]&lt;=65,"51-65", " 66+"))))</f>
        <v>51-65</v>
      </c>
      <c r="D626" t="s">
        <v>20</v>
      </c>
      <c r="E626" t="s">
        <v>16</v>
      </c>
      <c r="F626" t="s">
        <v>24</v>
      </c>
      <c r="G626" s="1">
        <v>45742</v>
      </c>
      <c r="H626" t="s">
        <v>36</v>
      </c>
      <c r="I626" s="2">
        <v>22596.010738295041</v>
      </c>
      <c r="J626">
        <v>342</v>
      </c>
      <c r="K626" t="s">
        <v>25</v>
      </c>
      <c r="L626" s="1">
        <v>45744</v>
      </c>
      <c r="M626" s="6">
        <f>WilsonData[[#This Row],[Discharge Date]]-WilsonData[[#This Row],[Date of Admission]]</f>
        <v>2</v>
      </c>
      <c r="N626" t="s">
        <v>22</v>
      </c>
    </row>
    <row r="627" spans="1:14" x14ac:dyDescent="0.35">
      <c r="A627" t="s">
        <v>1430</v>
      </c>
      <c r="B627">
        <v>69</v>
      </c>
      <c r="C627" t="str">
        <f>IF(WilsonData[[#This Row],[Age]]&lt;=18, "0-18", IF(WilsonData[[#This Row],[Age]]&lt;=35,"19-35", IF(WilsonData[[#This Row],[Age]]&lt;=50, "36-50",IF(WilsonData[[#This Row],[Age]]&lt;=65,"51-65", " 66+"))))</f>
        <v xml:space="preserve"> 66+</v>
      </c>
      <c r="D627" t="s">
        <v>20</v>
      </c>
      <c r="E627" t="s">
        <v>21</v>
      </c>
      <c r="F627" t="s">
        <v>13</v>
      </c>
      <c r="G627" s="1">
        <v>45869</v>
      </c>
      <c r="H627" t="s">
        <v>37</v>
      </c>
      <c r="I627" s="2">
        <v>10359.89855802125</v>
      </c>
      <c r="J627">
        <v>356</v>
      </c>
      <c r="K627" t="s">
        <v>25</v>
      </c>
      <c r="L627" s="1">
        <v>45878</v>
      </c>
      <c r="M627" s="6">
        <f>WilsonData[[#This Row],[Discharge Date]]-WilsonData[[#This Row],[Date of Admission]]</f>
        <v>9</v>
      </c>
      <c r="N627" t="s">
        <v>31</v>
      </c>
    </row>
    <row r="628" spans="1:14" x14ac:dyDescent="0.35">
      <c r="A628" t="s">
        <v>1431</v>
      </c>
      <c r="B628">
        <v>79</v>
      </c>
      <c r="C628" t="str">
        <f>IF(WilsonData[[#This Row],[Age]]&lt;=18, "0-18", IF(WilsonData[[#This Row],[Age]]&lt;=35,"19-35", IF(WilsonData[[#This Row],[Age]]&lt;=50, "36-50",IF(WilsonData[[#This Row],[Age]]&lt;=65,"51-65", " 66+"))))</f>
        <v xml:space="preserve"> 66+</v>
      </c>
      <c r="D628" t="s">
        <v>11</v>
      </c>
      <c r="E628" t="s">
        <v>33</v>
      </c>
      <c r="F628" t="s">
        <v>17</v>
      </c>
      <c r="G628" s="1">
        <v>45765</v>
      </c>
      <c r="H628" t="s">
        <v>36</v>
      </c>
      <c r="I628" s="2">
        <v>10966.5202270478</v>
      </c>
      <c r="J628">
        <v>372</v>
      </c>
      <c r="K628" t="s">
        <v>18</v>
      </c>
      <c r="L628" s="1">
        <v>45772</v>
      </c>
      <c r="M628" s="6">
        <f>WilsonData[[#This Row],[Discharge Date]]-WilsonData[[#This Row],[Date of Admission]]</f>
        <v>7</v>
      </c>
      <c r="N628" t="s">
        <v>22</v>
      </c>
    </row>
    <row r="629" spans="1:14" x14ac:dyDescent="0.35">
      <c r="A629" t="s">
        <v>1432</v>
      </c>
      <c r="B629">
        <v>62</v>
      </c>
      <c r="C629" t="str">
        <f>IF(WilsonData[[#This Row],[Age]]&lt;=18, "0-18", IF(WilsonData[[#This Row],[Age]]&lt;=35,"19-35", IF(WilsonData[[#This Row],[Age]]&lt;=50, "36-50",IF(WilsonData[[#This Row],[Age]]&lt;=65,"51-65", " 66+"))))</f>
        <v>51-65</v>
      </c>
      <c r="D629" t="s">
        <v>11</v>
      </c>
      <c r="E629" t="s">
        <v>33</v>
      </c>
      <c r="F629" t="s">
        <v>17</v>
      </c>
      <c r="G629" s="1">
        <v>45973</v>
      </c>
      <c r="H629" t="s">
        <v>37</v>
      </c>
      <c r="I629" s="2">
        <v>44233.158119878542</v>
      </c>
      <c r="J629">
        <v>147</v>
      </c>
      <c r="K629" t="s">
        <v>25</v>
      </c>
      <c r="L629" s="1">
        <v>45975</v>
      </c>
      <c r="M629" s="6">
        <f>WilsonData[[#This Row],[Discharge Date]]-WilsonData[[#This Row],[Date of Admission]]</f>
        <v>2</v>
      </c>
      <c r="N629" t="s">
        <v>27</v>
      </c>
    </row>
    <row r="630" spans="1:14" x14ac:dyDescent="0.35">
      <c r="A630" t="s">
        <v>1433</v>
      </c>
      <c r="B630">
        <v>73</v>
      </c>
      <c r="C630" t="str">
        <f>IF(WilsonData[[#This Row],[Age]]&lt;=18, "0-18", IF(WilsonData[[#This Row],[Age]]&lt;=35,"19-35", IF(WilsonData[[#This Row],[Age]]&lt;=50, "36-50",IF(WilsonData[[#This Row],[Age]]&lt;=65,"51-65", " 66+"))))</f>
        <v xml:space="preserve"> 66+</v>
      </c>
      <c r="D630" t="s">
        <v>20</v>
      </c>
      <c r="E630" t="s">
        <v>16</v>
      </c>
      <c r="F630" t="s">
        <v>30</v>
      </c>
      <c r="G630" s="1">
        <v>45708</v>
      </c>
      <c r="H630" t="s">
        <v>39</v>
      </c>
      <c r="I630" s="2">
        <v>48146.269036041587</v>
      </c>
      <c r="J630">
        <v>267</v>
      </c>
      <c r="K630" t="s">
        <v>18</v>
      </c>
      <c r="L630" s="1">
        <v>45712</v>
      </c>
      <c r="M630" s="6">
        <f>WilsonData[[#This Row],[Discharge Date]]-WilsonData[[#This Row],[Date of Admission]]</f>
        <v>4</v>
      </c>
      <c r="N630" t="s">
        <v>31</v>
      </c>
    </row>
    <row r="631" spans="1:14" x14ac:dyDescent="0.35">
      <c r="A631" t="s">
        <v>1434</v>
      </c>
      <c r="B631">
        <v>30</v>
      </c>
      <c r="C631" t="str">
        <f>IF(WilsonData[[#This Row],[Age]]&lt;=18, "0-18", IF(WilsonData[[#This Row],[Age]]&lt;=35,"19-35", IF(WilsonData[[#This Row],[Age]]&lt;=50, "36-50",IF(WilsonData[[#This Row],[Age]]&lt;=65,"51-65", " 66+"))))</f>
        <v>19-35</v>
      </c>
      <c r="D631" t="s">
        <v>11</v>
      </c>
      <c r="E631" t="s">
        <v>33</v>
      </c>
      <c r="F631" t="s">
        <v>24</v>
      </c>
      <c r="G631" s="1">
        <v>45757</v>
      </c>
      <c r="H631" t="s">
        <v>39</v>
      </c>
      <c r="I631" s="2">
        <v>43600.867480755311</v>
      </c>
      <c r="J631">
        <v>295</v>
      </c>
      <c r="K631" t="s">
        <v>18</v>
      </c>
      <c r="L631" s="1">
        <v>45764</v>
      </c>
      <c r="M631" s="6">
        <f>WilsonData[[#This Row],[Discharge Date]]-WilsonData[[#This Row],[Date of Admission]]</f>
        <v>7</v>
      </c>
      <c r="N631" t="s">
        <v>19</v>
      </c>
    </row>
    <row r="632" spans="1:14" x14ac:dyDescent="0.35">
      <c r="A632" t="s">
        <v>1435</v>
      </c>
      <c r="B632">
        <v>73</v>
      </c>
      <c r="C632" t="str">
        <f>IF(WilsonData[[#This Row],[Age]]&lt;=18, "0-18", IF(WilsonData[[#This Row],[Age]]&lt;=35,"19-35", IF(WilsonData[[#This Row],[Age]]&lt;=50, "36-50",IF(WilsonData[[#This Row],[Age]]&lt;=65,"51-65", " 66+"))))</f>
        <v xml:space="preserve"> 66+</v>
      </c>
      <c r="D632" t="s">
        <v>11</v>
      </c>
      <c r="E632" t="s">
        <v>33</v>
      </c>
      <c r="F632" t="s">
        <v>13</v>
      </c>
      <c r="G632" s="1">
        <v>45960</v>
      </c>
      <c r="H632" t="s">
        <v>39</v>
      </c>
      <c r="I632" s="2">
        <v>44996.709814628157</v>
      </c>
      <c r="J632">
        <v>469</v>
      </c>
      <c r="K632" t="s">
        <v>18</v>
      </c>
      <c r="L632" s="1">
        <v>45965</v>
      </c>
      <c r="M632" s="6">
        <f>WilsonData[[#This Row],[Discharge Date]]-WilsonData[[#This Row],[Date of Admission]]</f>
        <v>5</v>
      </c>
      <c r="N632" t="s">
        <v>22</v>
      </c>
    </row>
    <row r="633" spans="1:14" x14ac:dyDescent="0.35">
      <c r="A633" t="s">
        <v>1436</v>
      </c>
      <c r="B633">
        <v>19</v>
      </c>
      <c r="C633" t="str">
        <f>IF(WilsonData[[#This Row],[Age]]&lt;=18, "0-18", IF(WilsonData[[#This Row],[Age]]&lt;=35,"19-35", IF(WilsonData[[#This Row],[Age]]&lt;=50, "36-50",IF(WilsonData[[#This Row],[Age]]&lt;=65,"51-65", " 66+"))))</f>
        <v>19-35</v>
      </c>
      <c r="D633" t="s">
        <v>11</v>
      </c>
      <c r="E633" t="s">
        <v>26</v>
      </c>
      <c r="F633" t="s">
        <v>13</v>
      </c>
      <c r="G633" s="1">
        <v>45962</v>
      </c>
      <c r="H633" t="s">
        <v>38</v>
      </c>
      <c r="I633" s="2">
        <v>43520.710164871489</v>
      </c>
      <c r="J633">
        <v>403</v>
      </c>
      <c r="K633" t="s">
        <v>25</v>
      </c>
      <c r="L633" s="1">
        <v>45966</v>
      </c>
      <c r="M633" s="6">
        <f>WilsonData[[#This Row],[Discharge Date]]-WilsonData[[#This Row],[Date of Admission]]</f>
        <v>4</v>
      </c>
      <c r="N633" t="s">
        <v>31</v>
      </c>
    </row>
    <row r="634" spans="1:14" x14ac:dyDescent="0.35">
      <c r="A634" t="s">
        <v>1437</v>
      </c>
      <c r="B634">
        <v>49</v>
      </c>
      <c r="C634" t="str">
        <f>IF(WilsonData[[#This Row],[Age]]&lt;=18, "0-18", IF(WilsonData[[#This Row],[Age]]&lt;=35,"19-35", IF(WilsonData[[#This Row],[Age]]&lt;=50, "36-50",IF(WilsonData[[#This Row],[Age]]&lt;=65,"51-65", " 66+"))))</f>
        <v>36-50</v>
      </c>
      <c r="D634" t="s">
        <v>20</v>
      </c>
      <c r="E634" t="s">
        <v>34</v>
      </c>
      <c r="F634" t="s">
        <v>28</v>
      </c>
      <c r="G634" s="1">
        <v>45905</v>
      </c>
      <c r="H634" t="s">
        <v>36</v>
      </c>
      <c r="I634" s="2">
        <v>32768.001852210407</v>
      </c>
      <c r="J634">
        <v>473</v>
      </c>
      <c r="K634" t="s">
        <v>25</v>
      </c>
      <c r="L634" s="1">
        <v>45918</v>
      </c>
      <c r="M634" s="6">
        <f>WilsonData[[#This Row],[Discharge Date]]-WilsonData[[#This Row],[Date of Admission]]</f>
        <v>13</v>
      </c>
      <c r="N634" t="s">
        <v>27</v>
      </c>
    </row>
    <row r="635" spans="1:14" x14ac:dyDescent="0.35">
      <c r="A635" t="s">
        <v>1438</v>
      </c>
      <c r="B635">
        <v>19</v>
      </c>
      <c r="C635" t="str">
        <f>IF(WilsonData[[#This Row],[Age]]&lt;=18, "0-18", IF(WilsonData[[#This Row],[Age]]&lt;=35,"19-35", IF(WilsonData[[#This Row],[Age]]&lt;=50, "36-50",IF(WilsonData[[#This Row],[Age]]&lt;=65,"51-65", " 66+"))))</f>
        <v>19-35</v>
      </c>
      <c r="D635" t="s">
        <v>20</v>
      </c>
      <c r="E635" t="s">
        <v>33</v>
      </c>
      <c r="F635" t="s">
        <v>13</v>
      </c>
      <c r="G635" s="1">
        <v>45890</v>
      </c>
      <c r="H635" t="s">
        <v>36</v>
      </c>
      <c r="I635" s="2">
        <v>19653.186377381291</v>
      </c>
      <c r="J635">
        <v>139</v>
      </c>
      <c r="K635" t="s">
        <v>25</v>
      </c>
      <c r="L635" s="1">
        <v>45901</v>
      </c>
      <c r="M635" s="6">
        <f>WilsonData[[#This Row],[Discharge Date]]-WilsonData[[#This Row],[Date of Admission]]</f>
        <v>11</v>
      </c>
      <c r="N635" t="s">
        <v>31</v>
      </c>
    </row>
    <row r="636" spans="1:14" x14ac:dyDescent="0.35">
      <c r="A636" t="s">
        <v>1439</v>
      </c>
      <c r="B636">
        <v>66</v>
      </c>
      <c r="C636" t="str">
        <f>IF(WilsonData[[#This Row],[Age]]&lt;=18, "0-18", IF(WilsonData[[#This Row],[Age]]&lt;=35,"19-35", IF(WilsonData[[#This Row],[Age]]&lt;=50, "36-50",IF(WilsonData[[#This Row],[Age]]&lt;=65,"51-65", " 66+"))))</f>
        <v xml:space="preserve"> 66+</v>
      </c>
      <c r="D636" t="s">
        <v>20</v>
      </c>
      <c r="E636" t="s">
        <v>34</v>
      </c>
      <c r="F636" t="s">
        <v>17</v>
      </c>
      <c r="G636" s="1">
        <v>45847</v>
      </c>
      <c r="H636" t="s">
        <v>37</v>
      </c>
      <c r="I636" s="2">
        <v>2072.7798459727569</v>
      </c>
      <c r="J636">
        <v>438</v>
      </c>
      <c r="K636" t="s">
        <v>18</v>
      </c>
      <c r="L636" s="1">
        <v>45848</v>
      </c>
      <c r="M636" s="6">
        <f>WilsonData[[#This Row],[Discharge Date]]-WilsonData[[#This Row],[Date of Admission]]</f>
        <v>1</v>
      </c>
      <c r="N636" t="s">
        <v>15</v>
      </c>
    </row>
    <row r="637" spans="1:14" x14ac:dyDescent="0.35">
      <c r="A637" t="s">
        <v>1440</v>
      </c>
      <c r="B637">
        <v>67</v>
      </c>
      <c r="C637" t="str">
        <f>IF(WilsonData[[#This Row],[Age]]&lt;=18, "0-18", IF(WilsonData[[#This Row],[Age]]&lt;=35,"19-35", IF(WilsonData[[#This Row],[Age]]&lt;=50, "36-50",IF(WilsonData[[#This Row],[Age]]&lt;=65,"51-65", " 66+"))))</f>
        <v xml:space="preserve"> 66+</v>
      </c>
      <c r="D637" t="s">
        <v>20</v>
      </c>
      <c r="E637" t="s">
        <v>34</v>
      </c>
      <c r="F637" t="s">
        <v>24</v>
      </c>
      <c r="G637" s="1">
        <v>45904</v>
      </c>
      <c r="H637" t="s">
        <v>36</v>
      </c>
      <c r="I637" s="2">
        <v>44440.733587436887</v>
      </c>
      <c r="J637">
        <v>212</v>
      </c>
      <c r="K637" t="s">
        <v>18</v>
      </c>
      <c r="L637" s="1">
        <v>45918</v>
      </c>
      <c r="M637" s="6">
        <f>WilsonData[[#This Row],[Discharge Date]]-WilsonData[[#This Row],[Date of Admission]]</f>
        <v>14</v>
      </c>
      <c r="N637" t="s">
        <v>22</v>
      </c>
    </row>
    <row r="638" spans="1:14" x14ac:dyDescent="0.35">
      <c r="A638" t="s">
        <v>1441</v>
      </c>
      <c r="B638">
        <v>71</v>
      </c>
      <c r="C638" t="str">
        <f>IF(WilsonData[[#This Row],[Age]]&lt;=18, "0-18", IF(WilsonData[[#This Row],[Age]]&lt;=35,"19-35", IF(WilsonData[[#This Row],[Age]]&lt;=50, "36-50",IF(WilsonData[[#This Row],[Age]]&lt;=65,"51-65", " 66+"))))</f>
        <v xml:space="preserve"> 66+</v>
      </c>
      <c r="D638" t="s">
        <v>11</v>
      </c>
      <c r="E638" t="s">
        <v>21</v>
      </c>
      <c r="F638" t="s">
        <v>32</v>
      </c>
      <c r="G638" s="1">
        <v>45834</v>
      </c>
      <c r="H638" t="s">
        <v>36</v>
      </c>
      <c r="I638" s="2">
        <v>39598.995351721467</v>
      </c>
      <c r="J638">
        <v>165</v>
      </c>
      <c r="K638" t="s">
        <v>25</v>
      </c>
      <c r="L638" s="1">
        <v>45847</v>
      </c>
      <c r="M638" s="6">
        <f>WilsonData[[#This Row],[Discharge Date]]-WilsonData[[#This Row],[Date of Admission]]</f>
        <v>13</v>
      </c>
      <c r="N638" t="s">
        <v>22</v>
      </c>
    </row>
    <row r="639" spans="1:14" x14ac:dyDescent="0.35">
      <c r="A639" t="s">
        <v>1442</v>
      </c>
      <c r="B639">
        <v>72</v>
      </c>
      <c r="C639" t="str">
        <f>IF(WilsonData[[#This Row],[Age]]&lt;=18, "0-18", IF(WilsonData[[#This Row],[Age]]&lt;=35,"19-35", IF(WilsonData[[#This Row],[Age]]&lt;=50, "36-50",IF(WilsonData[[#This Row],[Age]]&lt;=65,"51-65", " 66+"))))</f>
        <v xml:space="preserve"> 66+</v>
      </c>
      <c r="D639" t="s">
        <v>20</v>
      </c>
      <c r="E639" t="s">
        <v>21</v>
      </c>
      <c r="F639" t="s">
        <v>28</v>
      </c>
      <c r="G639" s="1">
        <v>45894</v>
      </c>
      <c r="H639" t="s">
        <v>36</v>
      </c>
      <c r="I639" s="2">
        <v>27035.605351924591</v>
      </c>
      <c r="J639">
        <v>211</v>
      </c>
      <c r="K639" t="s">
        <v>25</v>
      </c>
      <c r="L639" s="1">
        <v>45895</v>
      </c>
      <c r="M639" s="6">
        <f>WilsonData[[#This Row],[Discharge Date]]-WilsonData[[#This Row],[Date of Admission]]</f>
        <v>1</v>
      </c>
      <c r="N639" t="s">
        <v>15</v>
      </c>
    </row>
    <row r="640" spans="1:14" x14ac:dyDescent="0.35">
      <c r="A640" t="s">
        <v>1443</v>
      </c>
      <c r="B640">
        <v>56</v>
      </c>
      <c r="C640" t="str">
        <f>IF(WilsonData[[#This Row],[Age]]&lt;=18, "0-18", IF(WilsonData[[#This Row],[Age]]&lt;=35,"19-35", IF(WilsonData[[#This Row],[Age]]&lt;=50, "36-50",IF(WilsonData[[#This Row],[Age]]&lt;=65,"51-65", " 66+"))))</f>
        <v>51-65</v>
      </c>
      <c r="D640" t="s">
        <v>11</v>
      </c>
      <c r="E640" t="s">
        <v>26</v>
      </c>
      <c r="F640" t="s">
        <v>28</v>
      </c>
      <c r="G640" s="1">
        <v>45861</v>
      </c>
      <c r="H640" t="s">
        <v>37</v>
      </c>
      <c r="I640" s="2">
        <v>31157.06001253258</v>
      </c>
      <c r="J640">
        <v>480</v>
      </c>
      <c r="K640" t="s">
        <v>25</v>
      </c>
      <c r="L640" s="1">
        <v>45867</v>
      </c>
      <c r="M640" s="6">
        <f>WilsonData[[#This Row],[Discharge Date]]-WilsonData[[#This Row],[Date of Admission]]</f>
        <v>6</v>
      </c>
      <c r="N640" t="s">
        <v>15</v>
      </c>
    </row>
    <row r="641" spans="1:14" x14ac:dyDescent="0.35">
      <c r="A641" t="s">
        <v>1444</v>
      </c>
      <c r="B641">
        <v>35</v>
      </c>
      <c r="C641" t="str">
        <f>IF(WilsonData[[#This Row],[Age]]&lt;=18, "0-18", IF(WilsonData[[#This Row],[Age]]&lt;=35,"19-35", IF(WilsonData[[#This Row],[Age]]&lt;=50, "36-50",IF(WilsonData[[#This Row],[Age]]&lt;=65,"51-65", " 66+"))))</f>
        <v>19-35</v>
      </c>
      <c r="D641" t="s">
        <v>11</v>
      </c>
      <c r="E641" t="s">
        <v>26</v>
      </c>
      <c r="F641" t="s">
        <v>13</v>
      </c>
      <c r="G641" s="1">
        <v>46016</v>
      </c>
      <c r="H641" t="s">
        <v>39</v>
      </c>
      <c r="I641" s="2">
        <v>40062.968097949641</v>
      </c>
      <c r="J641">
        <v>251</v>
      </c>
      <c r="K641" t="s">
        <v>25</v>
      </c>
      <c r="L641" s="1">
        <v>46021</v>
      </c>
      <c r="M641" s="6">
        <f>WilsonData[[#This Row],[Discharge Date]]-WilsonData[[#This Row],[Date of Admission]]</f>
        <v>5</v>
      </c>
      <c r="N641" t="s">
        <v>15</v>
      </c>
    </row>
    <row r="642" spans="1:14" x14ac:dyDescent="0.35">
      <c r="A642" t="s">
        <v>1445</v>
      </c>
      <c r="B642">
        <v>79</v>
      </c>
      <c r="C642" t="str">
        <f>IF(WilsonData[[#This Row],[Age]]&lt;=18, "0-18", IF(WilsonData[[#This Row],[Age]]&lt;=35,"19-35", IF(WilsonData[[#This Row],[Age]]&lt;=50, "36-50",IF(WilsonData[[#This Row],[Age]]&lt;=65,"51-65", " 66+"))))</f>
        <v xml:space="preserve"> 66+</v>
      </c>
      <c r="D642" t="s">
        <v>11</v>
      </c>
      <c r="E642" t="s">
        <v>33</v>
      </c>
      <c r="F642" t="s">
        <v>32</v>
      </c>
      <c r="G642" s="1">
        <v>45758</v>
      </c>
      <c r="H642" t="s">
        <v>36</v>
      </c>
      <c r="I642" s="2">
        <v>18901.863520805429</v>
      </c>
      <c r="J642">
        <v>172</v>
      </c>
      <c r="K642" t="s">
        <v>25</v>
      </c>
      <c r="L642" s="1">
        <v>45761</v>
      </c>
      <c r="M642" s="6">
        <f>WilsonData[[#This Row],[Discharge Date]]-WilsonData[[#This Row],[Date of Admission]]</f>
        <v>3</v>
      </c>
      <c r="N642" t="s">
        <v>27</v>
      </c>
    </row>
    <row r="643" spans="1:14" x14ac:dyDescent="0.35">
      <c r="A643" t="s">
        <v>1446</v>
      </c>
      <c r="B643">
        <v>22</v>
      </c>
      <c r="C643" t="str">
        <f>IF(WilsonData[[#This Row],[Age]]&lt;=18, "0-18", IF(WilsonData[[#This Row],[Age]]&lt;=35,"19-35", IF(WilsonData[[#This Row],[Age]]&lt;=50, "36-50",IF(WilsonData[[#This Row],[Age]]&lt;=65,"51-65", " 66+"))))</f>
        <v>19-35</v>
      </c>
      <c r="D643" t="s">
        <v>11</v>
      </c>
      <c r="E643" t="s">
        <v>29</v>
      </c>
      <c r="F643" t="s">
        <v>24</v>
      </c>
      <c r="G643" s="1">
        <v>45701</v>
      </c>
      <c r="H643" t="s">
        <v>39</v>
      </c>
      <c r="I643" s="2">
        <v>47379.28184792339</v>
      </c>
      <c r="J643">
        <v>165</v>
      </c>
      <c r="K643" t="s">
        <v>18</v>
      </c>
      <c r="L643" s="1">
        <v>45715</v>
      </c>
      <c r="M643" s="6">
        <f>WilsonData[[#This Row],[Discharge Date]]-WilsonData[[#This Row],[Date of Admission]]</f>
        <v>14</v>
      </c>
      <c r="N643" t="s">
        <v>27</v>
      </c>
    </row>
    <row r="644" spans="1:14" x14ac:dyDescent="0.35">
      <c r="A644" t="s">
        <v>1447</v>
      </c>
      <c r="B644">
        <v>33</v>
      </c>
      <c r="C644" t="str">
        <f>IF(WilsonData[[#This Row],[Age]]&lt;=18, "0-18", IF(WilsonData[[#This Row],[Age]]&lt;=35,"19-35", IF(WilsonData[[#This Row],[Age]]&lt;=50, "36-50",IF(WilsonData[[#This Row],[Age]]&lt;=65,"51-65", " 66+"))))</f>
        <v>19-35</v>
      </c>
      <c r="D644" t="s">
        <v>20</v>
      </c>
      <c r="E644" t="s">
        <v>29</v>
      </c>
      <c r="F644" t="s">
        <v>17</v>
      </c>
      <c r="G644" s="1">
        <v>45732</v>
      </c>
      <c r="H644" t="s">
        <v>36</v>
      </c>
      <c r="I644" s="2">
        <v>47438.56084538329</v>
      </c>
      <c r="J644">
        <v>295</v>
      </c>
      <c r="K644" t="s">
        <v>18</v>
      </c>
      <c r="L644" s="1">
        <v>45738</v>
      </c>
      <c r="M644" s="6">
        <f>WilsonData[[#This Row],[Discharge Date]]-WilsonData[[#This Row],[Date of Admission]]</f>
        <v>6</v>
      </c>
      <c r="N644" t="s">
        <v>15</v>
      </c>
    </row>
    <row r="645" spans="1:14" x14ac:dyDescent="0.35">
      <c r="A645" t="s">
        <v>1448</v>
      </c>
      <c r="B645">
        <v>18</v>
      </c>
      <c r="C645" t="str">
        <f>IF(WilsonData[[#This Row],[Age]]&lt;=18, "0-18", IF(WilsonData[[#This Row],[Age]]&lt;=35,"19-35", IF(WilsonData[[#This Row],[Age]]&lt;=50, "36-50",IF(WilsonData[[#This Row],[Age]]&lt;=65,"51-65", " 66+"))))</f>
        <v>0-18</v>
      </c>
      <c r="D645" t="s">
        <v>20</v>
      </c>
      <c r="E645" t="s">
        <v>23</v>
      </c>
      <c r="F645" t="s">
        <v>30</v>
      </c>
      <c r="G645" s="1">
        <v>45958</v>
      </c>
      <c r="H645" t="s">
        <v>38</v>
      </c>
      <c r="I645" s="2">
        <v>48947.564720670802</v>
      </c>
      <c r="J645">
        <v>350</v>
      </c>
      <c r="K645" t="s">
        <v>25</v>
      </c>
      <c r="L645" s="1">
        <v>45963</v>
      </c>
      <c r="M645" s="6">
        <f>WilsonData[[#This Row],[Discharge Date]]-WilsonData[[#This Row],[Date of Admission]]</f>
        <v>5</v>
      </c>
      <c r="N645" t="s">
        <v>15</v>
      </c>
    </row>
    <row r="646" spans="1:14" x14ac:dyDescent="0.35">
      <c r="A646" t="s">
        <v>1449</v>
      </c>
      <c r="B646">
        <v>34</v>
      </c>
      <c r="C646" t="str">
        <f>IF(WilsonData[[#This Row],[Age]]&lt;=18, "0-18", IF(WilsonData[[#This Row],[Age]]&lt;=35,"19-35", IF(WilsonData[[#This Row],[Age]]&lt;=50, "36-50",IF(WilsonData[[#This Row],[Age]]&lt;=65,"51-65", " 66+"))))</f>
        <v>19-35</v>
      </c>
      <c r="D646" t="s">
        <v>20</v>
      </c>
      <c r="E646" t="s">
        <v>23</v>
      </c>
      <c r="F646" t="s">
        <v>17</v>
      </c>
      <c r="G646" s="1">
        <v>45885</v>
      </c>
      <c r="H646" t="s">
        <v>39</v>
      </c>
      <c r="I646" s="2">
        <v>3925.5931411910342</v>
      </c>
      <c r="J646">
        <v>380</v>
      </c>
      <c r="K646" t="s">
        <v>18</v>
      </c>
      <c r="L646" s="1">
        <v>45893</v>
      </c>
      <c r="M646" s="6">
        <f>WilsonData[[#This Row],[Discharge Date]]-WilsonData[[#This Row],[Date of Admission]]</f>
        <v>8</v>
      </c>
      <c r="N646" t="s">
        <v>15</v>
      </c>
    </row>
    <row r="647" spans="1:14" x14ac:dyDescent="0.35">
      <c r="A647" t="s">
        <v>1450</v>
      </c>
      <c r="B647">
        <v>54</v>
      </c>
      <c r="C647" t="str">
        <f>IF(WilsonData[[#This Row],[Age]]&lt;=18, "0-18", IF(WilsonData[[#This Row],[Age]]&lt;=35,"19-35", IF(WilsonData[[#This Row],[Age]]&lt;=50, "36-50",IF(WilsonData[[#This Row],[Age]]&lt;=65,"51-65", " 66+"))))</f>
        <v>51-65</v>
      </c>
      <c r="D647" t="s">
        <v>20</v>
      </c>
      <c r="E647" t="s">
        <v>34</v>
      </c>
      <c r="F647" t="s">
        <v>32</v>
      </c>
      <c r="G647" s="1">
        <v>45803</v>
      </c>
      <c r="H647" t="s">
        <v>39</v>
      </c>
      <c r="I647" s="2">
        <v>45582.040847178061</v>
      </c>
      <c r="J647">
        <v>385</v>
      </c>
      <c r="K647" t="s">
        <v>18</v>
      </c>
      <c r="L647" s="1">
        <v>45805</v>
      </c>
      <c r="M647" s="6">
        <f>WilsonData[[#This Row],[Discharge Date]]-WilsonData[[#This Row],[Date of Admission]]</f>
        <v>2</v>
      </c>
      <c r="N647" t="s">
        <v>31</v>
      </c>
    </row>
    <row r="648" spans="1:14" x14ac:dyDescent="0.35">
      <c r="A648" t="s">
        <v>1451</v>
      </c>
      <c r="B648">
        <v>33</v>
      </c>
      <c r="C648" t="str">
        <f>IF(WilsonData[[#This Row],[Age]]&lt;=18, "0-18", IF(WilsonData[[#This Row],[Age]]&lt;=35,"19-35", IF(WilsonData[[#This Row],[Age]]&lt;=50, "36-50",IF(WilsonData[[#This Row],[Age]]&lt;=65,"51-65", " 66+"))))</f>
        <v>19-35</v>
      </c>
      <c r="D648" t="s">
        <v>11</v>
      </c>
      <c r="E648" t="s">
        <v>33</v>
      </c>
      <c r="F648" t="s">
        <v>28</v>
      </c>
      <c r="G648" s="1">
        <v>45693</v>
      </c>
      <c r="H648" t="s">
        <v>36</v>
      </c>
      <c r="I648" s="2">
        <v>45351.534568147857</v>
      </c>
      <c r="J648">
        <v>155</v>
      </c>
      <c r="K648" t="s">
        <v>25</v>
      </c>
      <c r="L648" s="1">
        <v>45694</v>
      </c>
      <c r="M648" s="6">
        <f>WilsonData[[#This Row],[Discharge Date]]-WilsonData[[#This Row],[Date of Admission]]</f>
        <v>1</v>
      </c>
      <c r="N648" t="s">
        <v>31</v>
      </c>
    </row>
    <row r="649" spans="1:14" x14ac:dyDescent="0.35">
      <c r="A649" t="s">
        <v>1452</v>
      </c>
      <c r="B649">
        <v>66</v>
      </c>
      <c r="C649" t="str">
        <f>IF(WilsonData[[#This Row],[Age]]&lt;=18, "0-18", IF(WilsonData[[#This Row],[Age]]&lt;=35,"19-35", IF(WilsonData[[#This Row],[Age]]&lt;=50, "36-50",IF(WilsonData[[#This Row],[Age]]&lt;=65,"51-65", " 66+"))))</f>
        <v xml:space="preserve"> 66+</v>
      </c>
      <c r="D649" t="s">
        <v>20</v>
      </c>
      <c r="E649" t="s">
        <v>16</v>
      </c>
      <c r="F649" t="s">
        <v>24</v>
      </c>
      <c r="G649" s="1">
        <v>45766</v>
      </c>
      <c r="H649" t="s">
        <v>36</v>
      </c>
      <c r="I649" s="2">
        <v>8153.0681247467628</v>
      </c>
      <c r="J649">
        <v>326</v>
      </c>
      <c r="K649" t="s">
        <v>18</v>
      </c>
      <c r="L649" s="1">
        <v>45778</v>
      </c>
      <c r="M649" s="6">
        <f>WilsonData[[#This Row],[Discharge Date]]-WilsonData[[#This Row],[Date of Admission]]</f>
        <v>12</v>
      </c>
      <c r="N649" t="s">
        <v>22</v>
      </c>
    </row>
    <row r="650" spans="1:14" x14ac:dyDescent="0.35">
      <c r="A650" t="s">
        <v>1453</v>
      </c>
      <c r="B650">
        <v>57</v>
      </c>
      <c r="C650" t="str">
        <f>IF(WilsonData[[#This Row],[Age]]&lt;=18, "0-18", IF(WilsonData[[#This Row],[Age]]&lt;=35,"19-35", IF(WilsonData[[#This Row],[Age]]&lt;=50, "36-50",IF(WilsonData[[#This Row],[Age]]&lt;=65,"51-65", " 66+"))))</f>
        <v>51-65</v>
      </c>
      <c r="D650" t="s">
        <v>20</v>
      </c>
      <c r="E650" t="s">
        <v>23</v>
      </c>
      <c r="F650" t="s">
        <v>17</v>
      </c>
      <c r="G650" s="1">
        <v>45749</v>
      </c>
      <c r="H650" t="s">
        <v>36</v>
      </c>
      <c r="I650" s="2">
        <v>31332.56587956144</v>
      </c>
      <c r="J650">
        <v>203</v>
      </c>
      <c r="K650" t="s">
        <v>25</v>
      </c>
      <c r="L650" s="1">
        <v>45750</v>
      </c>
      <c r="M650" s="6">
        <f>WilsonData[[#This Row],[Discharge Date]]-WilsonData[[#This Row],[Date of Admission]]</f>
        <v>1</v>
      </c>
      <c r="N650" t="s">
        <v>22</v>
      </c>
    </row>
    <row r="651" spans="1:14" x14ac:dyDescent="0.35">
      <c r="A651" t="s">
        <v>1454</v>
      </c>
      <c r="B651">
        <v>21</v>
      </c>
      <c r="C651" t="str">
        <f>IF(WilsonData[[#This Row],[Age]]&lt;=18, "0-18", IF(WilsonData[[#This Row],[Age]]&lt;=35,"19-35", IF(WilsonData[[#This Row],[Age]]&lt;=50, "36-50",IF(WilsonData[[#This Row],[Age]]&lt;=65,"51-65", " 66+"))))</f>
        <v>19-35</v>
      </c>
      <c r="D651" t="s">
        <v>11</v>
      </c>
      <c r="E651" t="s">
        <v>21</v>
      </c>
      <c r="F651" t="s">
        <v>13</v>
      </c>
      <c r="G651" s="1">
        <v>45718</v>
      </c>
      <c r="H651" t="s">
        <v>38</v>
      </c>
      <c r="I651" s="2">
        <v>20616.550195486539</v>
      </c>
      <c r="J651">
        <v>426</v>
      </c>
      <c r="K651" t="s">
        <v>25</v>
      </c>
      <c r="L651" s="1">
        <v>45730</v>
      </c>
      <c r="M651" s="6">
        <f>WilsonData[[#This Row],[Discharge Date]]-WilsonData[[#This Row],[Date of Admission]]</f>
        <v>12</v>
      </c>
      <c r="N651" t="s">
        <v>19</v>
      </c>
    </row>
    <row r="652" spans="1:14" x14ac:dyDescent="0.35">
      <c r="A652" t="s">
        <v>1455</v>
      </c>
      <c r="B652">
        <v>43</v>
      </c>
      <c r="C652" t="str">
        <f>IF(WilsonData[[#This Row],[Age]]&lt;=18, "0-18", IF(WilsonData[[#This Row],[Age]]&lt;=35,"19-35", IF(WilsonData[[#This Row],[Age]]&lt;=50, "36-50",IF(WilsonData[[#This Row],[Age]]&lt;=65,"51-65", " 66+"))))</f>
        <v>36-50</v>
      </c>
      <c r="D652" t="s">
        <v>20</v>
      </c>
      <c r="E652" t="s">
        <v>12</v>
      </c>
      <c r="F652" t="s">
        <v>13</v>
      </c>
      <c r="G652" s="1">
        <v>45694</v>
      </c>
      <c r="H652" t="s">
        <v>39</v>
      </c>
      <c r="I652" s="2">
        <v>14902.10565588612</v>
      </c>
      <c r="J652">
        <v>431</v>
      </c>
      <c r="K652" t="s">
        <v>18</v>
      </c>
      <c r="L652" s="1">
        <v>45701</v>
      </c>
      <c r="M652" s="6">
        <f>WilsonData[[#This Row],[Discharge Date]]-WilsonData[[#This Row],[Date of Admission]]</f>
        <v>7</v>
      </c>
      <c r="N652" t="s">
        <v>31</v>
      </c>
    </row>
    <row r="653" spans="1:14" x14ac:dyDescent="0.35">
      <c r="A653" t="s">
        <v>1456</v>
      </c>
      <c r="B653">
        <v>62</v>
      </c>
      <c r="C653" t="str">
        <f>IF(WilsonData[[#This Row],[Age]]&lt;=18, "0-18", IF(WilsonData[[#This Row],[Age]]&lt;=35,"19-35", IF(WilsonData[[#This Row],[Age]]&lt;=50, "36-50",IF(WilsonData[[#This Row],[Age]]&lt;=65,"51-65", " 66+"))))</f>
        <v>51-65</v>
      </c>
      <c r="D653" t="s">
        <v>11</v>
      </c>
      <c r="E653" t="s">
        <v>33</v>
      </c>
      <c r="F653" t="s">
        <v>32</v>
      </c>
      <c r="G653" s="1">
        <v>45759</v>
      </c>
      <c r="H653" t="s">
        <v>39</v>
      </c>
      <c r="I653" s="2">
        <v>35906.188447406828</v>
      </c>
      <c r="J653">
        <v>121</v>
      </c>
      <c r="K653" t="s">
        <v>25</v>
      </c>
      <c r="L653" s="1">
        <v>45765</v>
      </c>
      <c r="M653" s="6">
        <f>WilsonData[[#This Row],[Discharge Date]]-WilsonData[[#This Row],[Date of Admission]]</f>
        <v>6</v>
      </c>
      <c r="N653" t="s">
        <v>22</v>
      </c>
    </row>
    <row r="654" spans="1:14" x14ac:dyDescent="0.35">
      <c r="A654" t="s">
        <v>1457</v>
      </c>
      <c r="B654">
        <v>32</v>
      </c>
      <c r="C654" t="str">
        <f>IF(WilsonData[[#This Row],[Age]]&lt;=18, "0-18", IF(WilsonData[[#This Row],[Age]]&lt;=35,"19-35", IF(WilsonData[[#This Row],[Age]]&lt;=50, "36-50",IF(WilsonData[[#This Row],[Age]]&lt;=65,"51-65", " 66+"))))</f>
        <v>19-35</v>
      </c>
      <c r="D654" t="s">
        <v>11</v>
      </c>
      <c r="E654" t="s">
        <v>23</v>
      </c>
      <c r="F654" t="s">
        <v>13</v>
      </c>
      <c r="G654" s="1">
        <v>45736</v>
      </c>
      <c r="H654" t="s">
        <v>38</v>
      </c>
      <c r="I654" s="2">
        <v>36250.968878310239</v>
      </c>
      <c r="J654">
        <v>201</v>
      </c>
      <c r="K654" t="s">
        <v>25</v>
      </c>
      <c r="L654" s="1">
        <v>45748</v>
      </c>
      <c r="M654" s="6">
        <f>WilsonData[[#This Row],[Discharge Date]]-WilsonData[[#This Row],[Date of Admission]]</f>
        <v>12</v>
      </c>
      <c r="N654" t="s">
        <v>27</v>
      </c>
    </row>
    <row r="655" spans="1:14" x14ac:dyDescent="0.35">
      <c r="A655" t="s">
        <v>1458</v>
      </c>
      <c r="B655">
        <v>39</v>
      </c>
      <c r="C655" t="str">
        <f>IF(WilsonData[[#This Row],[Age]]&lt;=18, "0-18", IF(WilsonData[[#This Row],[Age]]&lt;=35,"19-35", IF(WilsonData[[#This Row],[Age]]&lt;=50, "36-50",IF(WilsonData[[#This Row],[Age]]&lt;=65,"51-65", " 66+"))))</f>
        <v>36-50</v>
      </c>
      <c r="D655" t="s">
        <v>20</v>
      </c>
      <c r="E655" t="s">
        <v>12</v>
      </c>
      <c r="F655" t="s">
        <v>13</v>
      </c>
      <c r="G655" s="1">
        <v>45750</v>
      </c>
      <c r="H655" t="s">
        <v>36</v>
      </c>
      <c r="I655" s="2">
        <v>37685.2743238283</v>
      </c>
      <c r="J655">
        <v>390</v>
      </c>
      <c r="K655" t="s">
        <v>18</v>
      </c>
      <c r="L655" s="1">
        <v>45760</v>
      </c>
      <c r="M655" s="6">
        <f>WilsonData[[#This Row],[Discharge Date]]-WilsonData[[#This Row],[Date of Admission]]</f>
        <v>10</v>
      </c>
      <c r="N655" t="s">
        <v>19</v>
      </c>
    </row>
    <row r="656" spans="1:14" x14ac:dyDescent="0.35">
      <c r="A656" t="s">
        <v>1459</v>
      </c>
      <c r="B656">
        <v>38</v>
      </c>
      <c r="C656" t="str">
        <f>IF(WilsonData[[#This Row],[Age]]&lt;=18, "0-18", IF(WilsonData[[#This Row],[Age]]&lt;=35,"19-35", IF(WilsonData[[#This Row],[Age]]&lt;=50, "36-50",IF(WilsonData[[#This Row],[Age]]&lt;=65,"51-65", " 66+"))))</f>
        <v>36-50</v>
      </c>
      <c r="D656" t="s">
        <v>20</v>
      </c>
      <c r="E656" t="s">
        <v>12</v>
      </c>
      <c r="F656" t="s">
        <v>17</v>
      </c>
      <c r="G656" s="1">
        <v>45787</v>
      </c>
      <c r="H656" t="s">
        <v>37</v>
      </c>
      <c r="I656" s="2">
        <v>15528.373245424589</v>
      </c>
      <c r="J656">
        <v>309</v>
      </c>
      <c r="K656" t="s">
        <v>18</v>
      </c>
      <c r="L656" s="1">
        <v>45790</v>
      </c>
      <c r="M656" s="6">
        <f>WilsonData[[#This Row],[Discharge Date]]-WilsonData[[#This Row],[Date of Admission]]</f>
        <v>3</v>
      </c>
      <c r="N656" t="s">
        <v>27</v>
      </c>
    </row>
    <row r="657" spans="1:14" x14ac:dyDescent="0.35">
      <c r="A657" t="s">
        <v>1460</v>
      </c>
      <c r="B657">
        <v>34</v>
      </c>
      <c r="C657" t="str">
        <f>IF(WilsonData[[#This Row],[Age]]&lt;=18, "0-18", IF(WilsonData[[#This Row],[Age]]&lt;=35,"19-35", IF(WilsonData[[#This Row],[Age]]&lt;=50, "36-50",IF(WilsonData[[#This Row],[Age]]&lt;=65,"51-65", " 66+"))))</f>
        <v>19-35</v>
      </c>
      <c r="D657" t="s">
        <v>11</v>
      </c>
      <c r="E657" t="s">
        <v>33</v>
      </c>
      <c r="F657" t="s">
        <v>28</v>
      </c>
      <c r="G657" s="1">
        <v>45698</v>
      </c>
      <c r="H657" t="s">
        <v>38</v>
      </c>
      <c r="I657" s="2">
        <v>45351.534568147857</v>
      </c>
      <c r="J657">
        <v>155</v>
      </c>
      <c r="K657" t="s">
        <v>25</v>
      </c>
      <c r="L657" s="1">
        <v>45706</v>
      </c>
      <c r="M657" s="6">
        <f>WilsonData[[#This Row],[Discharge Date]]-WilsonData[[#This Row],[Date of Admission]]</f>
        <v>8</v>
      </c>
      <c r="N657" t="s">
        <v>31</v>
      </c>
    </row>
    <row r="658" spans="1:14" x14ac:dyDescent="0.35">
      <c r="A658" t="s">
        <v>1461</v>
      </c>
      <c r="B658">
        <v>52</v>
      </c>
      <c r="C658" t="str">
        <f>IF(WilsonData[[#This Row],[Age]]&lt;=18, "0-18", IF(WilsonData[[#This Row],[Age]]&lt;=35,"19-35", IF(WilsonData[[#This Row],[Age]]&lt;=50, "36-50",IF(WilsonData[[#This Row],[Age]]&lt;=65,"51-65", " 66+"))))</f>
        <v>51-65</v>
      </c>
      <c r="D658" t="s">
        <v>11</v>
      </c>
      <c r="E658" t="s">
        <v>16</v>
      </c>
      <c r="F658" t="s">
        <v>32</v>
      </c>
      <c r="G658" s="1">
        <v>45804</v>
      </c>
      <c r="H658" t="s">
        <v>37</v>
      </c>
      <c r="I658" s="2">
        <v>42569.185316665193</v>
      </c>
      <c r="J658">
        <v>412</v>
      </c>
      <c r="K658" t="s">
        <v>25</v>
      </c>
      <c r="L658" s="1">
        <v>45813</v>
      </c>
      <c r="M658" s="6">
        <f>WilsonData[[#This Row],[Discharge Date]]-WilsonData[[#This Row],[Date of Admission]]</f>
        <v>9</v>
      </c>
      <c r="N658" t="s">
        <v>27</v>
      </c>
    </row>
    <row r="659" spans="1:14" x14ac:dyDescent="0.35">
      <c r="A659" t="s">
        <v>1462</v>
      </c>
      <c r="B659">
        <v>68</v>
      </c>
      <c r="C659" t="str">
        <f>IF(WilsonData[[#This Row],[Age]]&lt;=18, "0-18", IF(WilsonData[[#This Row],[Age]]&lt;=35,"19-35", IF(WilsonData[[#This Row],[Age]]&lt;=50, "36-50",IF(WilsonData[[#This Row],[Age]]&lt;=65,"51-65", " 66+"))))</f>
        <v xml:space="preserve"> 66+</v>
      </c>
      <c r="D659" t="s">
        <v>20</v>
      </c>
      <c r="E659" t="s">
        <v>34</v>
      </c>
      <c r="F659" t="s">
        <v>13</v>
      </c>
      <c r="G659" s="1">
        <v>45978</v>
      </c>
      <c r="H659" t="s">
        <v>36</v>
      </c>
      <c r="I659" s="2">
        <v>12749.99392567508</v>
      </c>
      <c r="J659">
        <v>497</v>
      </c>
      <c r="K659" t="s">
        <v>18</v>
      </c>
      <c r="L659" s="1">
        <v>45980</v>
      </c>
      <c r="M659" s="6">
        <f>WilsonData[[#This Row],[Discharge Date]]-WilsonData[[#This Row],[Date of Admission]]</f>
        <v>2</v>
      </c>
      <c r="N659" t="s">
        <v>31</v>
      </c>
    </row>
    <row r="660" spans="1:14" x14ac:dyDescent="0.35">
      <c r="A660" t="s">
        <v>1463</v>
      </c>
      <c r="B660">
        <v>38</v>
      </c>
      <c r="C660" t="str">
        <f>IF(WilsonData[[#This Row],[Age]]&lt;=18, "0-18", IF(WilsonData[[#This Row],[Age]]&lt;=35,"19-35", IF(WilsonData[[#This Row],[Age]]&lt;=50, "36-50",IF(WilsonData[[#This Row],[Age]]&lt;=65,"51-65", " 66+"))))</f>
        <v>36-50</v>
      </c>
      <c r="D660" t="s">
        <v>20</v>
      </c>
      <c r="E660" t="s">
        <v>16</v>
      </c>
      <c r="F660" t="s">
        <v>32</v>
      </c>
      <c r="G660" s="1">
        <v>45777</v>
      </c>
      <c r="H660" t="s">
        <v>39</v>
      </c>
      <c r="I660" s="2">
        <v>44400.354792576378</v>
      </c>
      <c r="J660">
        <v>153</v>
      </c>
      <c r="K660" t="s">
        <v>25</v>
      </c>
      <c r="L660" s="1">
        <v>45784</v>
      </c>
      <c r="M660" s="6">
        <f>WilsonData[[#This Row],[Discharge Date]]-WilsonData[[#This Row],[Date of Admission]]</f>
        <v>7</v>
      </c>
      <c r="N660" t="s">
        <v>19</v>
      </c>
    </row>
    <row r="661" spans="1:14" x14ac:dyDescent="0.35">
      <c r="A661" t="s">
        <v>1464</v>
      </c>
      <c r="B661">
        <v>78</v>
      </c>
      <c r="C661" t="str">
        <f>IF(WilsonData[[#This Row],[Age]]&lt;=18, "0-18", IF(WilsonData[[#This Row],[Age]]&lt;=35,"19-35", IF(WilsonData[[#This Row],[Age]]&lt;=50, "36-50",IF(WilsonData[[#This Row],[Age]]&lt;=65,"51-65", " 66+"))))</f>
        <v xml:space="preserve"> 66+</v>
      </c>
      <c r="D661" t="s">
        <v>20</v>
      </c>
      <c r="E661" t="s">
        <v>34</v>
      </c>
      <c r="F661" t="s">
        <v>32</v>
      </c>
      <c r="G661" s="1">
        <v>45964</v>
      </c>
      <c r="H661" t="s">
        <v>39</v>
      </c>
      <c r="I661" s="2">
        <v>24984.323711030938</v>
      </c>
      <c r="J661">
        <v>131</v>
      </c>
      <c r="K661" t="s">
        <v>25</v>
      </c>
      <c r="L661" s="1">
        <v>45975</v>
      </c>
      <c r="M661" s="6">
        <f>WilsonData[[#This Row],[Discharge Date]]-WilsonData[[#This Row],[Date of Admission]]</f>
        <v>11</v>
      </c>
      <c r="N661" t="s">
        <v>19</v>
      </c>
    </row>
    <row r="662" spans="1:14" x14ac:dyDescent="0.35">
      <c r="A662" t="s">
        <v>1465</v>
      </c>
      <c r="B662">
        <v>18</v>
      </c>
      <c r="C662" t="str">
        <f>IF(WilsonData[[#This Row],[Age]]&lt;=18, "0-18", IF(WilsonData[[#This Row],[Age]]&lt;=35,"19-35", IF(WilsonData[[#This Row],[Age]]&lt;=50, "36-50",IF(WilsonData[[#This Row],[Age]]&lt;=65,"51-65", " 66+"))))</f>
        <v>0-18</v>
      </c>
      <c r="D662" t="s">
        <v>11</v>
      </c>
      <c r="E662" t="s">
        <v>29</v>
      </c>
      <c r="F662" t="s">
        <v>24</v>
      </c>
      <c r="G662" s="1">
        <v>45985</v>
      </c>
      <c r="H662" t="s">
        <v>37</v>
      </c>
      <c r="I662" s="2">
        <v>41696.314514859689</v>
      </c>
      <c r="J662">
        <v>206</v>
      </c>
      <c r="K662" t="s">
        <v>25</v>
      </c>
      <c r="L662" s="1">
        <v>45999</v>
      </c>
      <c r="M662" s="6">
        <f>WilsonData[[#This Row],[Discharge Date]]-WilsonData[[#This Row],[Date of Admission]]</f>
        <v>14</v>
      </c>
      <c r="N662" t="s">
        <v>15</v>
      </c>
    </row>
    <row r="663" spans="1:14" x14ac:dyDescent="0.35">
      <c r="A663" t="s">
        <v>1466</v>
      </c>
      <c r="B663">
        <v>29</v>
      </c>
      <c r="C663" t="str">
        <f>IF(WilsonData[[#This Row],[Age]]&lt;=18, "0-18", IF(WilsonData[[#This Row],[Age]]&lt;=35,"19-35", IF(WilsonData[[#This Row],[Age]]&lt;=50, "36-50",IF(WilsonData[[#This Row],[Age]]&lt;=65,"51-65", " 66+"))))</f>
        <v>19-35</v>
      </c>
      <c r="D663" t="s">
        <v>11</v>
      </c>
      <c r="E663" t="s">
        <v>33</v>
      </c>
      <c r="F663" t="s">
        <v>32</v>
      </c>
      <c r="G663" s="1">
        <v>45954</v>
      </c>
      <c r="H663" t="s">
        <v>37</v>
      </c>
      <c r="I663" s="2">
        <v>39895.717557411277</v>
      </c>
      <c r="J663">
        <v>309</v>
      </c>
      <c r="K663" t="s">
        <v>18</v>
      </c>
      <c r="L663" s="1">
        <v>45964</v>
      </c>
      <c r="M663" s="6">
        <f>WilsonData[[#This Row],[Discharge Date]]-WilsonData[[#This Row],[Date of Admission]]</f>
        <v>10</v>
      </c>
      <c r="N663" t="s">
        <v>19</v>
      </c>
    </row>
    <row r="664" spans="1:14" x14ac:dyDescent="0.35">
      <c r="A664" t="s">
        <v>1467</v>
      </c>
      <c r="B664">
        <v>57</v>
      </c>
      <c r="C664" t="str">
        <f>IF(WilsonData[[#This Row],[Age]]&lt;=18, "0-18", IF(WilsonData[[#This Row],[Age]]&lt;=35,"19-35", IF(WilsonData[[#This Row],[Age]]&lt;=50, "36-50",IF(WilsonData[[#This Row],[Age]]&lt;=65,"51-65", " 66+"))))</f>
        <v>51-65</v>
      </c>
      <c r="D664" t="s">
        <v>11</v>
      </c>
      <c r="E664" t="s">
        <v>21</v>
      </c>
      <c r="F664" t="s">
        <v>32</v>
      </c>
      <c r="G664" s="1">
        <v>46021</v>
      </c>
      <c r="H664" t="s">
        <v>37</v>
      </c>
      <c r="I664" s="2">
        <v>14210.81732100748</v>
      </c>
      <c r="J664">
        <v>409</v>
      </c>
      <c r="K664" t="s">
        <v>18</v>
      </c>
      <c r="L664" s="1">
        <v>46022</v>
      </c>
      <c r="M664" s="6">
        <f>WilsonData[[#This Row],[Discharge Date]]-WilsonData[[#This Row],[Date of Admission]]</f>
        <v>1</v>
      </c>
      <c r="N664" t="s">
        <v>19</v>
      </c>
    </row>
    <row r="665" spans="1:14" x14ac:dyDescent="0.35">
      <c r="A665" t="s">
        <v>1468</v>
      </c>
      <c r="B665">
        <v>69</v>
      </c>
      <c r="C665" t="str">
        <f>IF(WilsonData[[#This Row],[Age]]&lt;=18, "0-18", IF(WilsonData[[#This Row],[Age]]&lt;=35,"19-35", IF(WilsonData[[#This Row],[Age]]&lt;=50, "36-50",IF(WilsonData[[#This Row],[Age]]&lt;=65,"51-65", " 66+"))))</f>
        <v xml:space="preserve"> 66+</v>
      </c>
      <c r="D665" t="s">
        <v>20</v>
      </c>
      <c r="E665" t="s">
        <v>33</v>
      </c>
      <c r="F665" t="s">
        <v>30</v>
      </c>
      <c r="G665" s="1">
        <v>45756</v>
      </c>
      <c r="H665" t="s">
        <v>36</v>
      </c>
      <c r="I665" s="2">
        <v>4588.7617031749778</v>
      </c>
      <c r="J665">
        <v>458</v>
      </c>
      <c r="K665" t="s">
        <v>18</v>
      </c>
      <c r="L665" s="1">
        <v>45760</v>
      </c>
      <c r="M665" s="6">
        <f>WilsonData[[#This Row],[Discharge Date]]-WilsonData[[#This Row],[Date of Admission]]</f>
        <v>4</v>
      </c>
      <c r="N665" t="s">
        <v>31</v>
      </c>
    </row>
    <row r="666" spans="1:14" x14ac:dyDescent="0.35">
      <c r="A666" t="s">
        <v>1469</v>
      </c>
      <c r="B666">
        <v>61</v>
      </c>
      <c r="C666" t="str">
        <f>IF(WilsonData[[#This Row],[Age]]&lt;=18, "0-18", IF(WilsonData[[#This Row],[Age]]&lt;=35,"19-35", IF(WilsonData[[#This Row],[Age]]&lt;=50, "36-50",IF(WilsonData[[#This Row],[Age]]&lt;=65,"51-65", " 66+"))))</f>
        <v>51-65</v>
      </c>
      <c r="D666" t="s">
        <v>11</v>
      </c>
      <c r="E666" t="s">
        <v>23</v>
      </c>
      <c r="F666" t="s">
        <v>28</v>
      </c>
      <c r="G666" s="1">
        <v>45993</v>
      </c>
      <c r="H666" t="s">
        <v>39</v>
      </c>
      <c r="I666" s="2">
        <v>19594.935743510759</v>
      </c>
      <c r="J666">
        <v>298</v>
      </c>
      <c r="K666" t="s">
        <v>25</v>
      </c>
      <c r="L666" s="1">
        <v>45995</v>
      </c>
      <c r="M666" s="6">
        <f>WilsonData[[#This Row],[Discharge Date]]-WilsonData[[#This Row],[Date of Admission]]</f>
        <v>2</v>
      </c>
      <c r="N666" t="s">
        <v>15</v>
      </c>
    </row>
    <row r="667" spans="1:14" x14ac:dyDescent="0.35">
      <c r="A667" t="s">
        <v>1470</v>
      </c>
      <c r="B667">
        <v>42</v>
      </c>
      <c r="C667" t="str">
        <f>IF(WilsonData[[#This Row],[Age]]&lt;=18, "0-18", IF(WilsonData[[#This Row],[Age]]&lt;=35,"19-35", IF(WilsonData[[#This Row],[Age]]&lt;=50, "36-50",IF(WilsonData[[#This Row],[Age]]&lt;=65,"51-65", " 66+"))))</f>
        <v>36-50</v>
      </c>
      <c r="D667" t="s">
        <v>11</v>
      </c>
      <c r="E667" t="s">
        <v>12</v>
      </c>
      <c r="F667" t="s">
        <v>28</v>
      </c>
      <c r="G667" s="1">
        <v>46001</v>
      </c>
      <c r="H667" t="s">
        <v>36</v>
      </c>
      <c r="I667" s="2">
        <v>6509.4034385260384</v>
      </c>
      <c r="J667">
        <v>138</v>
      </c>
      <c r="K667" t="s">
        <v>25</v>
      </c>
      <c r="L667" s="1">
        <v>46015</v>
      </c>
      <c r="M667" s="6">
        <f>WilsonData[[#This Row],[Discharge Date]]-WilsonData[[#This Row],[Date of Admission]]</f>
        <v>14</v>
      </c>
      <c r="N667" t="s">
        <v>22</v>
      </c>
    </row>
    <row r="668" spans="1:14" x14ac:dyDescent="0.35">
      <c r="A668" t="s">
        <v>1471</v>
      </c>
      <c r="B668">
        <v>64</v>
      </c>
      <c r="C668" t="str">
        <f>IF(WilsonData[[#This Row],[Age]]&lt;=18, "0-18", IF(WilsonData[[#This Row],[Age]]&lt;=35,"19-35", IF(WilsonData[[#This Row],[Age]]&lt;=50, "36-50",IF(WilsonData[[#This Row],[Age]]&lt;=65,"51-65", " 66+"))))</f>
        <v>51-65</v>
      </c>
      <c r="D668" t="s">
        <v>11</v>
      </c>
      <c r="E668" t="s">
        <v>16</v>
      </c>
      <c r="F668" t="s">
        <v>13</v>
      </c>
      <c r="G668" s="1">
        <v>45839</v>
      </c>
      <c r="H668" t="s">
        <v>37</v>
      </c>
      <c r="I668" s="2">
        <v>10535.861576210789</v>
      </c>
      <c r="J668">
        <v>102</v>
      </c>
      <c r="K668" t="s">
        <v>25</v>
      </c>
      <c r="L668" s="1">
        <v>45841</v>
      </c>
      <c r="M668" s="6">
        <f>WilsonData[[#This Row],[Discharge Date]]-WilsonData[[#This Row],[Date of Admission]]</f>
        <v>2</v>
      </c>
      <c r="N668" t="s">
        <v>31</v>
      </c>
    </row>
    <row r="669" spans="1:14" x14ac:dyDescent="0.35">
      <c r="A669" t="s">
        <v>1472</v>
      </c>
      <c r="B669">
        <v>64</v>
      </c>
      <c r="C669" t="str">
        <f>IF(WilsonData[[#This Row],[Age]]&lt;=18, "0-18", IF(WilsonData[[#This Row],[Age]]&lt;=35,"19-35", IF(WilsonData[[#This Row],[Age]]&lt;=50, "36-50",IF(WilsonData[[#This Row],[Age]]&lt;=65,"51-65", " 66+"))))</f>
        <v>51-65</v>
      </c>
      <c r="D669" t="s">
        <v>11</v>
      </c>
      <c r="E669" t="s">
        <v>33</v>
      </c>
      <c r="F669" t="s">
        <v>30</v>
      </c>
      <c r="G669" s="1">
        <v>45691</v>
      </c>
      <c r="H669" t="s">
        <v>36</v>
      </c>
      <c r="I669" s="2">
        <v>40981.967811910392</v>
      </c>
      <c r="J669">
        <v>443</v>
      </c>
      <c r="K669" t="s">
        <v>25</v>
      </c>
      <c r="L669" s="1">
        <v>45697</v>
      </c>
      <c r="M669" s="6">
        <f>WilsonData[[#This Row],[Discharge Date]]-WilsonData[[#This Row],[Date of Admission]]</f>
        <v>6</v>
      </c>
      <c r="N669" t="s">
        <v>22</v>
      </c>
    </row>
    <row r="670" spans="1:14" x14ac:dyDescent="0.35">
      <c r="A670" t="s">
        <v>1473</v>
      </c>
      <c r="B670">
        <v>43</v>
      </c>
      <c r="C670" t="str">
        <f>IF(WilsonData[[#This Row],[Age]]&lt;=18, "0-18", IF(WilsonData[[#This Row],[Age]]&lt;=35,"19-35", IF(WilsonData[[#This Row],[Age]]&lt;=50, "36-50",IF(WilsonData[[#This Row],[Age]]&lt;=65,"51-65", " 66+"))))</f>
        <v>36-50</v>
      </c>
      <c r="D670" t="s">
        <v>20</v>
      </c>
      <c r="E670" t="s">
        <v>34</v>
      </c>
      <c r="F670" t="s">
        <v>32</v>
      </c>
      <c r="G670" s="1">
        <v>45716</v>
      </c>
      <c r="H670" t="s">
        <v>39</v>
      </c>
      <c r="I670" s="2">
        <v>5918.0363643174678</v>
      </c>
      <c r="J670">
        <v>317</v>
      </c>
      <c r="K670" t="s">
        <v>25</v>
      </c>
      <c r="L670" s="1">
        <v>45730</v>
      </c>
      <c r="M670" s="6">
        <f>WilsonData[[#This Row],[Discharge Date]]-WilsonData[[#This Row],[Date of Admission]]</f>
        <v>14</v>
      </c>
      <c r="N670" t="s">
        <v>22</v>
      </c>
    </row>
    <row r="671" spans="1:14" x14ac:dyDescent="0.35">
      <c r="A671" t="s">
        <v>1474</v>
      </c>
      <c r="B671">
        <v>73</v>
      </c>
      <c r="C671" t="str">
        <f>IF(WilsonData[[#This Row],[Age]]&lt;=18, "0-18", IF(WilsonData[[#This Row],[Age]]&lt;=35,"19-35", IF(WilsonData[[#This Row],[Age]]&lt;=50, "36-50",IF(WilsonData[[#This Row],[Age]]&lt;=65,"51-65", " 66+"))))</f>
        <v xml:space="preserve"> 66+</v>
      </c>
      <c r="D671" t="s">
        <v>20</v>
      </c>
      <c r="E671" t="s">
        <v>34</v>
      </c>
      <c r="F671" t="s">
        <v>24</v>
      </c>
      <c r="G671" s="1">
        <v>45760</v>
      </c>
      <c r="H671" t="s">
        <v>39</v>
      </c>
      <c r="I671" s="2">
        <v>43866.882683449403</v>
      </c>
      <c r="J671">
        <v>314</v>
      </c>
      <c r="K671" t="s">
        <v>25</v>
      </c>
      <c r="L671" s="1">
        <v>45772</v>
      </c>
      <c r="M671" s="6">
        <f>WilsonData[[#This Row],[Discharge Date]]-WilsonData[[#This Row],[Date of Admission]]</f>
        <v>12</v>
      </c>
      <c r="N671" t="s">
        <v>27</v>
      </c>
    </row>
    <row r="672" spans="1:14" x14ac:dyDescent="0.35">
      <c r="A672" t="s">
        <v>1475</v>
      </c>
      <c r="B672">
        <v>37</v>
      </c>
      <c r="C672" t="str">
        <f>IF(WilsonData[[#This Row],[Age]]&lt;=18, "0-18", IF(WilsonData[[#This Row],[Age]]&lt;=35,"19-35", IF(WilsonData[[#This Row],[Age]]&lt;=50, "36-50",IF(WilsonData[[#This Row],[Age]]&lt;=65,"51-65", " 66+"))))</f>
        <v>36-50</v>
      </c>
      <c r="D672" t="s">
        <v>20</v>
      </c>
      <c r="E672" t="s">
        <v>23</v>
      </c>
      <c r="F672" t="s">
        <v>30</v>
      </c>
      <c r="G672" s="1">
        <v>45987</v>
      </c>
      <c r="H672" t="s">
        <v>36</v>
      </c>
      <c r="I672" s="2">
        <v>29713.25089335323</v>
      </c>
      <c r="J672">
        <v>471</v>
      </c>
      <c r="K672" t="s">
        <v>18</v>
      </c>
      <c r="L672" s="1">
        <v>45989</v>
      </c>
      <c r="M672" s="6">
        <f>WilsonData[[#This Row],[Discharge Date]]-WilsonData[[#This Row],[Date of Admission]]</f>
        <v>2</v>
      </c>
      <c r="N672" t="s">
        <v>22</v>
      </c>
    </row>
    <row r="673" spans="1:14" x14ac:dyDescent="0.35">
      <c r="A673" t="s">
        <v>1476</v>
      </c>
      <c r="B673">
        <v>32</v>
      </c>
      <c r="C673" t="str">
        <f>IF(WilsonData[[#This Row],[Age]]&lt;=18, "0-18", IF(WilsonData[[#This Row],[Age]]&lt;=35,"19-35", IF(WilsonData[[#This Row],[Age]]&lt;=50, "36-50",IF(WilsonData[[#This Row],[Age]]&lt;=65,"51-65", " 66+"))))</f>
        <v>19-35</v>
      </c>
      <c r="D673" t="s">
        <v>20</v>
      </c>
      <c r="E673" t="s">
        <v>33</v>
      </c>
      <c r="F673" t="s">
        <v>32</v>
      </c>
      <c r="G673" s="1">
        <v>45942</v>
      </c>
      <c r="H673" t="s">
        <v>36</v>
      </c>
      <c r="I673" s="2">
        <v>27684.046934404771</v>
      </c>
      <c r="J673">
        <v>283</v>
      </c>
      <c r="K673" t="s">
        <v>18</v>
      </c>
      <c r="L673" s="1">
        <v>45952</v>
      </c>
      <c r="M673" s="6">
        <f>WilsonData[[#This Row],[Discharge Date]]-WilsonData[[#This Row],[Date of Admission]]</f>
        <v>10</v>
      </c>
      <c r="N673" t="s">
        <v>19</v>
      </c>
    </row>
    <row r="674" spans="1:14" x14ac:dyDescent="0.35">
      <c r="A674" t="s">
        <v>1477</v>
      </c>
      <c r="B674">
        <v>21</v>
      </c>
      <c r="C674" t="str">
        <f>IF(WilsonData[[#This Row],[Age]]&lt;=18, "0-18", IF(WilsonData[[#This Row],[Age]]&lt;=35,"19-35", IF(WilsonData[[#This Row],[Age]]&lt;=50, "36-50",IF(WilsonData[[#This Row],[Age]]&lt;=65,"51-65", " 66+"))))</f>
        <v>19-35</v>
      </c>
      <c r="D674" t="s">
        <v>11</v>
      </c>
      <c r="E674" t="s">
        <v>21</v>
      </c>
      <c r="F674" t="s">
        <v>13</v>
      </c>
      <c r="G674" s="1">
        <v>45797</v>
      </c>
      <c r="H674" t="s">
        <v>38</v>
      </c>
      <c r="I674" s="2">
        <v>35709.072887239221</v>
      </c>
      <c r="J674">
        <v>284</v>
      </c>
      <c r="K674" t="s">
        <v>25</v>
      </c>
      <c r="L674" s="1">
        <v>45803</v>
      </c>
      <c r="M674" s="6">
        <f>WilsonData[[#This Row],[Discharge Date]]-WilsonData[[#This Row],[Date of Admission]]</f>
        <v>6</v>
      </c>
      <c r="N674" t="s">
        <v>15</v>
      </c>
    </row>
    <row r="675" spans="1:14" x14ac:dyDescent="0.35">
      <c r="A675" t="s">
        <v>1478</v>
      </c>
      <c r="B675">
        <v>46</v>
      </c>
      <c r="C675" t="str">
        <f>IF(WilsonData[[#This Row],[Age]]&lt;=18, "0-18", IF(WilsonData[[#This Row],[Age]]&lt;=35,"19-35", IF(WilsonData[[#This Row],[Age]]&lt;=50, "36-50",IF(WilsonData[[#This Row],[Age]]&lt;=65,"51-65", " 66+"))))</f>
        <v>36-50</v>
      </c>
      <c r="D675" t="s">
        <v>11</v>
      </c>
      <c r="E675" t="s">
        <v>34</v>
      </c>
      <c r="F675" t="s">
        <v>13</v>
      </c>
      <c r="G675" s="1">
        <v>45735</v>
      </c>
      <c r="H675" t="s">
        <v>38</v>
      </c>
      <c r="I675" s="2">
        <v>9434.7608310983924</v>
      </c>
      <c r="J675">
        <v>372</v>
      </c>
      <c r="K675" t="s">
        <v>25</v>
      </c>
      <c r="L675" s="1">
        <v>45748</v>
      </c>
      <c r="M675" s="6">
        <f>WilsonData[[#This Row],[Discharge Date]]-WilsonData[[#This Row],[Date of Admission]]</f>
        <v>13</v>
      </c>
      <c r="N675" t="s">
        <v>22</v>
      </c>
    </row>
    <row r="676" spans="1:14" x14ac:dyDescent="0.35">
      <c r="A676" t="s">
        <v>1479</v>
      </c>
      <c r="B676">
        <v>67</v>
      </c>
      <c r="C676" t="str">
        <f>IF(WilsonData[[#This Row],[Age]]&lt;=18, "0-18", IF(WilsonData[[#This Row],[Age]]&lt;=35,"19-35", IF(WilsonData[[#This Row],[Age]]&lt;=50, "36-50",IF(WilsonData[[#This Row],[Age]]&lt;=65,"51-65", " 66+"))))</f>
        <v xml:space="preserve"> 66+</v>
      </c>
      <c r="D676" t="s">
        <v>11</v>
      </c>
      <c r="E676" t="s">
        <v>34</v>
      </c>
      <c r="F676" t="s">
        <v>30</v>
      </c>
      <c r="G676" s="1">
        <v>45996</v>
      </c>
      <c r="H676" t="s">
        <v>39</v>
      </c>
      <c r="I676" s="2">
        <v>10755.694254043219</v>
      </c>
      <c r="J676">
        <v>190</v>
      </c>
      <c r="K676" t="s">
        <v>18</v>
      </c>
      <c r="L676" s="1">
        <v>46010</v>
      </c>
      <c r="M676" s="6">
        <f>WilsonData[[#This Row],[Discharge Date]]-WilsonData[[#This Row],[Date of Admission]]</f>
        <v>14</v>
      </c>
      <c r="N676" t="s">
        <v>22</v>
      </c>
    </row>
    <row r="677" spans="1:14" x14ac:dyDescent="0.35">
      <c r="A677" t="s">
        <v>1480</v>
      </c>
      <c r="B677">
        <v>61</v>
      </c>
      <c r="C677" t="str">
        <f>IF(WilsonData[[#This Row],[Age]]&lt;=18, "0-18", IF(WilsonData[[#This Row],[Age]]&lt;=35,"19-35", IF(WilsonData[[#This Row],[Age]]&lt;=50, "36-50",IF(WilsonData[[#This Row],[Age]]&lt;=65,"51-65", " 66+"))))</f>
        <v>51-65</v>
      </c>
      <c r="D677" t="s">
        <v>11</v>
      </c>
      <c r="E677" t="s">
        <v>26</v>
      </c>
      <c r="F677" t="s">
        <v>32</v>
      </c>
      <c r="G677" s="1">
        <v>45960</v>
      </c>
      <c r="H677" t="s">
        <v>39</v>
      </c>
      <c r="I677" s="2">
        <v>36260.227756632477</v>
      </c>
      <c r="J677">
        <v>463</v>
      </c>
      <c r="K677" t="s">
        <v>18</v>
      </c>
      <c r="L677" s="1">
        <v>45974</v>
      </c>
      <c r="M677" s="6">
        <f>WilsonData[[#This Row],[Discharge Date]]-WilsonData[[#This Row],[Date of Admission]]</f>
        <v>14</v>
      </c>
      <c r="N677" t="s">
        <v>19</v>
      </c>
    </row>
    <row r="678" spans="1:14" x14ac:dyDescent="0.35">
      <c r="A678" t="s">
        <v>1481</v>
      </c>
      <c r="B678">
        <v>24</v>
      </c>
      <c r="C678" t="str">
        <f>IF(WilsonData[[#This Row],[Age]]&lt;=18, "0-18", IF(WilsonData[[#This Row],[Age]]&lt;=35,"19-35", IF(WilsonData[[#This Row],[Age]]&lt;=50, "36-50",IF(WilsonData[[#This Row],[Age]]&lt;=65,"51-65", " 66+"))))</f>
        <v>19-35</v>
      </c>
      <c r="D678" t="s">
        <v>11</v>
      </c>
      <c r="E678" t="s">
        <v>16</v>
      </c>
      <c r="F678" t="s">
        <v>28</v>
      </c>
      <c r="G678" s="1">
        <v>45970</v>
      </c>
      <c r="H678" t="s">
        <v>38</v>
      </c>
      <c r="I678" s="2">
        <v>36980.612257696521</v>
      </c>
      <c r="J678">
        <v>476</v>
      </c>
      <c r="K678" t="s">
        <v>18</v>
      </c>
      <c r="L678" s="1">
        <v>45979</v>
      </c>
      <c r="M678" s="6">
        <f>WilsonData[[#This Row],[Discharge Date]]-WilsonData[[#This Row],[Date of Admission]]</f>
        <v>9</v>
      </c>
      <c r="N678" t="s">
        <v>15</v>
      </c>
    </row>
    <row r="679" spans="1:14" x14ac:dyDescent="0.35">
      <c r="A679" t="s">
        <v>1482</v>
      </c>
      <c r="B679">
        <v>19</v>
      </c>
      <c r="C679" t="str">
        <f>IF(WilsonData[[#This Row],[Age]]&lt;=18, "0-18", IF(WilsonData[[#This Row],[Age]]&lt;=35,"19-35", IF(WilsonData[[#This Row],[Age]]&lt;=50, "36-50",IF(WilsonData[[#This Row],[Age]]&lt;=65,"51-65", " 66+"))))</f>
        <v>19-35</v>
      </c>
      <c r="D679" t="s">
        <v>11</v>
      </c>
      <c r="E679" t="s">
        <v>33</v>
      </c>
      <c r="F679" t="s">
        <v>17</v>
      </c>
      <c r="G679" s="1">
        <v>45697</v>
      </c>
      <c r="H679" t="s">
        <v>38</v>
      </c>
      <c r="I679" s="2">
        <v>24251.869526322051</v>
      </c>
      <c r="J679">
        <v>170</v>
      </c>
      <c r="K679" t="s">
        <v>25</v>
      </c>
      <c r="L679" s="1">
        <v>45711</v>
      </c>
      <c r="M679" s="6">
        <f>WilsonData[[#This Row],[Discharge Date]]-WilsonData[[#This Row],[Date of Admission]]</f>
        <v>14</v>
      </c>
      <c r="N679" t="s">
        <v>31</v>
      </c>
    </row>
    <row r="680" spans="1:14" x14ac:dyDescent="0.35">
      <c r="A680" t="s">
        <v>1483</v>
      </c>
      <c r="B680">
        <v>59</v>
      </c>
      <c r="C680" t="str">
        <f>IF(WilsonData[[#This Row],[Age]]&lt;=18, "0-18", IF(WilsonData[[#This Row],[Age]]&lt;=35,"19-35", IF(WilsonData[[#This Row],[Age]]&lt;=50, "36-50",IF(WilsonData[[#This Row],[Age]]&lt;=65,"51-65", " 66+"))))</f>
        <v>51-65</v>
      </c>
      <c r="D680" t="s">
        <v>11</v>
      </c>
      <c r="E680" t="s">
        <v>12</v>
      </c>
      <c r="F680" t="s">
        <v>13</v>
      </c>
      <c r="G680" s="1">
        <v>45727</v>
      </c>
      <c r="H680" t="s">
        <v>38</v>
      </c>
      <c r="I680" s="2">
        <v>47329.720557022083</v>
      </c>
      <c r="J680">
        <v>388</v>
      </c>
      <c r="K680" t="s">
        <v>18</v>
      </c>
      <c r="L680" s="1">
        <v>45737</v>
      </c>
      <c r="M680" s="6">
        <f>WilsonData[[#This Row],[Discharge Date]]-WilsonData[[#This Row],[Date of Admission]]</f>
        <v>10</v>
      </c>
      <c r="N680" t="s">
        <v>19</v>
      </c>
    </row>
    <row r="681" spans="1:14" x14ac:dyDescent="0.35">
      <c r="A681" t="s">
        <v>1484</v>
      </c>
      <c r="B681">
        <v>53</v>
      </c>
      <c r="C681" t="str">
        <f>IF(WilsonData[[#This Row],[Age]]&lt;=18, "0-18", IF(WilsonData[[#This Row],[Age]]&lt;=35,"19-35", IF(WilsonData[[#This Row],[Age]]&lt;=50, "36-50",IF(WilsonData[[#This Row],[Age]]&lt;=65,"51-65", " 66+"))))</f>
        <v>51-65</v>
      </c>
      <c r="D681" t="s">
        <v>20</v>
      </c>
      <c r="E681" t="s">
        <v>23</v>
      </c>
      <c r="F681" t="s">
        <v>32</v>
      </c>
      <c r="G681" s="1">
        <v>45819</v>
      </c>
      <c r="H681" t="s">
        <v>39</v>
      </c>
      <c r="I681" s="2">
        <v>28518.913692902821</v>
      </c>
      <c r="J681">
        <v>235</v>
      </c>
      <c r="K681" t="s">
        <v>18</v>
      </c>
      <c r="L681" s="1">
        <v>45833</v>
      </c>
      <c r="M681" s="6">
        <f>WilsonData[[#This Row],[Discharge Date]]-WilsonData[[#This Row],[Date of Admission]]</f>
        <v>14</v>
      </c>
      <c r="N681" t="s">
        <v>27</v>
      </c>
    </row>
    <row r="682" spans="1:14" x14ac:dyDescent="0.35">
      <c r="A682" t="s">
        <v>1485</v>
      </c>
      <c r="B682">
        <v>52</v>
      </c>
      <c r="C682" t="str">
        <f>IF(WilsonData[[#This Row],[Age]]&lt;=18, "0-18", IF(WilsonData[[#This Row],[Age]]&lt;=35,"19-35", IF(WilsonData[[#This Row],[Age]]&lt;=50, "36-50",IF(WilsonData[[#This Row],[Age]]&lt;=65,"51-65", " 66+"))))</f>
        <v>51-65</v>
      </c>
      <c r="D682" t="s">
        <v>20</v>
      </c>
      <c r="E682" t="s">
        <v>12</v>
      </c>
      <c r="F682" t="s">
        <v>24</v>
      </c>
      <c r="G682" s="1">
        <v>45789</v>
      </c>
      <c r="H682" t="s">
        <v>38</v>
      </c>
      <c r="I682" s="2">
        <v>2725.3809771642909</v>
      </c>
      <c r="J682">
        <v>299</v>
      </c>
      <c r="K682" t="s">
        <v>25</v>
      </c>
      <c r="L682" s="1">
        <v>45800</v>
      </c>
      <c r="M682" s="6">
        <f>WilsonData[[#This Row],[Discharge Date]]-WilsonData[[#This Row],[Date of Admission]]</f>
        <v>11</v>
      </c>
      <c r="N682" t="s">
        <v>15</v>
      </c>
    </row>
    <row r="683" spans="1:14" x14ac:dyDescent="0.35">
      <c r="A683" t="s">
        <v>1486</v>
      </c>
      <c r="B683">
        <v>51</v>
      </c>
      <c r="C683" t="str">
        <f>IF(WilsonData[[#This Row],[Age]]&lt;=18, "0-18", IF(WilsonData[[#This Row],[Age]]&lt;=35,"19-35", IF(WilsonData[[#This Row],[Age]]&lt;=50, "36-50",IF(WilsonData[[#This Row],[Age]]&lt;=65,"51-65", " 66+"))))</f>
        <v>51-65</v>
      </c>
      <c r="D683" t="s">
        <v>20</v>
      </c>
      <c r="E683" t="s">
        <v>16</v>
      </c>
      <c r="F683" t="s">
        <v>13</v>
      </c>
      <c r="G683" s="1">
        <v>45835</v>
      </c>
      <c r="H683" t="s">
        <v>37</v>
      </c>
      <c r="I683" s="2">
        <v>6806.7415703531387</v>
      </c>
      <c r="J683">
        <v>432</v>
      </c>
      <c r="K683" t="s">
        <v>25</v>
      </c>
      <c r="L683" s="1">
        <v>45849</v>
      </c>
      <c r="M683" s="6">
        <f>WilsonData[[#This Row],[Discharge Date]]-WilsonData[[#This Row],[Date of Admission]]</f>
        <v>14</v>
      </c>
      <c r="N683" t="s">
        <v>15</v>
      </c>
    </row>
    <row r="684" spans="1:14" x14ac:dyDescent="0.35">
      <c r="A684" t="s">
        <v>1487</v>
      </c>
      <c r="B684">
        <v>24</v>
      </c>
      <c r="C684" t="str">
        <f>IF(WilsonData[[#This Row],[Age]]&lt;=18, "0-18", IF(WilsonData[[#This Row],[Age]]&lt;=35,"19-35", IF(WilsonData[[#This Row],[Age]]&lt;=50, "36-50",IF(WilsonData[[#This Row],[Age]]&lt;=65,"51-65", " 66+"))))</f>
        <v>19-35</v>
      </c>
      <c r="D684" t="s">
        <v>11</v>
      </c>
      <c r="E684" t="s">
        <v>29</v>
      </c>
      <c r="F684" t="s">
        <v>30</v>
      </c>
      <c r="G684" s="1">
        <v>45817</v>
      </c>
      <c r="H684" t="s">
        <v>38</v>
      </c>
      <c r="I684" s="2">
        <v>43735.184369034207</v>
      </c>
      <c r="J684">
        <v>379</v>
      </c>
      <c r="K684" t="s">
        <v>25</v>
      </c>
      <c r="L684" s="1">
        <v>45827</v>
      </c>
      <c r="M684" s="6">
        <f>WilsonData[[#This Row],[Discharge Date]]-WilsonData[[#This Row],[Date of Admission]]</f>
        <v>10</v>
      </c>
      <c r="N684" t="s">
        <v>15</v>
      </c>
    </row>
    <row r="685" spans="1:14" x14ac:dyDescent="0.35">
      <c r="A685" t="s">
        <v>1488</v>
      </c>
      <c r="B685">
        <v>33</v>
      </c>
      <c r="C685" t="str">
        <f>IF(WilsonData[[#This Row],[Age]]&lt;=18, "0-18", IF(WilsonData[[#This Row],[Age]]&lt;=35,"19-35", IF(WilsonData[[#This Row],[Age]]&lt;=50, "36-50",IF(WilsonData[[#This Row],[Age]]&lt;=65,"51-65", " 66+"))))</f>
        <v>19-35</v>
      </c>
      <c r="D685" t="s">
        <v>11</v>
      </c>
      <c r="E685" t="s">
        <v>26</v>
      </c>
      <c r="F685" t="s">
        <v>28</v>
      </c>
      <c r="G685" s="1">
        <v>45771</v>
      </c>
      <c r="H685" t="s">
        <v>38</v>
      </c>
      <c r="I685" s="2">
        <v>28990.573014721311</v>
      </c>
      <c r="J685">
        <v>286</v>
      </c>
      <c r="K685" t="s">
        <v>18</v>
      </c>
      <c r="L685" s="1">
        <v>45781</v>
      </c>
      <c r="M685" s="6">
        <f>WilsonData[[#This Row],[Discharge Date]]-WilsonData[[#This Row],[Date of Admission]]</f>
        <v>10</v>
      </c>
      <c r="N685" t="s">
        <v>22</v>
      </c>
    </row>
    <row r="686" spans="1:14" x14ac:dyDescent="0.35">
      <c r="A686" t="s">
        <v>1489</v>
      </c>
      <c r="B686">
        <v>33</v>
      </c>
      <c r="C686" t="str">
        <f>IF(WilsonData[[#This Row],[Age]]&lt;=18, "0-18", IF(WilsonData[[#This Row],[Age]]&lt;=35,"19-35", IF(WilsonData[[#This Row],[Age]]&lt;=50, "36-50",IF(WilsonData[[#This Row],[Age]]&lt;=65,"51-65", " 66+"))))</f>
        <v>19-35</v>
      </c>
      <c r="D686" t="s">
        <v>20</v>
      </c>
      <c r="E686" t="s">
        <v>12</v>
      </c>
      <c r="F686" t="s">
        <v>17</v>
      </c>
      <c r="G686" s="1">
        <v>45734</v>
      </c>
      <c r="H686" t="s">
        <v>36</v>
      </c>
      <c r="I686" s="2">
        <v>38270.31489433883</v>
      </c>
      <c r="J686">
        <v>178</v>
      </c>
      <c r="K686" t="s">
        <v>25</v>
      </c>
      <c r="L686" s="1">
        <v>45745</v>
      </c>
      <c r="M686" s="6">
        <f>WilsonData[[#This Row],[Discharge Date]]-WilsonData[[#This Row],[Date of Admission]]</f>
        <v>11</v>
      </c>
      <c r="N686" t="s">
        <v>19</v>
      </c>
    </row>
    <row r="687" spans="1:14" x14ac:dyDescent="0.35">
      <c r="A687" t="s">
        <v>1490</v>
      </c>
      <c r="B687">
        <v>72</v>
      </c>
      <c r="C687" t="str">
        <f>IF(WilsonData[[#This Row],[Age]]&lt;=18, "0-18", IF(WilsonData[[#This Row],[Age]]&lt;=35,"19-35", IF(WilsonData[[#This Row],[Age]]&lt;=50, "36-50",IF(WilsonData[[#This Row],[Age]]&lt;=65,"51-65", " 66+"))))</f>
        <v xml:space="preserve"> 66+</v>
      </c>
      <c r="D687" t="s">
        <v>20</v>
      </c>
      <c r="E687" t="s">
        <v>29</v>
      </c>
      <c r="F687" t="s">
        <v>30</v>
      </c>
      <c r="G687" s="1">
        <v>45808</v>
      </c>
      <c r="H687" t="s">
        <v>36</v>
      </c>
      <c r="I687" s="2">
        <v>47372.796713348907</v>
      </c>
      <c r="J687">
        <v>373</v>
      </c>
      <c r="K687" t="s">
        <v>25</v>
      </c>
      <c r="L687" s="1">
        <v>45815</v>
      </c>
      <c r="M687" s="6">
        <f>WilsonData[[#This Row],[Discharge Date]]-WilsonData[[#This Row],[Date of Admission]]</f>
        <v>7</v>
      </c>
      <c r="N687" t="s">
        <v>31</v>
      </c>
    </row>
    <row r="688" spans="1:14" x14ac:dyDescent="0.35">
      <c r="A688" t="s">
        <v>1491</v>
      </c>
      <c r="B688">
        <v>33</v>
      </c>
      <c r="C688" t="str">
        <f>IF(WilsonData[[#This Row],[Age]]&lt;=18, "0-18", IF(WilsonData[[#This Row],[Age]]&lt;=35,"19-35", IF(WilsonData[[#This Row],[Age]]&lt;=50, "36-50",IF(WilsonData[[#This Row],[Age]]&lt;=65,"51-65", " 66+"))))</f>
        <v>19-35</v>
      </c>
      <c r="D688" t="s">
        <v>11</v>
      </c>
      <c r="E688" t="s">
        <v>33</v>
      </c>
      <c r="F688" t="s">
        <v>30</v>
      </c>
      <c r="G688" s="1">
        <v>45889</v>
      </c>
      <c r="H688" t="s">
        <v>38</v>
      </c>
      <c r="I688" s="2">
        <v>36455.737490200263</v>
      </c>
      <c r="J688">
        <v>411</v>
      </c>
      <c r="K688" t="s">
        <v>18</v>
      </c>
      <c r="L688" s="1">
        <v>45891</v>
      </c>
      <c r="M688" s="6">
        <f>WilsonData[[#This Row],[Discharge Date]]-WilsonData[[#This Row],[Date of Admission]]</f>
        <v>2</v>
      </c>
      <c r="N688" t="s">
        <v>22</v>
      </c>
    </row>
    <row r="689" spans="1:14" x14ac:dyDescent="0.35">
      <c r="A689" t="s">
        <v>1492</v>
      </c>
      <c r="B689">
        <v>24</v>
      </c>
      <c r="C689" t="str">
        <f>IF(WilsonData[[#This Row],[Age]]&lt;=18, "0-18", IF(WilsonData[[#This Row],[Age]]&lt;=35,"19-35", IF(WilsonData[[#This Row],[Age]]&lt;=50, "36-50",IF(WilsonData[[#This Row],[Age]]&lt;=65,"51-65", " 66+"))))</f>
        <v>19-35</v>
      </c>
      <c r="D689" t="s">
        <v>20</v>
      </c>
      <c r="E689" t="s">
        <v>16</v>
      </c>
      <c r="F689" t="s">
        <v>24</v>
      </c>
      <c r="G689" s="1">
        <v>45734</v>
      </c>
      <c r="H689" t="s">
        <v>38</v>
      </c>
      <c r="I689" s="2">
        <v>7297.4709818187775</v>
      </c>
      <c r="J689">
        <v>442</v>
      </c>
      <c r="K689" t="s">
        <v>18</v>
      </c>
      <c r="L689" s="1">
        <v>45747</v>
      </c>
      <c r="M689" s="6">
        <f>WilsonData[[#This Row],[Discharge Date]]-WilsonData[[#This Row],[Date of Admission]]</f>
        <v>13</v>
      </c>
      <c r="N689" t="s">
        <v>19</v>
      </c>
    </row>
    <row r="690" spans="1:14" x14ac:dyDescent="0.35">
      <c r="A690" t="s">
        <v>1493</v>
      </c>
      <c r="B690">
        <v>37</v>
      </c>
      <c r="C690" t="str">
        <f>IF(WilsonData[[#This Row],[Age]]&lt;=18, "0-18", IF(WilsonData[[#This Row],[Age]]&lt;=35,"19-35", IF(WilsonData[[#This Row],[Age]]&lt;=50, "36-50",IF(WilsonData[[#This Row],[Age]]&lt;=65,"51-65", " 66+"))))</f>
        <v>36-50</v>
      </c>
      <c r="D690" t="s">
        <v>20</v>
      </c>
      <c r="E690" t="s">
        <v>12</v>
      </c>
      <c r="F690" t="s">
        <v>13</v>
      </c>
      <c r="G690" s="1">
        <v>45957</v>
      </c>
      <c r="H690" t="s">
        <v>39</v>
      </c>
      <c r="I690" s="2">
        <v>22754.692130789739</v>
      </c>
      <c r="J690">
        <v>247</v>
      </c>
      <c r="K690" t="s">
        <v>25</v>
      </c>
      <c r="L690" s="1">
        <v>45965</v>
      </c>
      <c r="M690" s="6">
        <f>WilsonData[[#This Row],[Discharge Date]]-WilsonData[[#This Row],[Date of Admission]]</f>
        <v>8</v>
      </c>
      <c r="N690" t="s">
        <v>19</v>
      </c>
    </row>
    <row r="691" spans="1:14" x14ac:dyDescent="0.35">
      <c r="A691" t="s">
        <v>1494</v>
      </c>
      <c r="B691">
        <v>82</v>
      </c>
      <c r="C691" t="str">
        <f>IF(WilsonData[[#This Row],[Age]]&lt;=18, "0-18", IF(WilsonData[[#This Row],[Age]]&lt;=35,"19-35", IF(WilsonData[[#This Row],[Age]]&lt;=50, "36-50",IF(WilsonData[[#This Row],[Age]]&lt;=65,"51-65", " 66+"))))</f>
        <v xml:space="preserve"> 66+</v>
      </c>
      <c r="D691" t="s">
        <v>20</v>
      </c>
      <c r="E691" t="s">
        <v>33</v>
      </c>
      <c r="F691" t="s">
        <v>13</v>
      </c>
      <c r="G691" s="1">
        <v>45973</v>
      </c>
      <c r="H691" t="s">
        <v>38</v>
      </c>
      <c r="I691" s="2">
        <v>22784.134768700638</v>
      </c>
      <c r="J691">
        <v>475</v>
      </c>
      <c r="K691" t="s">
        <v>18</v>
      </c>
      <c r="L691" s="1">
        <v>45985</v>
      </c>
      <c r="M691" s="6">
        <f>WilsonData[[#This Row],[Discharge Date]]-WilsonData[[#This Row],[Date of Admission]]</f>
        <v>12</v>
      </c>
      <c r="N691" t="s">
        <v>19</v>
      </c>
    </row>
    <row r="692" spans="1:14" x14ac:dyDescent="0.35">
      <c r="A692" t="s">
        <v>1495</v>
      </c>
      <c r="B692">
        <v>17</v>
      </c>
      <c r="C692" t="str">
        <f>IF(WilsonData[[#This Row],[Age]]&lt;=18, "0-18", IF(WilsonData[[#This Row],[Age]]&lt;=35,"19-35", IF(WilsonData[[#This Row],[Age]]&lt;=50, "36-50",IF(WilsonData[[#This Row],[Age]]&lt;=65,"51-65", " 66+"))))</f>
        <v>0-18</v>
      </c>
      <c r="D692" t="s">
        <v>20</v>
      </c>
      <c r="E692" t="s">
        <v>21</v>
      </c>
      <c r="F692" t="s">
        <v>32</v>
      </c>
      <c r="G692" s="1">
        <v>45775</v>
      </c>
      <c r="H692" t="s">
        <v>39</v>
      </c>
      <c r="I692" s="2">
        <v>37591.085670777436</v>
      </c>
      <c r="J692">
        <v>336</v>
      </c>
      <c r="K692" t="s">
        <v>25</v>
      </c>
      <c r="L692" s="1">
        <v>45780</v>
      </c>
      <c r="M692" s="6">
        <f>WilsonData[[#This Row],[Discharge Date]]-WilsonData[[#This Row],[Date of Admission]]</f>
        <v>5</v>
      </c>
      <c r="N692" t="s">
        <v>22</v>
      </c>
    </row>
    <row r="693" spans="1:14" x14ac:dyDescent="0.35">
      <c r="A693" t="s">
        <v>1496</v>
      </c>
      <c r="B693">
        <v>55</v>
      </c>
      <c r="C693" t="str">
        <f>IF(WilsonData[[#This Row],[Age]]&lt;=18, "0-18", IF(WilsonData[[#This Row],[Age]]&lt;=35,"19-35", IF(WilsonData[[#This Row],[Age]]&lt;=50, "36-50",IF(WilsonData[[#This Row],[Age]]&lt;=65,"51-65", " 66+"))))</f>
        <v>51-65</v>
      </c>
      <c r="D693" t="s">
        <v>20</v>
      </c>
      <c r="E693" t="s">
        <v>26</v>
      </c>
      <c r="F693" t="s">
        <v>28</v>
      </c>
      <c r="G693" s="1">
        <v>45722</v>
      </c>
      <c r="H693" t="s">
        <v>36</v>
      </c>
      <c r="I693" s="2">
        <v>44415.218284627997</v>
      </c>
      <c r="J693">
        <v>136</v>
      </c>
      <c r="K693" t="s">
        <v>18</v>
      </c>
      <c r="L693" s="1">
        <v>45727</v>
      </c>
      <c r="M693" s="6">
        <f>WilsonData[[#This Row],[Discharge Date]]-WilsonData[[#This Row],[Date of Admission]]</f>
        <v>5</v>
      </c>
      <c r="N693" t="s">
        <v>31</v>
      </c>
    </row>
    <row r="694" spans="1:14" x14ac:dyDescent="0.35">
      <c r="A694" t="s">
        <v>1497</v>
      </c>
      <c r="B694">
        <v>46</v>
      </c>
      <c r="C694" t="str">
        <f>IF(WilsonData[[#This Row],[Age]]&lt;=18, "0-18", IF(WilsonData[[#This Row],[Age]]&lt;=35,"19-35", IF(WilsonData[[#This Row],[Age]]&lt;=50, "36-50",IF(WilsonData[[#This Row],[Age]]&lt;=65,"51-65", " 66+"))))</f>
        <v>36-50</v>
      </c>
      <c r="D694" t="s">
        <v>20</v>
      </c>
      <c r="E694" t="s">
        <v>16</v>
      </c>
      <c r="F694" t="s">
        <v>30</v>
      </c>
      <c r="G694" s="1">
        <v>45939</v>
      </c>
      <c r="H694" t="s">
        <v>37</v>
      </c>
      <c r="I694" s="2">
        <v>3350.4955204913449</v>
      </c>
      <c r="J694">
        <v>359</v>
      </c>
      <c r="K694" t="s">
        <v>25</v>
      </c>
      <c r="L694" s="1">
        <v>45949</v>
      </c>
      <c r="M694" s="6">
        <f>WilsonData[[#This Row],[Discharge Date]]-WilsonData[[#This Row],[Date of Admission]]</f>
        <v>10</v>
      </c>
      <c r="N694" t="s">
        <v>15</v>
      </c>
    </row>
    <row r="695" spans="1:14" x14ac:dyDescent="0.35">
      <c r="A695" t="s">
        <v>1498</v>
      </c>
      <c r="B695">
        <v>37</v>
      </c>
      <c r="C695" t="str">
        <f>IF(WilsonData[[#This Row],[Age]]&lt;=18, "0-18", IF(WilsonData[[#This Row],[Age]]&lt;=35,"19-35", IF(WilsonData[[#This Row],[Age]]&lt;=50, "36-50",IF(WilsonData[[#This Row],[Age]]&lt;=65,"51-65", " 66+"))))</f>
        <v>36-50</v>
      </c>
      <c r="D695" t="s">
        <v>20</v>
      </c>
      <c r="E695" t="s">
        <v>21</v>
      </c>
      <c r="F695" t="s">
        <v>13</v>
      </c>
      <c r="G695" s="1">
        <v>45847</v>
      </c>
      <c r="H695" t="s">
        <v>39</v>
      </c>
      <c r="I695" s="2">
        <v>31446.97447647938</v>
      </c>
      <c r="J695">
        <v>357</v>
      </c>
      <c r="K695" t="s">
        <v>18</v>
      </c>
      <c r="L695" s="1">
        <v>45854</v>
      </c>
      <c r="M695" s="6">
        <f>WilsonData[[#This Row],[Discharge Date]]-WilsonData[[#This Row],[Date of Admission]]</f>
        <v>7</v>
      </c>
      <c r="N695" t="s">
        <v>22</v>
      </c>
    </row>
    <row r="696" spans="1:14" x14ac:dyDescent="0.35">
      <c r="A696" t="s">
        <v>1499</v>
      </c>
      <c r="B696">
        <v>44</v>
      </c>
      <c r="C696" t="str">
        <f>IF(WilsonData[[#This Row],[Age]]&lt;=18, "0-18", IF(WilsonData[[#This Row],[Age]]&lt;=35,"19-35", IF(WilsonData[[#This Row],[Age]]&lt;=50, "36-50",IF(WilsonData[[#This Row],[Age]]&lt;=65,"51-65", " 66+"))))</f>
        <v>36-50</v>
      </c>
      <c r="D696" t="s">
        <v>11</v>
      </c>
      <c r="E696" t="s">
        <v>12</v>
      </c>
      <c r="F696" t="s">
        <v>17</v>
      </c>
      <c r="G696" s="1">
        <v>45804</v>
      </c>
      <c r="H696" t="s">
        <v>37</v>
      </c>
      <c r="I696" s="2">
        <v>25682.536853059471</v>
      </c>
      <c r="J696">
        <v>487</v>
      </c>
      <c r="K696" t="s">
        <v>18</v>
      </c>
      <c r="L696" s="1">
        <v>45811</v>
      </c>
      <c r="M696" s="6">
        <f>WilsonData[[#This Row],[Discharge Date]]-WilsonData[[#This Row],[Date of Admission]]</f>
        <v>7</v>
      </c>
      <c r="N696" t="s">
        <v>22</v>
      </c>
    </row>
    <row r="697" spans="1:14" x14ac:dyDescent="0.35">
      <c r="A697" t="s">
        <v>1500</v>
      </c>
      <c r="B697">
        <v>28</v>
      </c>
      <c r="C697" t="str">
        <f>IF(WilsonData[[#This Row],[Age]]&lt;=18, "0-18", IF(WilsonData[[#This Row],[Age]]&lt;=35,"19-35", IF(WilsonData[[#This Row],[Age]]&lt;=50, "36-50",IF(WilsonData[[#This Row],[Age]]&lt;=65,"51-65", " 66+"))))</f>
        <v>19-35</v>
      </c>
      <c r="D697" t="s">
        <v>11</v>
      </c>
      <c r="E697" t="s">
        <v>23</v>
      </c>
      <c r="F697" t="s">
        <v>32</v>
      </c>
      <c r="G697" s="1">
        <v>45993</v>
      </c>
      <c r="H697" t="s">
        <v>39</v>
      </c>
      <c r="I697" s="2">
        <v>8820.6889830290002</v>
      </c>
      <c r="J697">
        <v>334</v>
      </c>
      <c r="K697" t="s">
        <v>18</v>
      </c>
      <c r="L697" s="1">
        <v>45994</v>
      </c>
      <c r="M697" s="6">
        <f>WilsonData[[#This Row],[Discharge Date]]-WilsonData[[#This Row],[Date of Admission]]</f>
        <v>1</v>
      </c>
      <c r="N697" t="s">
        <v>15</v>
      </c>
    </row>
    <row r="698" spans="1:14" x14ac:dyDescent="0.35">
      <c r="A698" t="s">
        <v>1501</v>
      </c>
      <c r="B698">
        <v>43</v>
      </c>
      <c r="C698" t="str">
        <f>IF(WilsonData[[#This Row],[Age]]&lt;=18, "0-18", IF(WilsonData[[#This Row],[Age]]&lt;=35,"19-35", IF(WilsonData[[#This Row],[Age]]&lt;=50, "36-50",IF(WilsonData[[#This Row],[Age]]&lt;=65,"51-65", " 66+"))))</f>
        <v>36-50</v>
      </c>
      <c r="D698" t="s">
        <v>20</v>
      </c>
      <c r="E698" t="s">
        <v>21</v>
      </c>
      <c r="F698" t="s">
        <v>13</v>
      </c>
      <c r="G698" s="1">
        <v>45693</v>
      </c>
      <c r="H698" t="s">
        <v>39</v>
      </c>
      <c r="I698" s="2">
        <v>-68.319620761113356</v>
      </c>
      <c r="J698">
        <v>288</v>
      </c>
      <c r="K698" t="s">
        <v>18</v>
      </c>
      <c r="L698" s="1">
        <v>45695</v>
      </c>
      <c r="M698" s="6">
        <f>WilsonData[[#This Row],[Discharge Date]]-WilsonData[[#This Row],[Date of Admission]]</f>
        <v>2</v>
      </c>
      <c r="N698" t="s">
        <v>19</v>
      </c>
    </row>
    <row r="699" spans="1:14" x14ac:dyDescent="0.35">
      <c r="A699" t="s">
        <v>1502</v>
      </c>
      <c r="B699">
        <v>19</v>
      </c>
      <c r="C699" t="str">
        <f>IF(WilsonData[[#This Row],[Age]]&lt;=18, "0-18", IF(WilsonData[[#This Row],[Age]]&lt;=35,"19-35", IF(WilsonData[[#This Row],[Age]]&lt;=50, "36-50",IF(WilsonData[[#This Row],[Age]]&lt;=65,"51-65", " 66+"))))</f>
        <v>19-35</v>
      </c>
      <c r="D699" t="s">
        <v>20</v>
      </c>
      <c r="E699" t="s">
        <v>23</v>
      </c>
      <c r="F699" t="s">
        <v>30</v>
      </c>
      <c r="G699" s="1">
        <v>45869</v>
      </c>
      <c r="H699" t="s">
        <v>37</v>
      </c>
      <c r="I699" s="2">
        <v>42157.22298233107</v>
      </c>
      <c r="J699">
        <v>149</v>
      </c>
      <c r="K699" t="s">
        <v>25</v>
      </c>
      <c r="L699" s="1">
        <v>45881</v>
      </c>
      <c r="M699" s="6">
        <f>WilsonData[[#This Row],[Discharge Date]]-WilsonData[[#This Row],[Date of Admission]]</f>
        <v>12</v>
      </c>
      <c r="N699" t="s">
        <v>31</v>
      </c>
    </row>
    <row r="700" spans="1:14" x14ac:dyDescent="0.35">
      <c r="A700" t="s">
        <v>1503</v>
      </c>
      <c r="B700">
        <v>74</v>
      </c>
      <c r="C700" t="str">
        <f>IF(WilsonData[[#This Row],[Age]]&lt;=18, "0-18", IF(WilsonData[[#This Row],[Age]]&lt;=35,"19-35", IF(WilsonData[[#This Row],[Age]]&lt;=50, "36-50",IF(WilsonData[[#This Row],[Age]]&lt;=65,"51-65", " 66+"))))</f>
        <v xml:space="preserve"> 66+</v>
      </c>
      <c r="D700" t="s">
        <v>11</v>
      </c>
      <c r="E700" t="s">
        <v>26</v>
      </c>
      <c r="F700" t="s">
        <v>17</v>
      </c>
      <c r="G700" s="1">
        <v>45859</v>
      </c>
      <c r="H700" t="s">
        <v>36</v>
      </c>
      <c r="I700" s="2">
        <v>-1310.272894708412</v>
      </c>
      <c r="J700">
        <v>257</v>
      </c>
      <c r="K700" t="s">
        <v>25</v>
      </c>
      <c r="L700" s="1">
        <v>45872</v>
      </c>
      <c r="M700" s="6">
        <f>WilsonData[[#This Row],[Discharge Date]]-WilsonData[[#This Row],[Date of Admission]]</f>
        <v>13</v>
      </c>
      <c r="N700" t="s">
        <v>15</v>
      </c>
    </row>
    <row r="701" spans="1:14" x14ac:dyDescent="0.35">
      <c r="A701" t="s">
        <v>1504</v>
      </c>
      <c r="B701">
        <v>40</v>
      </c>
      <c r="C701" t="str">
        <f>IF(WilsonData[[#This Row],[Age]]&lt;=18, "0-18", IF(WilsonData[[#This Row],[Age]]&lt;=35,"19-35", IF(WilsonData[[#This Row],[Age]]&lt;=50, "36-50",IF(WilsonData[[#This Row],[Age]]&lt;=65,"51-65", " 66+"))))</f>
        <v>36-50</v>
      </c>
      <c r="D701" t="s">
        <v>20</v>
      </c>
      <c r="E701" t="s">
        <v>21</v>
      </c>
      <c r="F701" t="s">
        <v>32</v>
      </c>
      <c r="G701" s="1">
        <v>45931</v>
      </c>
      <c r="H701" t="s">
        <v>36</v>
      </c>
      <c r="I701" s="2">
        <v>4781.9446624751045</v>
      </c>
      <c r="J701">
        <v>392</v>
      </c>
      <c r="K701" t="s">
        <v>18</v>
      </c>
      <c r="L701" s="1">
        <v>45938</v>
      </c>
      <c r="M701" s="6">
        <f>WilsonData[[#This Row],[Discharge Date]]-WilsonData[[#This Row],[Date of Admission]]</f>
        <v>7</v>
      </c>
      <c r="N701" t="s">
        <v>22</v>
      </c>
    </row>
    <row r="702" spans="1:14" x14ac:dyDescent="0.35">
      <c r="A702" t="s">
        <v>1505</v>
      </c>
      <c r="B702">
        <v>35</v>
      </c>
      <c r="C702" t="str">
        <f>IF(WilsonData[[#This Row],[Age]]&lt;=18, "0-18", IF(WilsonData[[#This Row],[Age]]&lt;=35,"19-35", IF(WilsonData[[#This Row],[Age]]&lt;=50, "36-50",IF(WilsonData[[#This Row],[Age]]&lt;=65,"51-65", " 66+"))))</f>
        <v>19-35</v>
      </c>
      <c r="D702" t="s">
        <v>11</v>
      </c>
      <c r="E702" t="s">
        <v>33</v>
      </c>
      <c r="F702" t="s">
        <v>17</v>
      </c>
      <c r="G702" s="1">
        <v>45714</v>
      </c>
      <c r="H702" t="s">
        <v>37</v>
      </c>
      <c r="I702" s="2">
        <v>12961.37254976216</v>
      </c>
      <c r="J702">
        <v>403</v>
      </c>
      <c r="K702" t="s">
        <v>18</v>
      </c>
      <c r="L702" s="1">
        <v>45718</v>
      </c>
      <c r="M702" s="6">
        <f>WilsonData[[#This Row],[Discharge Date]]-WilsonData[[#This Row],[Date of Admission]]</f>
        <v>4</v>
      </c>
      <c r="N702" t="s">
        <v>31</v>
      </c>
    </row>
    <row r="703" spans="1:14" x14ac:dyDescent="0.35">
      <c r="A703" t="s">
        <v>1506</v>
      </c>
      <c r="B703">
        <v>64</v>
      </c>
      <c r="C703" t="str">
        <f>IF(WilsonData[[#This Row],[Age]]&lt;=18, "0-18", IF(WilsonData[[#This Row],[Age]]&lt;=35,"19-35", IF(WilsonData[[#This Row],[Age]]&lt;=50, "36-50",IF(WilsonData[[#This Row],[Age]]&lt;=65,"51-65", " 66+"))))</f>
        <v>51-65</v>
      </c>
      <c r="D703" t="s">
        <v>20</v>
      </c>
      <c r="E703" t="s">
        <v>26</v>
      </c>
      <c r="F703" t="s">
        <v>30</v>
      </c>
      <c r="G703" s="1">
        <v>45944</v>
      </c>
      <c r="H703" t="s">
        <v>37</v>
      </c>
      <c r="I703" s="2">
        <v>20577.708926659619</v>
      </c>
      <c r="J703">
        <v>387</v>
      </c>
      <c r="K703" t="s">
        <v>25</v>
      </c>
      <c r="L703" s="1">
        <v>45945</v>
      </c>
      <c r="M703" s="6">
        <f>WilsonData[[#This Row],[Discharge Date]]-WilsonData[[#This Row],[Date of Admission]]</f>
        <v>1</v>
      </c>
      <c r="N703" t="s">
        <v>27</v>
      </c>
    </row>
    <row r="704" spans="1:14" x14ac:dyDescent="0.35">
      <c r="A704" t="s">
        <v>1507</v>
      </c>
      <c r="B704">
        <v>36</v>
      </c>
      <c r="C704" t="str">
        <f>IF(WilsonData[[#This Row],[Age]]&lt;=18, "0-18", IF(WilsonData[[#This Row],[Age]]&lt;=35,"19-35", IF(WilsonData[[#This Row],[Age]]&lt;=50, "36-50",IF(WilsonData[[#This Row],[Age]]&lt;=65,"51-65", " 66+"))))</f>
        <v>36-50</v>
      </c>
      <c r="D704" t="s">
        <v>20</v>
      </c>
      <c r="E704" t="s">
        <v>16</v>
      </c>
      <c r="F704" t="s">
        <v>28</v>
      </c>
      <c r="G704" s="1">
        <v>45876</v>
      </c>
      <c r="H704" t="s">
        <v>36</v>
      </c>
      <c r="I704" s="2">
        <v>45726.142715749193</v>
      </c>
      <c r="J704">
        <v>487</v>
      </c>
      <c r="K704" t="s">
        <v>25</v>
      </c>
      <c r="L704" s="1">
        <v>45886</v>
      </c>
      <c r="M704" s="6">
        <f>WilsonData[[#This Row],[Discharge Date]]-WilsonData[[#This Row],[Date of Admission]]</f>
        <v>10</v>
      </c>
      <c r="N704" t="s">
        <v>27</v>
      </c>
    </row>
    <row r="705" spans="1:14" x14ac:dyDescent="0.35">
      <c r="A705" t="s">
        <v>1508</v>
      </c>
      <c r="B705">
        <v>47</v>
      </c>
      <c r="C705" t="str">
        <f>IF(WilsonData[[#This Row],[Age]]&lt;=18, "0-18", IF(WilsonData[[#This Row],[Age]]&lt;=35,"19-35", IF(WilsonData[[#This Row],[Age]]&lt;=50, "36-50",IF(WilsonData[[#This Row],[Age]]&lt;=65,"51-65", " 66+"))))</f>
        <v>36-50</v>
      </c>
      <c r="D705" t="s">
        <v>20</v>
      </c>
      <c r="E705" t="s">
        <v>34</v>
      </c>
      <c r="F705" t="s">
        <v>17</v>
      </c>
      <c r="G705" s="1">
        <v>45827</v>
      </c>
      <c r="H705" t="s">
        <v>38</v>
      </c>
      <c r="I705" s="2">
        <v>38683.446827763008</v>
      </c>
      <c r="J705">
        <v>418</v>
      </c>
      <c r="K705" t="s">
        <v>25</v>
      </c>
      <c r="L705" s="1">
        <v>45832</v>
      </c>
      <c r="M705" s="6">
        <f>WilsonData[[#This Row],[Discharge Date]]-WilsonData[[#This Row],[Date of Admission]]</f>
        <v>5</v>
      </c>
      <c r="N705" t="s">
        <v>15</v>
      </c>
    </row>
    <row r="706" spans="1:14" x14ac:dyDescent="0.35">
      <c r="A706" t="s">
        <v>1509</v>
      </c>
      <c r="B706">
        <v>25</v>
      </c>
      <c r="C706" t="str">
        <f>IF(WilsonData[[#This Row],[Age]]&lt;=18, "0-18", IF(WilsonData[[#This Row],[Age]]&lt;=35,"19-35", IF(WilsonData[[#This Row],[Age]]&lt;=50, "36-50",IF(WilsonData[[#This Row],[Age]]&lt;=65,"51-65", " 66+"))))</f>
        <v>19-35</v>
      </c>
      <c r="D706" t="s">
        <v>20</v>
      </c>
      <c r="E706" t="s">
        <v>16</v>
      </c>
      <c r="F706" t="s">
        <v>13</v>
      </c>
      <c r="G706" s="1">
        <v>45974</v>
      </c>
      <c r="H706" t="s">
        <v>37</v>
      </c>
      <c r="I706" s="2">
        <v>25911.352007590551</v>
      </c>
      <c r="J706">
        <v>343</v>
      </c>
      <c r="K706" t="s">
        <v>18</v>
      </c>
      <c r="L706" s="1">
        <v>45984</v>
      </c>
      <c r="M706" s="6">
        <f>WilsonData[[#This Row],[Discharge Date]]-WilsonData[[#This Row],[Date of Admission]]</f>
        <v>10</v>
      </c>
      <c r="N706" t="s">
        <v>22</v>
      </c>
    </row>
    <row r="707" spans="1:14" x14ac:dyDescent="0.35">
      <c r="A707" t="s">
        <v>1510</v>
      </c>
      <c r="B707">
        <v>33</v>
      </c>
      <c r="C707" t="str">
        <f>IF(WilsonData[[#This Row],[Age]]&lt;=18, "0-18", IF(WilsonData[[#This Row],[Age]]&lt;=35,"19-35", IF(WilsonData[[#This Row],[Age]]&lt;=50, "36-50",IF(WilsonData[[#This Row],[Age]]&lt;=65,"51-65", " 66+"))))</f>
        <v>19-35</v>
      </c>
      <c r="D707" t="s">
        <v>11</v>
      </c>
      <c r="E707" t="s">
        <v>12</v>
      </c>
      <c r="F707" t="s">
        <v>28</v>
      </c>
      <c r="G707" s="1">
        <v>45958</v>
      </c>
      <c r="H707" t="s">
        <v>37</v>
      </c>
      <c r="I707" s="2">
        <v>46504.061232192696</v>
      </c>
      <c r="J707">
        <v>433</v>
      </c>
      <c r="K707" t="s">
        <v>18</v>
      </c>
      <c r="L707" s="1">
        <v>45961</v>
      </c>
      <c r="M707" s="6">
        <f>WilsonData[[#This Row],[Discharge Date]]-WilsonData[[#This Row],[Date of Admission]]</f>
        <v>3</v>
      </c>
      <c r="N707" t="s">
        <v>19</v>
      </c>
    </row>
    <row r="708" spans="1:14" x14ac:dyDescent="0.35">
      <c r="A708" t="s">
        <v>1511</v>
      </c>
      <c r="B708">
        <v>41</v>
      </c>
      <c r="C708" t="str">
        <f>IF(WilsonData[[#This Row],[Age]]&lt;=18, "0-18", IF(WilsonData[[#This Row],[Age]]&lt;=35,"19-35", IF(WilsonData[[#This Row],[Age]]&lt;=50, "36-50",IF(WilsonData[[#This Row],[Age]]&lt;=65,"51-65", " 66+"))))</f>
        <v>36-50</v>
      </c>
      <c r="D708" t="s">
        <v>11</v>
      </c>
      <c r="E708" t="s">
        <v>33</v>
      </c>
      <c r="F708" t="s">
        <v>28</v>
      </c>
      <c r="G708" s="1">
        <v>45724</v>
      </c>
      <c r="H708" t="s">
        <v>39</v>
      </c>
      <c r="I708" s="2">
        <v>13127.33995354016</v>
      </c>
      <c r="J708">
        <v>436</v>
      </c>
      <c r="K708" t="s">
        <v>25</v>
      </c>
      <c r="L708" s="1">
        <v>45731</v>
      </c>
      <c r="M708" s="6">
        <f>WilsonData[[#This Row],[Discharge Date]]-WilsonData[[#This Row],[Date of Admission]]</f>
        <v>7</v>
      </c>
      <c r="N708" t="s">
        <v>22</v>
      </c>
    </row>
    <row r="709" spans="1:14" x14ac:dyDescent="0.35">
      <c r="A709" t="s">
        <v>1512</v>
      </c>
      <c r="B709">
        <v>60</v>
      </c>
      <c r="C709" t="str">
        <f>IF(WilsonData[[#This Row],[Age]]&lt;=18, "0-18", IF(WilsonData[[#This Row],[Age]]&lt;=35,"19-35", IF(WilsonData[[#This Row],[Age]]&lt;=50, "36-50",IF(WilsonData[[#This Row],[Age]]&lt;=65,"51-65", " 66+"))))</f>
        <v>51-65</v>
      </c>
      <c r="D709" t="s">
        <v>11</v>
      </c>
      <c r="E709" t="s">
        <v>12</v>
      </c>
      <c r="F709" t="s">
        <v>13</v>
      </c>
      <c r="G709" s="1">
        <v>45694</v>
      </c>
      <c r="H709" t="s">
        <v>39</v>
      </c>
      <c r="I709" s="2">
        <v>33066.42532790258</v>
      </c>
      <c r="J709">
        <v>312</v>
      </c>
      <c r="K709" t="s">
        <v>25</v>
      </c>
      <c r="L709" s="1">
        <v>45701</v>
      </c>
      <c r="M709" s="6">
        <f>WilsonData[[#This Row],[Discharge Date]]-WilsonData[[#This Row],[Date of Admission]]</f>
        <v>7</v>
      </c>
      <c r="N709" t="s">
        <v>22</v>
      </c>
    </row>
    <row r="710" spans="1:14" x14ac:dyDescent="0.35">
      <c r="A710" t="s">
        <v>1513</v>
      </c>
      <c r="B710">
        <v>16</v>
      </c>
      <c r="C710" t="str">
        <f>IF(WilsonData[[#This Row],[Age]]&lt;=18, "0-18", IF(WilsonData[[#This Row],[Age]]&lt;=35,"19-35", IF(WilsonData[[#This Row],[Age]]&lt;=50, "36-50",IF(WilsonData[[#This Row],[Age]]&lt;=65,"51-65", " 66+"))))</f>
        <v>0-18</v>
      </c>
      <c r="D710" t="s">
        <v>11</v>
      </c>
      <c r="E710" t="s">
        <v>26</v>
      </c>
      <c r="F710" t="s">
        <v>30</v>
      </c>
      <c r="G710" s="1">
        <v>45822</v>
      </c>
      <c r="H710" t="s">
        <v>37</v>
      </c>
      <c r="I710" s="2">
        <v>2635.0093102148221</v>
      </c>
      <c r="J710">
        <v>236</v>
      </c>
      <c r="K710" t="s">
        <v>18</v>
      </c>
      <c r="L710" s="1">
        <v>45823</v>
      </c>
      <c r="M710" s="6">
        <f>WilsonData[[#This Row],[Discharge Date]]-WilsonData[[#This Row],[Date of Admission]]</f>
        <v>1</v>
      </c>
      <c r="N710" t="s">
        <v>27</v>
      </c>
    </row>
    <row r="711" spans="1:14" x14ac:dyDescent="0.35">
      <c r="A711" t="s">
        <v>1514</v>
      </c>
      <c r="B711">
        <v>77</v>
      </c>
      <c r="C711" t="str">
        <f>IF(WilsonData[[#This Row],[Age]]&lt;=18, "0-18", IF(WilsonData[[#This Row],[Age]]&lt;=35,"19-35", IF(WilsonData[[#This Row],[Age]]&lt;=50, "36-50",IF(WilsonData[[#This Row],[Age]]&lt;=65,"51-65", " 66+"))))</f>
        <v xml:space="preserve"> 66+</v>
      </c>
      <c r="D711" t="s">
        <v>11</v>
      </c>
      <c r="E711" t="s">
        <v>21</v>
      </c>
      <c r="F711" t="s">
        <v>13</v>
      </c>
      <c r="G711" s="1">
        <v>45971</v>
      </c>
      <c r="H711" t="s">
        <v>36</v>
      </c>
      <c r="I711" s="2">
        <v>43914.877994545917</v>
      </c>
      <c r="J711">
        <v>113</v>
      </c>
      <c r="K711" t="s">
        <v>18</v>
      </c>
      <c r="L711" s="1">
        <v>45977</v>
      </c>
      <c r="M711" s="6">
        <f>WilsonData[[#This Row],[Discharge Date]]-WilsonData[[#This Row],[Date of Admission]]</f>
        <v>6</v>
      </c>
      <c r="N711" t="s">
        <v>19</v>
      </c>
    </row>
    <row r="712" spans="1:14" x14ac:dyDescent="0.35">
      <c r="A712" t="s">
        <v>1515</v>
      </c>
      <c r="B712">
        <v>61</v>
      </c>
      <c r="C712" t="str">
        <f>IF(WilsonData[[#This Row],[Age]]&lt;=18, "0-18", IF(WilsonData[[#This Row],[Age]]&lt;=35,"19-35", IF(WilsonData[[#This Row],[Age]]&lt;=50, "36-50",IF(WilsonData[[#This Row],[Age]]&lt;=65,"51-65", " 66+"))))</f>
        <v>51-65</v>
      </c>
      <c r="D712" t="s">
        <v>11</v>
      </c>
      <c r="E712" t="s">
        <v>23</v>
      </c>
      <c r="F712" t="s">
        <v>24</v>
      </c>
      <c r="G712" s="1">
        <v>45701</v>
      </c>
      <c r="H712" t="s">
        <v>39</v>
      </c>
      <c r="I712" s="2">
        <v>26184.999182599418</v>
      </c>
      <c r="J712">
        <v>428</v>
      </c>
      <c r="K712" t="s">
        <v>25</v>
      </c>
      <c r="L712" s="1">
        <v>45714</v>
      </c>
      <c r="M712" s="6">
        <f>WilsonData[[#This Row],[Discharge Date]]-WilsonData[[#This Row],[Date of Admission]]</f>
        <v>13</v>
      </c>
      <c r="N712" t="s">
        <v>27</v>
      </c>
    </row>
    <row r="713" spans="1:14" x14ac:dyDescent="0.35">
      <c r="A713" t="s">
        <v>1516</v>
      </c>
      <c r="B713">
        <v>66</v>
      </c>
      <c r="C713" t="str">
        <f>IF(WilsonData[[#This Row],[Age]]&lt;=18, "0-18", IF(WilsonData[[#This Row],[Age]]&lt;=35,"19-35", IF(WilsonData[[#This Row],[Age]]&lt;=50, "36-50",IF(WilsonData[[#This Row],[Age]]&lt;=65,"51-65", " 66+"))))</f>
        <v xml:space="preserve"> 66+</v>
      </c>
      <c r="D713" t="s">
        <v>11</v>
      </c>
      <c r="E713" t="s">
        <v>33</v>
      </c>
      <c r="F713" t="s">
        <v>24</v>
      </c>
      <c r="G713" s="1">
        <v>45691</v>
      </c>
      <c r="H713" t="s">
        <v>39</v>
      </c>
      <c r="I713" s="2">
        <v>13074.056491834801</v>
      </c>
      <c r="J713">
        <v>293</v>
      </c>
      <c r="K713" t="s">
        <v>18</v>
      </c>
      <c r="L713" s="1">
        <v>45700</v>
      </c>
      <c r="M713" s="6">
        <f>WilsonData[[#This Row],[Discharge Date]]-WilsonData[[#This Row],[Date of Admission]]</f>
        <v>9</v>
      </c>
      <c r="N713" t="s">
        <v>22</v>
      </c>
    </row>
    <row r="714" spans="1:14" x14ac:dyDescent="0.35">
      <c r="A714" t="s">
        <v>1517</v>
      </c>
      <c r="B714">
        <v>62</v>
      </c>
      <c r="C714" t="str">
        <f>IF(WilsonData[[#This Row],[Age]]&lt;=18, "0-18", IF(WilsonData[[#This Row],[Age]]&lt;=35,"19-35", IF(WilsonData[[#This Row],[Age]]&lt;=50, "36-50",IF(WilsonData[[#This Row],[Age]]&lt;=65,"51-65", " 66+"))))</f>
        <v>51-65</v>
      </c>
      <c r="D714" t="s">
        <v>11</v>
      </c>
      <c r="E714" t="s">
        <v>12</v>
      </c>
      <c r="F714" t="s">
        <v>24</v>
      </c>
      <c r="G714" s="1">
        <v>45753</v>
      </c>
      <c r="H714" t="s">
        <v>37</v>
      </c>
      <c r="I714" s="2">
        <v>13410.78564748242</v>
      </c>
      <c r="J714">
        <v>484</v>
      </c>
      <c r="K714" t="s">
        <v>18</v>
      </c>
      <c r="L714" s="1">
        <v>45755</v>
      </c>
      <c r="M714" s="6">
        <f>WilsonData[[#This Row],[Discharge Date]]-WilsonData[[#This Row],[Date of Admission]]</f>
        <v>2</v>
      </c>
      <c r="N714" t="s">
        <v>15</v>
      </c>
    </row>
    <row r="715" spans="1:14" x14ac:dyDescent="0.35">
      <c r="A715" t="s">
        <v>1518</v>
      </c>
      <c r="B715">
        <v>18</v>
      </c>
      <c r="C715" t="str">
        <f>IF(WilsonData[[#This Row],[Age]]&lt;=18, "0-18", IF(WilsonData[[#This Row],[Age]]&lt;=35,"19-35", IF(WilsonData[[#This Row],[Age]]&lt;=50, "36-50",IF(WilsonData[[#This Row],[Age]]&lt;=65,"51-65", " 66+"))))</f>
        <v>0-18</v>
      </c>
      <c r="D715" t="s">
        <v>11</v>
      </c>
      <c r="E715" t="s">
        <v>12</v>
      </c>
      <c r="F715" t="s">
        <v>17</v>
      </c>
      <c r="G715" s="1">
        <v>45781</v>
      </c>
      <c r="H715" t="s">
        <v>38</v>
      </c>
      <c r="I715" s="2">
        <v>45997.341582566703</v>
      </c>
      <c r="J715">
        <v>172</v>
      </c>
      <c r="K715" t="s">
        <v>25</v>
      </c>
      <c r="L715" s="1">
        <v>45791</v>
      </c>
      <c r="M715" s="6">
        <f>WilsonData[[#This Row],[Discharge Date]]-WilsonData[[#This Row],[Date of Admission]]</f>
        <v>10</v>
      </c>
      <c r="N715" t="s">
        <v>31</v>
      </c>
    </row>
    <row r="716" spans="1:14" x14ac:dyDescent="0.35">
      <c r="A716" t="s">
        <v>1519</v>
      </c>
      <c r="B716">
        <v>86</v>
      </c>
      <c r="C716" t="str">
        <f>IF(WilsonData[[#This Row],[Age]]&lt;=18, "0-18", IF(WilsonData[[#This Row],[Age]]&lt;=35,"19-35", IF(WilsonData[[#This Row],[Age]]&lt;=50, "36-50",IF(WilsonData[[#This Row],[Age]]&lt;=65,"51-65", " 66+"))))</f>
        <v xml:space="preserve"> 66+</v>
      </c>
      <c r="D716" t="s">
        <v>20</v>
      </c>
      <c r="E716" t="s">
        <v>29</v>
      </c>
      <c r="F716" t="s">
        <v>32</v>
      </c>
      <c r="G716" s="1">
        <v>45919</v>
      </c>
      <c r="H716" t="s">
        <v>39</v>
      </c>
      <c r="I716" s="2">
        <v>44447.643543331571</v>
      </c>
      <c r="J716">
        <v>405</v>
      </c>
      <c r="K716" t="s">
        <v>18</v>
      </c>
      <c r="L716" s="1">
        <v>45920</v>
      </c>
      <c r="M716" s="6">
        <f>WilsonData[[#This Row],[Discharge Date]]-WilsonData[[#This Row],[Date of Admission]]</f>
        <v>1</v>
      </c>
      <c r="N716" t="s">
        <v>22</v>
      </c>
    </row>
    <row r="717" spans="1:14" x14ac:dyDescent="0.35">
      <c r="A717" t="s">
        <v>1520</v>
      </c>
      <c r="B717">
        <v>62</v>
      </c>
      <c r="C717" t="str">
        <f>IF(WilsonData[[#This Row],[Age]]&lt;=18, "0-18", IF(WilsonData[[#This Row],[Age]]&lt;=35,"19-35", IF(WilsonData[[#This Row],[Age]]&lt;=50, "36-50",IF(WilsonData[[#This Row],[Age]]&lt;=65,"51-65", " 66+"))))</f>
        <v>51-65</v>
      </c>
      <c r="D717" t="s">
        <v>11</v>
      </c>
      <c r="E717" t="s">
        <v>21</v>
      </c>
      <c r="F717" t="s">
        <v>32</v>
      </c>
      <c r="G717" s="1">
        <v>45932</v>
      </c>
      <c r="H717" t="s">
        <v>37</v>
      </c>
      <c r="I717" s="2">
        <v>22740.130276558069</v>
      </c>
      <c r="J717">
        <v>487</v>
      </c>
      <c r="K717" t="s">
        <v>18</v>
      </c>
      <c r="L717" s="1">
        <v>45934</v>
      </c>
      <c r="M717" s="6">
        <f>WilsonData[[#This Row],[Discharge Date]]-WilsonData[[#This Row],[Date of Admission]]</f>
        <v>2</v>
      </c>
      <c r="N717" t="s">
        <v>31</v>
      </c>
    </row>
    <row r="718" spans="1:14" x14ac:dyDescent="0.35">
      <c r="A718" t="s">
        <v>1521</v>
      </c>
      <c r="B718">
        <v>47</v>
      </c>
      <c r="C718" t="str">
        <f>IF(WilsonData[[#This Row],[Age]]&lt;=18, "0-18", IF(WilsonData[[#This Row],[Age]]&lt;=35,"19-35", IF(WilsonData[[#This Row],[Age]]&lt;=50, "36-50",IF(WilsonData[[#This Row],[Age]]&lt;=65,"51-65", " 66+"))))</f>
        <v>36-50</v>
      </c>
      <c r="D718" t="s">
        <v>20</v>
      </c>
      <c r="E718" t="s">
        <v>34</v>
      </c>
      <c r="F718" t="s">
        <v>17</v>
      </c>
      <c r="G718" s="1">
        <v>45730</v>
      </c>
      <c r="H718" t="s">
        <v>38</v>
      </c>
      <c r="I718" s="2">
        <v>22695.732990980359</v>
      </c>
      <c r="J718">
        <v>404</v>
      </c>
      <c r="K718" t="s">
        <v>25</v>
      </c>
      <c r="L718" s="1">
        <v>45744</v>
      </c>
      <c r="M718" s="6">
        <f>WilsonData[[#This Row],[Discharge Date]]-WilsonData[[#This Row],[Date of Admission]]</f>
        <v>14</v>
      </c>
      <c r="N718" t="s">
        <v>19</v>
      </c>
    </row>
    <row r="719" spans="1:14" x14ac:dyDescent="0.35">
      <c r="A719" t="s">
        <v>1522</v>
      </c>
      <c r="B719">
        <v>54</v>
      </c>
      <c r="C719" t="str">
        <f>IF(WilsonData[[#This Row],[Age]]&lt;=18, "0-18", IF(WilsonData[[#This Row],[Age]]&lt;=35,"19-35", IF(WilsonData[[#This Row],[Age]]&lt;=50, "36-50",IF(WilsonData[[#This Row],[Age]]&lt;=65,"51-65", " 66+"))))</f>
        <v>51-65</v>
      </c>
      <c r="D719" t="s">
        <v>20</v>
      </c>
      <c r="E719" t="s">
        <v>34</v>
      </c>
      <c r="F719" t="s">
        <v>17</v>
      </c>
      <c r="G719" s="1">
        <v>45706</v>
      </c>
      <c r="H719" t="s">
        <v>39</v>
      </c>
      <c r="I719" s="2">
        <v>39607.768279087133</v>
      </c>
      <c r="J719">
        <v>272</v>
      </c>
      <c r="K719" t="s">
        <v>25</v>
      </c>
      <c r="L719" s="1">
        <v>45720</v>
      </c>
      <c r="M719" s="6">
        <f>WilsonData[[#This Row],[Discharge Date]]-WilsonData[[#This Row],[Date of Admission]]</f>
        <v>14</v>
      </c>
      <c r="N719" t="s">
        <v>22</v>
      </c>
    </row>
    <row r="720" spans="1:14" x14ac:dyDescent="0.35">
      <c r="A720" t="s">
        <v>1523</v>
      </c>
      <c r="B720">
        <v>37</v>
      </c>
      <c r="C720" t="str">
        <f>IF(WilsonData[[#This Row],[Age]]&lt;=18, "0-18", IF(WilsonData[[#This Row],[Age]]&lt;=35,"19-35", IF(WilsonData[[#This Row],[Age]]&lt;=50, "36-50",IF(WilsonData[[#This Row],[Age]]&lt;=65,"51-65", " 66+"))))</f>
        <v>36-50</v>
      </c>
      <c r="D720" t="s">
        <v>20</v>
      </c>
      <c r="E720" t="s">
        <v>21</v>
      </c>
      <c r="F720" t="s">
        <v>28</v>
      </c>
      <c r="G720" s="1">
        <v>45711</v>
      </c>
      <c r="H720" t="s">
        <v>38</v>
      </c>
      <c r="I720" s="2">
        <v>41094.480242013517</v>
      </c>
      <c r="J720">
        <v>245</v>
      </c>
      <c r="K720" t="s">
        <v>25</v>
      </c>
      <c r="L720" s="1">
        <v>45718</v>
      </c>
      <c r="M720" s="6">
        <f>WilsonData[[#This Row],[Discharge Date]]-WilsonData[[#This Row],[Date of Admission]]</f>
        <v>7</v>
      </c>
      <c r="N720" t="s">
        <v>27</v>
      </c>
    </row>
    <row r="721" spans="1:14" x14ac:dyDescent="0.35">
      <c r="A721" t="s">
        <v>1524</v>
      </c>
      <c r="B721">
        <v>58</v>
      </c>
      <c r="C721" t="str">
        <f>IF(WilsonData[[#This Row],[Age]]&lt;=18, "0-18", IF(WilsonData[[#This Row],[Age]]&lt;=35,"19-35", IF(WilsonData[[#This Row],[Age]]&lt;=50, "36-50",IF(WilsonData[[#This Row],[Age]]&lt;=65,"51-65", " 66+"))))</f>
        <v>51-65</v>
      </c>
      <c r="D721" t="s">
        <v>20</v>
      </c>
      <c r="E721" t="s">
        <v>26</v>
      </c>
      <c r="F721" t="s">
        <v>17</v>
      </c>
      <c r="G721" s="1">
        <v>45755</v>
      </c>
      <c r="H721" t="s">
        <v>36</v>
      </c>
      <c r="I721" s="2">
        <v>38927.698411815007</v>
      </c>
      <c r="J721">
        <v>362</v>
      </c>
      <c r="K721" t="s">
        <v>18</v>
      </c>
      <c r="L721" s="1">
        <v>45759</v>
      </c>
      <c r="M721" s="6">
        <f>WilsonData[[#This Row],[Discharge Date]]-WilsonData[[#This Row],[Date of Admission]]</f>
        <v>4</v>
      </c>
      <c r="N721" t="s">
        <v>27</v>
      </c>
    </row>
    <row r="722" spans="1:14" x14ac:dyDescent="0.35">
      <c r="A722" t="s">
        <v>1525</v>
      </c>
      <c r="B722">
        <v>75</v>
      </c>
      <c r="C722" t="str">
        <f>IF(WilsonData[[#This Row],[Age]]&lt;=18, "0-18", IF(WilsonData[[#This Row],[Age]]&lt;=35,"19-35", IF(WilsonData[[#This Row],[Age]]&lt;=50, "36-50",IF(WilsonData[[#This Row],[Age]]&lt;=65,"51-65", " 66+"))))</f>
        <v xml:space="preserve"> 66+</v>
      </c>
      <c r="D722" t="s">
        <v>11</v>
      </c>
      <c r="E722" t="s">
        <v>12</v>
      </c>
      <c r="F722" t="s">
        <v>32</v>
      </c>
      <c r="G722" s="1">
        <v>45786</v>
      </c>
      <c r="H722" t="s">
        <v>39</v>
      </c>
      <c r="I722" s="2">
        <v>26988.097230346539</v>
      </c>
      <c r="J722">
        <v>450</v>
      </c>
      <c r="K722" t="s">
        <v>25</v>
      </c>
      <c r="L722" s="1">
        <v>45787</v>
      </c>
      <c r="M722" s="6">
        <f>WilsonData[[#This Row],[Discharge Date]]-WilsonData[[#This Row],[Date of Admission]]</f>
        <v>1</v>
      </c>
      <c r="N722" t="s">
        <v>27</v>
      </c>
    </row>
    <row r="723" spans="1:14" x14ac:dyDescent="0.35">
      <c r="A723" t="s">
        <v>1526</v>
      </c>
      <c r="B723">
        <v>38</v>
      </c>
      <c r="C723" t="str">
        <f>IF(WilsonData[[#This Row],[Age]]&lt;=18, "0-18", IF(WilsonData[[#This Row],[Age]]&lt;=35,"19-35", IF(WilsonData[[#This Row],[Age]]&lt;=50, "36-50",IF(WilsonData[[#This Row],[Age]]&lt;=65,"51-65", " 66+"))))</f>
        <v>36-50</v>
      </c>
      <c r="D723" t="s">
        <v>11</v>
      </c>
      <c r="E723" t="s">
        <v>16</v>
      </c>
      <c r="F723" t="s">
        <v>32</v>
      </c>
      <c r="G723" s="1">
        <v>45872</v>
      </c>
      <c r="H723" t="s">
        <v>37</v>
      </c>
      <c r="I723" s="2">
        <v>10768.843093150919</v>
      </c>
      <c r="J723">
        <v>138</v>
      </c>
      <c r="K723" t="s">
        <v>18</v>
      </c>
      <c r="L723" s="1">
        <v>45883</v>
      </c>
      <c r="M723" s="6">
        <f>WilsonData[[#This Row],[Discharge Date]]-WilsonData[[#This Row],[Date of Admission]]</f>
        <v>11</v>
      </c>
      <c r="N723" t="s">
        <v>15</v>
      </c>
    </row>
    <row r="724" spans="1:14" x14ac:dyDescent="0.35">
      <c r="A724" t="s">
        <v>1527</v>
      </c>
      <c r="B724">
        <v>83</v>
      </c>
      <c r="C724" t="str">
        <f>IF(WilsonData[[#This Row],[Age]]&lt;=18, "0-18", IF(WilsonData[[#This Row],[Age]]&lt;=35,"19-35", IF(WilsonData[[#This Row],[Age]]&lt;=50, "36-50",IF(WilsonData[[#This Row],[Age]]&lt;=65,"51-65", " 66+"))))</f>
        <v xml:space="preserve"> 66+</v>
      </c>
      <c r="D724" t="s">
        <v>11</v>
      </c>
      <c r="E724" t="s">
        <v>26</v>
      </c>
      <c r="F724" t="s">
        <v>28</v>
      </c>
      <c r="G724" s="1">
        <v>45708</v>
      </c>
      <c r="H724" t="s">
        <v>39</v>
      </c>
      <c r="I724" s="2">
        <v>18283.38967311088</v>
      </c>
      <c r="J724">
        <v>153</v>
      </c>
      <c r="K724" t="s">
        <v>25</v>
      </c>
      <c r="L724" s="1">
        <v>45721</v>
      </c>
      <c r="M724" s="6">
        <f>WilsonData[[#This Row],[Discharge Date]]-WilsonData[[#This Row],[Date of Admission]]</f>
        <v>13</v>
      </c>
      <c r="N724" t="s">
        <v>15</v>
      </c>
    </row>
    <row r="725" spans="1:14" x14ac:dyDescent="0.35">
      <c r="A725" t="s">
        <v>1528</v>
      </c>
      <c r="B725">
        <v>44</v>
      </c>
      <c r="C725" t="str">
        <f>IF(WilsonData[[#This Row],[Age]]&lt;=18, "0-18", IF(WilsonData[[#This Row],[Age]]&lt;=35,"19-35", IF(WilsonData[[#This Row],[Age]]&lt;=50, "36-50",IF(WilsonData[[#This Row],[Age]]&lt;=65,"51-65", " 66+"))))</f>
        <v>36-50</v>
      </c>
      <c r="D725" t="s">
        <v>20</v>
      </c>
      <c r="E725" t="s">
        <v>26</v>
      </c>
      <c r="F725" t="s">
        <v>30</v>
      </c>
      <c r="G725" s="1">
        <v>45683</v>
      </c>
      <c r="H725" t="s">
        <v>36</v>
      </c>
      <c r="I725" s="2">
        <v>14070.48079259527</v>
      </c>
      <c r="J725">
        <v>397</v>
      </c>
      <c r="K725" t="s">
        <v>18</v>
      </c>
      <c r="L725" s="1">
        <v>45697</v>
      </c>
      <c r="M725" s="6">
        <f>WilsonData[[#This Row],[Discharge Date]]-WilsonData[[#This Row],[Date of Admission]]</f>
        <v>14</v>
      </c>
      <c r="N725" t="s">
        <v>15</v>
      </c>
    </row>
    <row r="726" spans="1:14" x14ac:dyDescent="0.35">
      <c r="A726" t="s">
        <v>1529</v>
      </c>
      <c r="B726">
        <v>56</v>
      </c>
      <c r="C726" t="str">
        <f>IF(WilsonData[[#This Row],[Age]]&lt;=18, "0-18", IF(WilsonData[[#This Row],[Age]]&lt;=35,"19-35", IF(WilsonData[[#This Row],[Age]]&lt;=50, "36-50",IF(WilsonData[[#This Row],[Age]]&lt;=65,"51-65", " 66+"))))</f>
        <v>51-65</v>
      </c>
      <c r="D726" t="s">
        <v>20</v>
      </c>
      <c r="E726" t="s">
        <v>12</v>
      </c>
      <c r="F726" t="s">
        <v>17</v>
      </c>
      <c r="G726" s="1">
        <v>45769</v>
      </c>
      <c r="H726" t="s">
        <v>39</v>
      </c>
      <c r="I726" s="2">
        <v>46774.834531235647</v>
      </c>
      <c r="J726">
        <v>396</v>
      </c>
      <c r="K726" t="s">
        <v>18</v>
      </c>
      <c r="L726" s="1">
        <v>45772</v>
      </c>
      <c r="M726" s="6">
        <f>WilsonData[[#This Row],[Discharge Date]]-WilsonData[[#This Row],[Date of Admission]]</f>
        <v>3</v>
      </c>
      <c r="N726" t="s">
        <v>19</v>
      </c>
    </row>
    <row r="727" spans="1:14" x14ac:dyDescent="0.35">
      <c r="A727" t="s">
        <v>1530</v>
      </c>
      <c r="B727">
        <v>44</v>
      </c>
      <c r="C727" t="str">
        <f>IF(WilsonData[[#This Row],[Age]]&lt;=18, "0-18", IF(WilsonData[[#This Row],[Age]]&lt;=35,"19-35", IF(WilsonData[[#This Row],[Age]]&lt;=50, "36-50",IF(WilsonData[[#This Row],[Age]]&lt;=65,"51-65", " 66+"))))</f>
        <v>36-50</v>
      </c>
      <c r="D727" t="s">
        <v>11</v>
      </c>
      <c r="E727" t="s">
        <v>33</v>
      </c>
      <c r="F727" t="s">
        <v>13</v>
      </c>
      <c r="G727" s="1">
        <v>45821</v>
      </c>
      <c r="H727" t="s">
        <v>39</v>
      </c>
      <c r="I727" s="2">
        <v>12795.19969223959</v>
      </c>
      <c r="J727">
        <v>335</v>
      </c>
      <c r="K727" t="s">
        <v>18</v>
      </c>
      <c r="L727" s="1">
        <v>45826</v>
      </c>
      <c r="M727" s="6">
        <f>WilsonData[[#This Row],[Discharge Date]]-WilsonData[[#This Row],[Date of Admission]]</f>
        <v>5</v>
      </c>
      <c r="N727" t="s">
        <v>15</v>
      </c>
    </row>
    <row r="728" spans="1:14" x14ac:dyDescent="0.35">
      <c r="A728" t="s">
        <v>1531</v>
      </c>
      <c r="B728">
        <v>24</v>
      </c>
      <c r="C728" t="str">
        <f>IF(WilsonData[[#This Row],[Age]]&lt;=18, "0-18", IF(WilsonData[[#This Row],[Age]]&lt;=35,"19-35", IF(WilsonData[[#This Row],[Age]]&lt;=50, "36-50",IF(WilsonData[[#This Row],[Age]]&lt;=65,"51-65", " 66+"))))</f>
        <v>19-35</v>
      </c>
      <c r="D728" t="s">
        <v>20</v>
      </c>
      <c r="E728" t="s">
        <v>16</v>
      </c>
      <c r="F728" t="s">
        <v>30</v>
      </c>
      <c r="G728" s="1">
        <v>45877</v>
      </c>
      <c r="H728" t="s">
        <v>39</v>
      </c>
      <c r="I728" s="2">
        <v>9662.4397668364163</v>
      </c>
      <c r="J728">
        <v>182</v>
      </c>
      <c r="K728" t="s">
        <v>18</v>
      </c>
      <c r="L728" s="1">
        <v>45883</v>
      </c>
      <c r="M728" s="6">
        <f>WilsonData[[#This Row],[Discharge Date]]-WilsonData[[#This Row],[Date of Admission]]</f>
        <v>6</v>
      </c>
      <c r="N728" t="s">
        <v>19</v>
      </c>
    </row>
    <row r="729" spans="1:14" x14ac:dyDescent="0.35">
      <c r="A729" t="s">
        <v>1532</v>
      </c>
      <c r="B729">
        <v>64</v>
      </c>
      <c r="C729" t="str">
        <f>IF(WilsonData[[#This Row],[Age]]&lt;=18, "0-18", IF(WilsonData[[#This Row],[Age]]&lt;=35,"19-35", IF(WilsonData[[#This Row],[Age]]&lt;=50, "36-50",IF(WilsonData[[#This Row],[Age]]&lt;=65,"51-65", " 66+"))))</f>
        <v>51-65</v>
      </c>
      <c r="D729" t="s">
        <v>11</v>
      </c>
      <c r="E729" t="s">
        <v>12</v>
      </c>
      <c r="F729" t="s">
        <v>17</v>
      </c>
      <c r="G729" s="1">
        <v>45972</v>
      </c>
      <c r="H729" t="s">
        <v>38</v>
      </c>
      <c r="I729" s="2">
        <v>8245.6586280177689</v>
      </c>
      <c r="J729">
        <v>249</v>
      </c>
      <c r="K729" t="s">
        <v>25</v>
      </c>
      <c r="L729" s="1">
        <v>45982</v>
      </c>
      <c r="M729" s="6">
        <f>WilsonData[[#This Row],[Discharge Date]]-WilsonData[[#This Row],[Date of Admission]]</f>
        <v>10</v>
      </c>
      <c r="N729" t="s">
        <v>19</v>
      </c>
    </row>
    <row r="730" spans="1:14" x14ac:dyDescent="0.35">
      <c r="A730" t="s">
        <v>1533</v>
      </c>
      <c r="B730">
        <v>19</v>
      </c>
      <c r="C730" t="str">
        <f>IF(WilsonData[[#This Row],[Age]]&lt;=18, "0-18", IF(WilsonData[[#This Row],[Age]]&lt;=35,"19-35", IF(WilsonData[[#This Row],[Age]]&lt;=50, "36-50",IF(WilsonData[[#This Row],[Age]]&lt;=65,"51-65", " 66+"))))</f>
        <v>19-35</v>
      </c>
      <c r="D730" t="s">
        <v>11</v>
      </c>
      <c r="E730" t="s">
        <v>21</v>
      </c>
      <c r="F730" t="s">
        <v>32</v>
      </c>
      <c r="G730" s="1">
        <v>45889</v>
      </c>
      <c r="H730" t="s">
        <v>37</v>
      </c>
      <c r="I730" s="2">
        <v>7192.6281782379574</v>
      </c>
      <c r="J730">
        <v>443</v>
      </c>
      <c r="K730" t="s">
        <v>18</v>
      </c>
      <c r="L730" s="1">
        <v>45898</v>
      </c>
      <c r="M730" s="6">
        <f>WilsonData[[#This Row],[Discharge Date]]-WilsonData[[#This Row],[Date of Admission]]</f>
        <v>9</v>
      </c>
      <c r="N730" t="s">
        <v>27</v>
      </c>
    </row>
    <row r="731" spans="1:14" x14ac:dyDescent="0.35">
      <c r="A731" t="s">
        <v>1534</v>
      </c>
      <c r="B731">
        <v>19</v>
      </c>
      <c r="C731" t="str">
        <f>IF(WilsonData[[#This Row],[Age]]&lt;=18, "0-18", IF(WilsonData[[#This Row],[Age]]&lt;=35,"19-35", IF(WilsonData[[#This Row],[Age]]&lt;=50, "36-50",IF(WilsonData[[#This Row],[Age]]&lt;=65,"51-65", " 66+"))))</f>
        <v>19-35</v>
      </c>
      <c r="D731" t="s">
        <v>11</v>
      </c>
      <c r="E731" t="s">
        <v>33</v>
      </c>
      <c r="F731" t="s">
        <v>24</v>
      </c>
      <c r="G731" s="1">
        <v>45979</v>
      </c>
      <c r="H731" t="s">
        <v>37</v>
      </c>
      <c r="I731" s="2">
        <v>8537.2245416379938</v>
      </c>
      <c r="J731">
        <v>376</v>
      </c>
      <c r="K731" t="s">
        <v>25</v>
      </c>
      <c r="L731" s="1">
        <v>45983</v>
      </c>
      <c r="M731" s="6">
        <f>WilsonData[[#This Row],[Discharge Date]]-WilsonData[[#This Row],[Date of Admission]]</f>
        <v>4</v>
      </c>
      <c r="N731" t="s">
        <v>22</v>
      </c>
    </row>
    <row r="732" spans="1:14" x14ac:dyDescent="0.35">
      <c r="A732" t="s">
        <v>1535</v>
      </c>
      <c r="B732">
        <v>60</v>
      </c>
      <c r="C732" t="str">
        <f>IF(WilsonData[[#This Row],[Age]]&lt;=18, "0-18", IF(WilsonData[[#This Row],[Age]]&lt;=35,"19-35", IF(WilsonData[[#This Row],[Age]]&lt;=50, "36-50",IF(WilsonData[[#This Row],[Age]]&lt;=65,"51-65", " 66+"))))</f>
        <v>51-65</v>
      </c>
      <c r="D732" t="s">
        <v>20</v>
      </c>
      <c r="E732" t="s">
        <v>26</v>
      </c>
      <c r="F732" t="s">
        <v>17</v>
      </c>
      <c r="G732" s="1">
        <v>45859</v>
      </c>
      <c r="H732" t="s">
        <v>39</v>
      </c>
      <c r="I732" s="2">
        <v>3827.8608580686769</v>
      </c>
      <c r="J732">
        <v>114</v>
      </c>
      <c r="K732" t="s">
        <v>18</v>
      </c>
      <c r="L732" s="1">
        <v>45868</v>
      </c>
      <c r="M732" s="6">
        <f>WilsonData[[#This Row],[Discharge Date]]-WilsonData[[#This Row],[Date of Admission]]</f>
        <v>9</v>
      </c>
      <c r="N732" t="s">
        <v>27</v>
      </c>
    </row>
    <row r="733" spans="1:14" x14ac:dyDescent="0.35">
      <c r="A733" t="s">
        <v>1536</v>
      </c>
      <c r="B733">
        <v>49</v>
      </c>
      <c r="C733" t="str">
        <f>IF(WilsonData[[#This Row],[Age]]&lt;=18, "0-18", IF(WilsonData[[#This Row],[Age]]&lt;=35,"19-35", IF(WilsonData[[#This Row],[Age]]&lt;=50, "36-50",IF(WilsonData[[#This Row],[Age]]&lt;=65,"51-65", " 66+"))))</f>
        <v>36-50</v>
      </c>
      <c r="D733" t="s">
        <v>20</v>
      </c>
      <c r="E733" t="s">
        <v>33</v>
      </c>
      <c r="F733" t="s">
        <v>28</v>
      </c>
      <c r="G733" s="1">
        <v>45663</v>
      </c>
      <c r="H733" t="s">
        <v>37</v>
      </c>
      <c r="I733" s="2">
        <v>3437.6510668268011</v>
      </c>
      <c r="J733">
        <v>446</v>
      </c>
      <c r="K733" t="s">
        <v>25</v>
      </c>
      <c r="L733" s="1">
        <v>45665</v>
      </c>
      <c r="M733" s="6">
        <f>WilsonData[[#This Row],[Discharge Date]]-WilsonData[[#This Row],[Date of Admission]]</f>
        <v>2</v>
      </c>
      <c r="N733" t="s">
        <v>27</v>
      </c>
    </row>
    <row r="734" spans="1:14" x14ac:dyDescent="0.35">
      <c r="A734" t="s">
        <v>1537</v>
      </c>
      <c r="B734">
        <v>83</v>
      </c>
      <c r="C734" t="str">
        <f>IF(WilsonData[[#This Row],[Age]]&lt;=18, "0-18", IF(WilsonData[[#This Row],[Age]]&lt;=35,"19-35", IF(WilsonData[[#This Row],[Age]]&lt;=50, "36-50",IF(WilsonData[[#This Row],[Age]]&lt;=65,"51-65", " 66+"))))</f>
        <v xml:space="preserve"> 66+</v>
      </c>
      <c r="D734" t="s">
        <v>20</v>
      </c>
      <c r="E734" t="s">
        <v>34</v>
      </c>
      <c r="F734" t="s">
        <v>13</v>
      </c>
      <c r="G734" s="1">
        <v>45760</v>
      </c>
      <c r="H734" t="s">
        <v>39</v>
      </c>
      <c r="I734" s="2">
        <v>4993.0296470344574</v>
      </c>
      <c r="J734">
        <v>384</v>
      </c>
      <c r="K734" t="s">
        <v>25</v>
      </c>
      <c r="L734" s="1">
        <v>45766</v>
      </c>
      <c r="M734" s="6">
        <f>WilsonData[[#This Row],[Discharge Date]]-WilsonData[[#This Row],[Date of Admission]]</f>
        <v>6</v>
      </c>
      <c r="N734" t="s">
        <v>15</v>
      </c>
    </row>
    <row r="735" spans="1:14" x14ac:dyDescent="0.35">
      <c r="A735" t="s">
        <v>1538</v>
      </c>
      <c r="B735">
        <v>69</v>
      </c>
      <c r="C735" t="str">
        <f>IF(WilsonData[[#This Row],[Age]]&lt;=18, "0-18", IF(WilsonData[[#This Row],[Age]]&lt;=35,"19-35", IF(WilsonData[[#This Row],[Age]]&lt;=50, "36-50",IF(WilsonData[[#This Row],[Age]]&lt;=65,"51-65", " 66+"))))</f>
        <v xml:space="preserve"> 66+</v>
      </c>
      <c r="D735" t="s">
        <v>11</v>
      </c>
      <c r="E735" t="s">
        <v>21</v>
      </c>
      <c r="F735" t="s">
        <v>32</v>
      </c>
      <c r="G735" s="1">
        <v>45810</v>
      </c>
      <c r="H735" t="s">
        <v>38</v>
      </c>
      <c r="I735" s="2">
        <v>11230.496505544081</v>
      </c>
      <c r="J735">
        <v>150</v>
      </c>
      <c r="K735" t="s">
        <v>18</v>
      </c>
      <c r="L735" s="1">
        <v>45824</v>
      </c>
      <c r="M735" s="6">
        <f>WilsonData[[#This Row],[Discharge Date]]-WilsonData[[#This Row],[Date of Admission]]</f>
        <v>14</v>
      </c>
      <c r="N735" t="s">
        <v>31</v>
      </c>
    </row>
    <row r="736" spans="1:14" x14ac:dyDescent="0.35">
      <c r="A736" t="s">
        <v>1539</v>
      </c>
      <c r="B736">
        <v>18</v>
      </c>
      <c r="C736" t="str">
        <f>IF(WilsonData[[#This Row],[Age]]&lt;=18, "0-18", IF(WilsonData[[#This Row],[Age]]&lt;=35,"19-35", IF(WilsonData[[#This Row],[Age]]&lt;=50, "36-50",IF(WilsonData[[#This Row],[Age]]&lt;=65,"51-65", " 66+"))))</f>
        <v>0-18</v>
      </c>
      <c r="D736" t="s">
        <v>11</v>
      </c>
      <c r="E736" t="s">
        <v>16</v>
      </c>
      <c r="F736" t="s">
        <v>30</v>
      </c>
      <c r="G736" s="1">
        <v>45835</v>
      </c>
      <c r="H736" t="s">
        <v>36</v>
      </c>
      <c r="I736" s="2">
        <v>38649.409857675171</v>
      </c>
      <c r="J736">
        <v>277</v>
      </c>
      <c r="K736" t="s">
        <v>25</v>
      </c>
      <c r="L736" s="1">
        <v>45837</v>
      </c>
      <c r="M736" s="6">
        <f>WilsonData[[#This Row],[Discharge Date]]-WilsonData[[#This Row],[Date of Admission]]</f>
        <v>2</v>
      </c>
      <c r="N736" t="s">
        <v>15</v>
      </c>
    </row>
    <row r="737" spans="1:14" x14ac:dyDescent="0.35">
      <c r="A737" t="s">
        <v>1540</v>
      </c>
      <c r="B737">
        <v>75</v>
      </c>
      <c r="C737" t="str">
        <f>IF(WilsonData[[#This Row],[Age]]&lt;=18, "0-18", IF(WilsonData[[#This Row],[Age]]&lt;=35,"19-35", IF(WilsonData[[#This Row],[Age]]&lt;=50, "36-50",IF(WilsonData[[#This Row],[Age]]&lt;=65,"51-65", " 66+"))))</f>
        <v xml:space="preserve"> 66+</v>
      </c>
      <c r="D737" t="s">
        <v>20</v>
      </c>
      <c r="E737" t="s">
        <v>33</v>
      </c>
      <c r="F737" t="s">
        <v>32</v>
      </c>
      <c r="G737" s="1">
        <v>45667</v>
      </c>
      <c r="H737" t="s">
        <v>39</v>
      </c>
      <c r="I737" s="2">
        <v>28833.58590302537</v>
      </c>
      <c r="J737">
        <v>476</v>
      </c>
      <c r="K737" t="s">
        <v>25</v>
      </c>
      <c r="L737" s="1">
        <v>45681</v>
      </c>
      <c r="M737" s="6">
        <f>WilsonData[[#This Row],[Discharge Date]]-WilsonData[[#This Row],[Date of Admission]]</f>
        <v>14</v>
      </c>
      <c r="N737" t="s">
        <v>31</v>
      </c>
    </row>
    <row r="738" spans="1:14" x14ac:dyDescent="0.35">
      <c r="A738" t="s">
        <v>1541</v>
      </c>
      <c r="B738">
        <v>66</v>
      </c>
      <c r="C738" t="str">
        <f>IF(WilsonData[[#This Row],[Age]]&lt;=18, "0-18", IF(WilsonData[[#This Row],[Age]]&lt;=35,"19-35", IF(WilsonData[[#This Row],[Age]]&lt;=50, "36-50",IF(WilsonData[[#This Row],[Age]]&lt;=65,"51-65", " 66+"))))</f>
        <v xml:space="preserve"> 66+</v>
      </c>
      <c r="D738" t="s">
        <v>20</v>
      </c>
      <c r="E738" t="s">
        <v>12</v>
      </c>
      <c r="F738" t="s">
        <v>30</v>
      </c>
      <c r="G738" s="1">
        <v>45676</v>
      </c>
      <c r="H738" t="s">
        <v>39</v>
      </c>
      <c r="I738" s="2">
        <v>35319.123324266409</v>
      </c>
      <c r="J738">
        <v>419</v>
      </c>
      <c r="K738" t="s">
        <v>25</v>
      </c>
      <c r="L738" s="1">
        <v>45685</v>
      </c>
      <c r="M738" s="6">
        <f>WilsonData[[#This Row],[Discharge Date]]-WilsonData[[#This Row],[Date of Admission]]</f>
        <v>9</v>
      </c>
      <c r="N738" t="s">
        <v>19</v>
      </c>
    </row>
    <row r="739" spans="1:14" x14ac:dyDescent="0.35">
      <c r="A739" t="s">
        <v>1542</v>
      </c>
      <c r="B739">
        <v>81</v>
      </c>
      <c r="C739" t="str">
        <f>IF(WilsonData[[#This Row],[Age]]&lt;=18, "0-18", IF(WilsonData[[#This Row],[Age]]&lt;=35,"19-35", IF(WilsonData[[#This Row],[Age]]&lt;=50, "36-50",IF(WilsonData[[#This Row],[Age]]&lt;=65,"51-65", " 66+"))))</f>
        <v xml:space="preserve"> 66+</v>
      </c>
      <c r="D739" t="s">
        <v>20</v>
      </c>
      <c r="E739" t="s">
        <v>34</v>
      </c>
      <c r="F739" t="s">
        <v>30</v>
      </c>
      <c r="G739" s="1">
        <v>45877</v>
      </c>
      <c r="H739" t="s">
        <v>39</v>
      </c>
      <c r="I739" s="2">
        <v>6175.8819934402154</v>
      </c>
      <c r="J739">
        <v>123</v>
      </c>
      <c r="K739" t="s">
        <v>18</v>
      </c>
      <c r="L739" s="1">
        <v>45888</v>
      </c>
      <c r="M739" s="6">
        <f>WilsonData[[#This Row],[Discharge Date]]-WilsonData[[#This Row],[Date of Admission]]</f>
        <v>11</v>
      </c>
      <c r="N739" t="s">
        <v>19</v>
      </c>
    </row>
    <row r="740" spans="1:14" x14ac:dyDescent="0.35">
      <c r="A740" t="s">
        <v>1543</v>
      </c>
      <c r="B740">
        <v>22</v>
      </c>
      <c r="C740" t="str">
        <f>IF(WilsonData[[#This Row],[Age]]&lt;=18, "0-18", IF(WilsonData[[#This Row],[Age]]&lt;=35,"19-35", IF(WilsonData[[#This Row],[Age]]&lt;=50, "36-50",IF(WilsonData[[#This Row],[Age]]&lt;=65,"51-65", " 66+"))))</f>
        <v>19-35</v>
      </c>
      <c r="D740" t="s">
        <v>20</v>
      </c>
      <c r="E740" t="s">
        <v>21</v>
      </c>
      <c r="F740" t="s">
        <v>13</v>
      </c>
      <c r="G740" s="1">
        <v>45679</v>
      </c>
      <c r="H740" t="s">
        <v>37</v>
      </c>
      <c r="I740" s="2">
        <v>42214.971634745838</v>
      </c>
      <c r="J740">
        <v>120</v>
      </c>
      <c r="K740" t="s">
        <v>25</v>
      </c>
      <c r="L740" s="1">
        <v>45684</v>
      </c>
      <c r="M740" s="6">
        <f>WilsonData[[#This Row],[Discharge Date]]-WilsonData[[#This Row],[Date of Admission]]</f>
        <v>5</v>
      </c>
      <c r="N740" t="s">
        <v>27</v>
      </c>
    </row>
    <row r="741" spans="1:14" x14ac:dyDescent="0.35">
      <c r="A741" t="s">
        <v>1544</v>
      </c>
      <c r="B741">
        <v>49</v>
      </c>
      <c r="C741" t="str">
        <f>IF(WilsonData[[#This Row],[Age]]&lt;=18, "0-18", IF(WilsonData[[#This Row],[Age]]&lt;=35,"19-35", IF(WilsonData[[#This Row],[Age]]&lt;=50, "36-50",IF(WilsonData[[#This Row],[Age]]&lt;=65,"51-65", " 66+"))))</f>
        <v>36-50</v>
      </c>
      <c r="D741" t="s">
        <v>11</v>
      </c>
      <c r="E741" t="s">
        <v>34</v>
      </c>
      <c r="F741" t="s">
        <v>17</v>
      </c>
      <c r="G741" s="1">
        <v>45975</v>
      </c>
      <c r="H741" t="s">
        <v>39</v>
      </c>
      <c r="I741" s="2">
        <v>44150.492444979573</v>
      </c>
      <c r="J741">
        <v>370</v>
      </c>
      <c r="K741" t="s">
        <v>18</v>
      </c>
      <c r="L741" s="1">
        <v>45980</v>
      </c>
      <c r="M741" s="6">
        <f>WilsonData[[#This Row],[Discharge Date]]-WilsonData[[#This Row],[Date of Admission]]</f>
        <v>5</v>
      </c>
      <c r="N741" t="s">
        <v>19</v>
      </c>
    </row>
    <row r="742" spans="1:14" x14ac:dyDescent="0.35">
      <c r="A742" t="s">
        <v>1545</v>
      </c>
      <c r="B742">
        <v>78</v>
      </c>
      <c r="C742" t="str">
        <f>IF(WilsonData[[#This Row],[Age]]&lt;=18, "0-18", IF(WilsonData[[#This Row],[Age]]&lt;=35,"19-35", IF(WilsonData[[#This Row],[Age]]&lt;=50, "36-50",IF(WilsonData[[#This Row],[Age]]&lt;=65,"51-65", " 66+"))))</f>
        <v xml:space="preserve"> 66+</v>
      </c>
      <c r="D742" t="s">
        <v>20</v>
      </c>
      <c r="E742" t="s">
        <v>16</v>
      </c>
      <c r="F742" t="s">
        <v>28</v>
      </c>
      <c r="G742" s="1">
        <v>45945</v>
      </c>
      <c r="H742" t="s">
        <v>38</v>
      </c>
      <c r="I742" s="2">
        <v>3529.128245917163</v>
      </c>
      <c r="J742">
        <v>429</v>
      </c>
      <c r="K742" t="s">
        <v>25</v>
      </c>
      <c r="L742" s="1">
        <v>45958</v>
      </c>
      <c r="M742" s="6">
        <f>WilsonData[[#This Row],[Discharge Date]]-WilsonData[[#This Row],[Date of Admission]]</f>
        <v>13</v>
      </c>
      <c r="N742" t="s">
        <v>19</v>
      </c>
    </row>
    <row r="743" spans="1:14" x14ac:dyDescent="0.35">
      <c r="A743" t="s">
        <v>1546</v>
      </c>
      <c r="B743">
        <v>49</v>
      </c>
      <c r="C743" t="str">
        <f>IF(WilsonData[[#This Row],[Age]]&lt;=18, "0-18", IF(WilsonData[[#This Row],[Age]]&lt;=35,"19-35", IF(WilsonData[[#This Row],[Age]]&lt;=50, "36-50",IF(WilsonData[[#This Row],[Age]]&lt;=65,"51-65", " 66+"))))</f>
        <v>36-50</v>
      </c>
      <c r="D743" t="s">
        <v>11</v>
      </c>
      <c r="E743" t="s">
        <v>21</v>
      </c>
      <c r="F743" t="s">
        <v>13</v>
      </c>
      <c r="G743" s="1">
        <v>45864</v>
      </c>
      <c r="H743" t="s">
        <v>38</v>
      </c>
      <c r="I743" s="2">
        <v>43811.285269042113</v>
      </c>
      <c r="J743">
        <v>496</v>
      </c>
      <c r="K743" t="s">
        <v>25</v>
      </c>
      <c r="L743" s="1">
        <v>45875</v>
      </c>
      <c r="M743" s="6">
        <f>WilsonData[[#This Row],[Discharge Date]]-WilsonData[[#This Row],[Date of Admission]]</f>
        <v>11</v>
      </c>
      <c r="N743" t="s">
        <v>15</v>
      </c>
    </row>
    <row r="744" spans="1:14" x14ac:dyDescent="0.35">
      <c r="A744" t="s">
        <v>1547</v>
      </c>
      <c r="B744">
        <v>41</v>
      </c>
      <c r="C744" t="str">
        <f>IF(WilsonData[[#This Row],[Age]]&lt;=18, "0-18", IF(WilsonData[[#This Row],[Age]]&lt;=35,"19-35", IF(WilsonData[[#This Row],[Age]]&lt;=50, "36-50",IF(WilsonData[[#This Row],[Age]]&lt;=65,"51-65", " 66+"))))</f>
        <v>36-50</v>
      </c>
      <c r="D744" t="s">
        <v>11</v>
      </c>
      <c r="E744" t="s">
        <v>21</v>
      </c>
      <c r="F744" t="s">
        <v>13</v>
      </c>
      <c r="G744" s="1">
        <v>45943</v>
      </c>
      <c r="H744" t="s">
        <v>36</v>
      </c>
      <c r="I744" s="2">
        <v>39054.704749598372</v>
      </c>
      <c r="J744">
        <v>376</v>
      </c>
      <c r="K744" t="s">
        <v>14</v>
      </c>
      <c r="L744" s="1">
        <v>45956</v>
      </c>
      <c r="M744" s="6">
        <f>WilsonData[[#This Row],[Discharge Date]]-WilsonData[[#This Row],[Date of Admission]]</f>
        <v>13</v>
      </c>
      <c r="N744" t="s">
        <v>31</v>
      </c>
    </row>
    <row r="745" spans="1:14" x14ac:dyDescent="0.35">
      <c r="A745" t="s">
        <v>1548</v>
      </c>
      <c r="B745">
        <v>65</v>
      </c>
      <c r="C745" t="str">
        <f>IF(WilsonData[[#This Row],[Age]]&lt;=18, "0-18", IF(WilsonData[[#This Row],[Age]]&lt;=35,"19-35", IF(WilsonData[[#This Row],[Age]]&lt;=50, "36-50",IF(WilsonData[[#This Row],[Age]]&lt;=65,"51-65", " 66+"))))</f>
        <v>51-65</v>
      </c>
      <c r="D745" t="s">
        <v>11</v>
      </c>
      <c r="E745" t="s">
        <v>34</v>
      </c>
      <c r="F745" t="s">
        <v>30</v>
      </c>
      <c r="G745" s="1">
        <v>46020</v>
      </c>
      <c r="H745" t="s">
        <v>37</v>
      </c>
      <c r="I745" s="2">
        <v>30764.793774327602</v>
      </c>
      <c r="J745">
        <v>367</v>
      </c>
      <c r="K745" t="s">
        <v>18</v>
      </c>
      <c r="L745" s="1">
        <v>46022</v>
      </c>
      <c r="M745" s="6">
        <f>WilsonData[[#This Row],[Discharge Date]]-WilsonData[[#This Row],[Date of Admission]]</f>
        <v>2</v>
      </c>
      <c r="N745" t="s">
        <v>31</v>
      </c>
    </row>
    <row r="746" spans="1:14" x14ac:dyDescent="0.35">
      <c r="A746" t="s">
        <v>1549</v>
      </c>
      <c r="B746">
        <v>18</v>
      </c>
      <c r="C746" t="str">
        <f>IF(WilsonData[[#This Row],[Age]]&lt;=18, "0-18", IF(WilsonData[[#This Row],[Age]]&lt;=35,"19-35", IF(WilsonData[[#This Row],[Age]]&lt;=50, "36-50",IF(WilsonData[[#This Row],[Age]]&lt;=65,"51-65", " 66+"))))</f>
        <v>0-18</v>
      </c>
      <c r="D746" t="s">
        <v>20</v>
      </c>
      <c r="E746" t="s">
        <v>12</v>
      </c>
      <c r="F746" t="s">
        <v>24</v>
      </c>
      <c r="G746" s="1">
        <v>45778</v>
      </c>
      <c r="H746" t="s">
        <v>36</v>
      </c>
      <c r="I746" s="2">
        <v>42745.133582142364</v>
      </c>
      <c r="J746">
        <v>432</v>
      </c>
      <c r="K746" t="s">
        <v>25</v>
      </c>
      <c r="L746" s="1">
        <v>45792</v>
      </c>
      <c r="M746" s="6">
        <f>WilsonData[[#This Row],[Discharge Date]]-WilsonData[[#This Row],[Date of Admission]]</f>
        <v>14</v>
      </c>
      <c r="N746" t="s">
        <v>19</v>
      </c>
    </row>
    <row r="747" spans="1:14" x14ac:dyDescent="0.35">
      <c r="A747" t="s">
        <v>1550</v>
      </c>
      <c r="B747">
        <v>53</v>
      </c>
      <c r="C747" t="str">
        <f>IF(WilsonData[[#This Row],[Age]]&lt;=18, "0-18", IF(WilsonData[[#This Row],[Age]]&lt;=35,"19-35", IF(WilsonData[[#This Row],[Age]]&lt;=50, "36-50",IF(WilsonData[[#This Row],[Age]]&lt;=65,"51-65", " 66+"))))</f>
        <v>51-65</v>
      </c>
      <c r="D747" t="s">
        <v>20</v>
      </c>
      <c r="E747" t="s">
        <v>16</v>
      </c>
      <c r="F747" t="s">
        <v>13</v>
      </c>
      <c r="G747" s="1">
        <v>45964</v>
      </c>
      <c r="H747" t="s">
        <v>36</v>
      </c>
      <c r="I747" s="2">
        <v>39155.122642819559</v>
      </c>
      <c r="J747">
        <v>398</v>
      </c>
      <c r="K747" t="s">
        <v>25</v>
      </c>
      <c r="L747" s="1">
        <v>45967</v>
      </c>
      <c r="M747" s="6">
        <f>WilsonData[[#This Row],[Discharge Date]]-WilsonData[[#This Row],[Date of Admission]]</f>
        <v>3</v>
      </c>
      <c r="N747" t="s">
        <v>22</v>
      </c>
    </row>
    <row r="748" spans="1:14" x14ac:dyDescent="0.35">
      <c r="A748" t="s">
        <v>1551</v>
      </c>
      <c r="B748">
        <v>28</v>
      </c>
      <c r="C748" t="str">
        <f>IF(WilsonData[[#This Row],[Age]]&lt;=18, "0-18", IF(WilsonData[[#This Row],[Age]]&lt;=35,"19-35", IF(WilsonData[[#This Row],[Age]]&lt;=50, "36-50",IF(WilsonData[[#This Row],[Age]]&lt;=65,"51-65", " 66+"))))</f>
        <v>19-35</v>
      </c>
      <c r="D748" t="s">
        <v>20</v>
      </c>
      <c r="E748" t="s">
        <v>26</v>
      </c>
      <c r="F748" t="s">
        <v>17</v>
      </c>
      <c r="G748" s="1">
        <v>45680</v>
      </c>
      <c r="H748" t="s">
        <v>38</v>
      </c>
      <c r="I748" s="2">
        <v>44846.735938410398</v>
      </c>
      <c r="J748">
        <v>297</v>
      </c>
      <c r="K748" t="s">
        <v>18</v>
      </c>
      <c r="L748" s="1">
        <v>45683</v>
      </c>
      <c r="M748" s="6">
        <f>WilsonData[[#This Row],[Discharge Date]]-WilsonData[[#This Row],[Date of Admission]]</f>
        <v>3</v>
      </c>
      <c r="N748" t="s">
        <v>31</v>
      </c>
    </row>
    <row r="749" spans="1:14" x14ac:dyDescent="0.35">
      <c r="A749" t="s">
        <v>1552</v>
      </c>
      <c r="B749">
        <v>28</v>
      </c>
      <c r="C749" t="str">
        <f>IF(WilsonData[[#This Row],[Age]]&lt;=18, "0-18", IF(WilsonData[[#This Row],[Age]]&lt;=35,"19-35", IF(WilsonData[[#This Row],[Age]]&lt;=50, "36-50",IF(WilsonData[[#This Row],[Age]]&lt;=65,"51-65", " 66+"))))</f>
        <v>19-35</v>
      </c>
      <c r="D749" t="s">
        <v>20</v>
      </c>
      <c r="E749" t="s">
        <v>34</v>
      </c>
      <c r="F749" t="s">
        <v>24</v>
      </c>
      <c r="G749" s="1">
        <v>45835</v>
      </c>
      <c r="H749" t="s">
        <v>38</v>
      </c>
      <c r="I749" s="2">
        <v>40423.07443681013</v>
      </c>
      <c r="J749">
        <v>319</v>
      </c>
      <c r="K749" t="s">
        <v>14</v>
      </c>
      <c r="L749" s="1">
        <v>45839</v>
      </c>
      <c r="M749" s="6">
        <f>WilsonData[[#This Row],[Discharge Date]]-WilsonData[[#This Row],[Date of Admission]]</f>
        <v>4</v>
      </c>
      <c r="N749" t="s">
        <v>31</v>
      </c>
    </row>
    <row r="750" spans="1:14" x14ac:dyDescent="0.35">
      <c r="A750" t="s">
        <v>1553</v>
      </c>
      <c r="B750">
        <v>54</v>
      </c>
      <c r="C750" t="str">
        <f>IF(WilsonData[[#This Row],[Age]]&lt;=18, "0-18", IF(WilsonData[[#This Row],[Age]]&lt;=35,"19-35", IF(WilsonData[[#This Row],[Age]]&lt;=50, "36-50",IF(WilsonData[[#This Row],[Age]]&lt;=65,"51-65", " 66+"))))</f>
        <v>51-65</v>
      </c>
      <c r="D750" t="s">
        <v>20</v>
      </c>
      <c r="E750" t="s">
        <v>29</v>
      </c>
      <c r="F750" t="s">
        <v>17</v>
      </c>
      <c r="G750" s="1">
        <v>45891</v>
      </c>
      <c r="H750" t="s">
        <v>39</v>
      </c>
      <c r="I750" s="2">
        <v>45884.320913580203</v>
      </c>
      <c r="J750">
        <v>307</v>
      </c>
      <c r="K750" t="s">
        <v>14</v>
      </c>
      <c r="L750" s="1">
        <v>45905</v>
      </c>
      <c r="M750" s="6">
        <f>WilsonData[[#This Row],[Discharge Date]]-WilsonData[[#This Row],[Date of Admission]]</f>
        <v>14</v>
      </c>
      <c r="N750" t="s">
        <v>22</v>
      </c>
    </row>
    <row r="751" spans="1:14" x14ac:dyDescent="0.35">
      <c r="A751" t="s">
        <v>1554</v>
      </c>
      <c r="B751">
        <v>53</v>
      </c>
      <c r="C751" t="str">
        <f>IF(WilsonData[[#This Row],[Age]]&lt;=18, "0-18", IF(WilsonData[[#This Row],[Age]]&lt;=35,"19-35", IF(WilsonData[[#This Row],[Age]]&lt;=50, "36-50",IF(WilsonData[[#This Row],[Age]]&lt;=65,"51-65", " 66+"))))</f>
        <v>51-65</v>
      </c>
      <c r="D751" t="s">
        <v>20</v>
      </c>
      <c r="E751" t="s">
        <v>23</v>
      </c>
      <c r="F751" t="s">
        <v>13</v>
      </c>
      <c r="G751" s="1">
        <v>45834</v>
      </c>
      <c r="H751" t="s">
        <v>38</v>
      </c>
      <c r="I751" s="2">
        <v>9024.0923011812956</v>
      </c>
      <c r="J751">
        <v>178</v>
      </c>
      <c r="K751" t="s">
        <v>25</v>
      </c>
      <c r="L751" s="1">
        <v>45844</v>
      </c>
      <c r="M751" s="6">
        <f>WilsonData[[#This Row],[Discharge Date]]-WilsonData[[#This Row],[Date of Admission]]</f>
        <v>10</v>
      </c>
      <c r="N751" t="s">
        <v>27</v>
      </c>
    </row>
    <row r="752" spans="1:14" x14ac:dyDescent="0.35">
      <c r="A752" t="s">
        <v>1555</v>
      </c>
      <c r="B752">
        <v>40</v>
      </c>
      <c r="C752" t="str">
        <f>IF(WilsonData[[#This Row],[Age]]&lt;=18, "0-18", IF(WilsonData[[#This Row],[Age]]&lt;=35,"19-35", IF(WilsonData[[#This Row],[Age]]&lt;=50, "36-50",IF(WilsonData[[#This Row],[Age]]&lt;=65,"51-65", " 66+"))))</f>
        <v>36-50</v>
      </c>
      <c r="D752" t="s">
        <v>20</v>
      </c>
      <c r="E752" t="s">
        <v>34</v>
      </c>
      <c r="F752" t="s">
        <v>17</v>
      </c>
      <c r="G752" s="1">
        <v>45933</v>
      </c>
      <c r="H752" t="s">
        <v>37</v>
      </c>
      <c r="I752" s="2">
        <v>5805.9611122889837</v>
      </c>
      <c r="J752">
        <v>429</v>
      </c>
      <c r="K752" t="s">
        <v>18</v>
      </c>
      <c r="L752" s="1">
        <v>45935</v>
      </c>
      <c r="M752" s="6">
        <f>WilsonData[[#This Row],[Discharge Date]]-WilsonData[[#This Row],[Date of Admission]]</f>
        <v>2</v>
      </c>
      <c r="N752" t="s">
        <v>22</v>
      </c>
    </row>
    <row r="753" spans="1:14" x14ac:dyDescent="0.35">
      <c r="A753" t="s">
        <v>1556</v>
      </c>
      <c r="B753">
        <v>16</v>
      </c>
      <c r="C753" t="str">
        <f>IF(WilsonData[[#This Row],[Age]]&lt;=18, "0-18", IF(WilsonData[[#This Row],[Age]]&lt;=35,"19-35", IF(WilsonData[[#This Row],[Age]]&lt;=50, "36-50",IF(WilsonData[[#This Row],[Age]]&lt;=65,"51-65", " 66+"))))</f>
        <v>0-18</v>
      </c>
      <c r="D753" t="s">
        <v>20</v>
      </c>
      <c r="E753" t="s">
        <v>21</v>
      </c>
      <c r="F753" t="s">
        <v>17</v>
      </c>
      <c r="G753" s="1">
        <v>45914</v>
      </c>
      <c r="H753" t="s">
        <v>39</v>
      </c>
      <c r="I753" s="2">
        <v>21031.774536882211</v>
      </c>
      <c r="J753">
        <v>413</v>
      </c>
      <c r="K753" t="s">
        <v>14</v>
      </c>
      <c r="L753" s="1">
        <v>45915</v>
      </c>
      <c r="M753" s="6">
        <f>WilsonData[[#This Row],[Discharge Date]]-WilsonData[[#This Row],[Date of Admission]]</f>
        <v>1</v>
      </c>
      <c r="N753" t="s">
        <v>27</v>
      </c>
    </row>
    <row r="754" spans="1:14" x14ac:dyDescent="0.35">
      <c r="A754" t="s">
        <v>1557</v>
      </c>
      <c r="B754">
        <v>35</v>
      </c>
      <c r="C754" t="str">
        <f>IF(WilsonData[[#This Row],[Age]]&lt;=18, "0-18", IF(WilsonData[[#This Row],[Age]]&lt;=35,"19-35", IF(WilsonData[[#This Row],[Age]]&lt;=50, "36-50",IF(WilsonData[[#This Row],[Age]]&lt;=65,"51-65", " 66+"))))</f>
        <v>19-35</v>
      </c>
      <c r="D754" t="s">
        <v>20</v>
      </c>
      <c r="E754" t="s">
        <v>29</v>
      </c>
      <c r="F754" t="s">
        <v>28</v>
      </c>
      <c r="G754" s="1">
        <v>45825</v>
      </c>
      <c r="H754" t="s">
        <v>37</v>
      </c>
      <c r="I754" s="2">
        <v>3836.597755206722</v>
      </c>
      <c r="J754">
        <v>328</v>
      </c>
      <c r="K754" t="s">
        <v>14</v>
      </c>
      <c r="L754" s="1">
        <v>45826</v>
      </c>
      <c r="M754" s="6">
        <f>WilsonData[[#This Row],[Discharge Date]]-WilsonData[[#This Row],[Date of Admission]]</f>
        <v>1</v>
      </c>
      <c r="N754" t="s">
        <v>31</v>
      </c>
    </row>
    <row r="755" spans="1:14" x14ac:dyDescent="0.35">
      <c r="A755" t="s">
        <v>1558</v>
      </c>
      <c r="B755">
        <v>47</v>
      </c>
      <c r="C755" t="str">
        <f>IF(WilsonData[[#This Row],[Age]]&lt;=18, "0-18", IF(WilsonData[[#This Row],[Age]]&lt;=35,"19-35", IF(WilsonData[[#This Row],[Age]]&lt;=50, "36-50",IF(WilsonData[[#This Row],[Age]]&lt;=65,"51-65", " 66+"))))</f>
        <v>36-50</v>
      </c>
      <c r="D755" t="s">
        <v>20</v>
      </c>
      <c r="E755" t="s">
        <v>12</v>
      </c>
      <c r="F755" t="s">
        <v>17</v>
      </c>
      <c r="G755" s="1">
        <v>45837</v>
      </c>
      <c r="H755" t="s">
        <v>38</v>
      </c>
      <c r="I755" s="2">
        <v>24265.501336028719</v>
      </c>
      <c r="J755">
        <v>326</v>
      </c>
      <c r="K755" t="s">
        <v>14</v>
      </c>
      <c r="L755" s="1">
        <v>45844</v>
      </c>
      <c r="M755" s="6">
        <f>WilsonData[[#This Row],[Discharge Date]]-WilsonData[[#This Row],[Date of Admission]]</f>
        <v>7</v>
      </c>
      <c r="N755" t="s">
        <v>27</v>
      </c>
    </row>
    <row r="756" spans="1:14" x14ac:dyDescent="0.35">
      <c r="A756" t="s">
        <v>1559</v>
      </c>
      <c r="B756">
        <v>48</v>
      </c>
      <c r="C756" t="str">
        <f>IF(WilsonData[[#This Row],[Age]]&lt;=18, "0-18", IF(WilsonData[[#This Row],[Age]]&lt;=35,"19-35", IF(WilsonData[[#This Row],[Age]]&lt;=50, "36-50",IF(WilsonData[[#This Row],[Age]]&lt;=65,"51-65", " 66+"))))</f>
        <v>36-50</v>
      </c>
      <c r="D756" t="s">
        <v>20</v>
      </c>
      <c r="E756" t="s">
        <v>33</v>
      </c>
      <c r="F756" t="s">
        <v>13</v>
      </c>
      <c r="G756" s="1">
        <v>45704</v>
      </c>
      <c r="H756" t="s">
        <v>36</v>
      </c>
      <c r="I756" s="2">
        <v>4794.7513545462562</v>
      </c>
      <c r="J756">
        <v>382</v>
      </c>
      <c r="K756" t="s">
        <v>18</v>
      </c>
      <c r="L756" s="1">
        <v>45708</v>
      </c>
      <c r="M756" s="6">
        <f>WilsonData[[#This Row],[Discharge Date]]-WilsonData[[#This Row],[Date of Admission]]</f>
        <v>4</v>
      </c>
      <c r="N756" t="s">
        <v>15</v>
      </c>
    </row>
    <row r="757" spans="1:14" x14ac:dyDescent="0.35">
      <c r="A757" t="s">
        <v>1560</v>
      </c>
      <c r="B757">
        <v>45</v>
      </c>
      <c r="C757" t="str">
        <f>IF(WilsonData[[#This Row],[Age]]&lt;=18, "0-18", IF(WilsonData[[#This Row],[Age]]&lt;=35,"19-35", IF(WilsonData[[#This Row],[Age]]&lt;=50, "36-50",IF(WilsonData[[#This Row],[Age]]&lt;=65,"51-65", " 66+"))))</f>
        <v>36-50</v>
      </c>
      <c r="D757" t="s">
        <v>11</v>
      </c>
      <c r="E757" t="s">
        <v>23</v>
      </c>
      <c r="F757" t="s">
        <v>30</v>
      </c>
      <c r="G757" s="1">
        <v>45823</v>
      </c>
      <c r="H757" t="s">
        <v>36</v>
      </c>
      <c r="I757" s="2">
        <v>13519.77433735948</v>
      </c>
      <c r="J757">
        <v>436</v>
      </c>
      <c r="K757" t="s">
        <v>18</v>
      </c>
      <c r="L757" s="1">
        <v>45832</v>
      </c>
      <c r="M757" s="6">
        <f>WilsonData[[#This Row],[Discharge Date]]-WilsonData[[#This Row],[Date of Admission]]</f>
        <v>9</v>
      </c>
      <c r="N757" t="s">
        <v>19</v>
      </c>
    </row>
    <row r="758" spans="1:14" x14ac:dyDescent="0.35">
      <c r="A758" t="s">
        <v>1561</v>
      </c>
      <c r="B758">
        <v>66</v>
      </c>
      <c r="C758" t="str">
        <f>IF(WilsonData[[#This Row],[Age]]&lt;=18, "0-18", IF(WilsonData[[#This Row],[Age]]&lt;=35,"19-35", IF(WilsonData[[#This Row],[Age]]&lt;=50, "36-50",IF(WilsonData[[#This Row],[Age]]&lt;=65,"51-65", " 66+"))))</f>
        <v xml:space="preserve"> 66+</v>
      </c>
      <c r="D758" t="s">
        <v>11</v>
      </c>
      <c r="E758" t="s">
        <v>21</v>
      </c>
      <c r="F758" t="s">
        <v>17</v>
      </c>
      <c r="G758" s="1">
        <v>45933</v>
      </c>
      <c r="H758" t="s">
        <v>37</v>
      </c>
      <c r="I758" s="2">
        <v>35395.467399047513</v>
      </c>
      <c r="J758">
        <v>492</v>
      </c>
      <c r="K758" t="s">
        <v>18</v>
      </c>
      <c r="L758" s="1">
        <v>45934</v>
      </c>
      <c r="M758" s="6">
        <f>WilsonData[[#This Row],[Discharge Date]]-WilsonData[[#This Row],[Date of Admission]]</f>
        <v>1</v>
      </c>
      <c r="N758" t="s">
        <v>22</v>
      </c>
    </row>
    <row r="759" spans="1:14" x14ac:dyDescent="0.35">
      <c r="A759" t="s">
        <v>1562</v>
      </c>
      <c r="B759">
        <v>25</v>
      </c>
      <c r="C759" t="str">
        <f>IF(WilsonData[[#This Row],[Age]]&lt;=18, "0-18", IF(WilsonData[[#This Row],[Age]]&lt;=35,"19-35", IF(WilsonData[[#This Row],[Age]]&lt;=50, "36-50",IF(WilsonData[[#This Row],[Age]]&lt;=65,"51-65", " 66+"))))</f>
        <v>19-35</v>
      </c>
      <c r="D759" t="s">
        <v>11</v>
      </c>
      <c r="E759" t="s">
        <v>12</v>
      </c>
      <c r="F759" t="s">
        <v>13</v>
      </c>
      <c r="G759" s="1">
        <v>45953</v>
      </c>
      <c r="H759" t="s">
        <v>38</v>
      </c>
      <c r="I759" s="2">
        <v>36107.473548309463</v>
      </c>
      <c r="J759">
        <v>149</v>
      </c>
      <c r="K759" t="s">
        <v>14</v>
      </c>
      <c r="L759" s="1">
        <v>45965</v>
      </c>
      <c r="M759" s="6">
        <f>WilsonData[[#This Row],[Discharge Date]]-WilsonData[[#This Row],[Date of Admission]]</f>
        <v>12</v>
      </c>
      <c r="N759" t="s">
        <v>19</v>
      </c>
    </row>
    <row r="760" spans="1:14" x14ac:dyDescent="0.35">
      <c r="A760" t="s">
        <v>1563</v>
      </c>
      <c r="B760">
        <v>72</v>
      </c>
      <c r="C760" t="str">
        <f>IF(WilsonData[[#This Row],[Age]]&lt;=18, "0-18", IF(WilsonData[[#This Row],[Age]]&lt;=35,"19-35", IF(WilsonData[[#This Row],[Age]]&lt;=50, "36-50",IF(WilsonData[[#This Row],[Age]]&lt;=65,"51-65", " 66+"))))</f>
        <v xml:space="preserve"> 66+</v>
      </c>
      <c r="D760" t="s">
        <v>11</v>
      </c>
      <c r="E760" t="s">
        <v>34</v>
      </c>
      <c r="F760" t="s">
        <v>13</v>
      </c>
      <c r="G760" s="1">
        <v>45843</v>
      </c>
      <c r="H760" t="s">
        <v>39</v>
      </c>
      <c r="I760" s="2">
        <v>658.3915547217216</v>
      </c>
      <c r="J760">
        <v>432</v>
      </c>
      <c r="K760" t="s">
        <v>14</v>
      </c>
      <c r="L760" s="1">
        <v>45846</v>
      </c>
      <c r="M760" s="6">
        <f>WilsonData[[#This Row],[Discharge Date]]-WilsonData[[#This Row],[Date of Admission]]</f>
        <v>3</v>
      </c>
      <c r="N760" t="s">
        <v>22</v>
      </c>
    </row>
    <row r="761" spans="1:14" x14ac:dyDescent="0.35">
      <c r="A761" t="s">
        <v>1564</v>
      </c>
      <c r="B761">
        <v>33</v>
      </c>
      <c r="C761" t="str">
        <f>IF(WilsonData[[#This Row],[Age]]&lt;=18, "0-18", IF(WilsonData[[#This Row],[Age]]&lt;=35,"19-35", IF(WilsonData[[#This Row],[Age]]&lt;=50, "36-50",IF(WilsonData[[#This Row],[Age]]&lt;=65,"51-65", " 66+"))))</f>
        <v>19-35</v>
      </c>
      <c r="D761" t="s">
        <v>20</v>
      </c>
      <c r="E761" t="s">
        <v>16</v>
      </c>
      <c r="F761" t="s">
        <v>24</v>
      </c>
      <c r="G761" s="1">
        <v>45958</v>
      </c>
      <c r="H761" t="s">
        <v>36</v>
      </c>
      <c r="I761" s="2">
        <v>34358.836547566927</v>
      </c>
      <c r="J761">
        <v>312</v>
      </c>
      <c r="K761" t="s">
        <v>14</v>
      </c>
      <c r="L761" s="1">
        <v>45964</v>
      </c>
      <c r="M761" s="6">
        <f>WilsonData[[#This Row],[Discharge Date]]-WilsonData[[#This Row],[Date of Admission]]</f>
        <v>6</v>
      </c>
      <c r="N761" t="s">
        <v>15</v>
      </c>
    </row>
    <row r="762" spans="1:14" x14ac:dyDescent="0.35">
      <c r="A762" t="s">
        <v>1565</v>
      </c>
      <c r="B762">
        <v>38</v>
      </c>
      <c r="C762" t="str">
        <f>IF(WilsonData[[#This Row],[Age]]&lt;=18, "0-18", IF(WilsonData[[#This Row],[Age]]&lt;=35,"19-35", IF(WilsonData[[#This Row],[Age]]&lt;=50, "36-50",IF(WilsonData[[#This Row],[Age]]&lt;=65,"51-65", " 66+"))))</f>
        <v>36-50</v>
      </c>
      <c r="D762" t="s">
        <v>11</v>
      </c>
      <c r="E762" t="s">
        <v>21</v>
      </c>
      <c r="F762" t="s">
        <v>32</v>
      </c>
      <c r="G762" s="1">
        <v>45867</v>
      </c>
      <c r="H762" t="s">
        <v>39</v>
      </c>
      <c r="I762" s="2">
        <v>44839.305941457962</v>
      </c>
      <c r="J762">
        <v>138</v>
      </c>
      <c r="K762" t="s">
        <v>18</v>
      </c>
      <c r="L762" s="1">
        <v>45874</v>
      </c>
      <c r="M762" s="6">
        <f>WilsonData[[#This Row],[Discharge Date]]-WilsonData[[#This Row],[Date of Admission]]</f>
        <v>7</v>
      </c>
      <c r="N762" t="s">
        <v>27</v>
      </c>
    </row>
    <row r="763" spans="1:14" x14ac:dyDescent="0.35">
      <c r="A763" t="s">
        <v>1566</v>
      </c>
      <c r="B763">
        <v>51</v>
      </c>
      <c r="C763" t="str">
        <f>IF(WilsonData[[#This Row],[Age]]&lt;=18, "0-18", IF(WilsonData[[#This Row],[Age]]&lt;=35,"19-35", IF(WilsonData[[#This Row],[Age]]&lt;=50, "36-50",IF(WilsonData[[#This Row],[Age]]&lt;=65,"51-65", " 66+"))))</f>
        <v>51-65</v>
      </c>
      <c r="D763" t="s">
        <v>20</v>
      </c>
      <c r="E763" t="s">
        <v>21</v>
      </c>
      <c r="F763" t="s">
        <v>17</v>
      </c>
      <c r="G763" s="1">
        <v>45877</v>
      </c>
      <c r="H763" t="s">
        <v>36</v>
      </c>
      <c r="I763" s="2">
        <v>32006.03156588805</v>
      </c>
      <c r="J763">
        <v>200</v>
      </c>
      <c r="K763" t="s">
        <v>14</v>
      </c>
      <c r="L763" s="1">
        <v>45889</v>
      </c>
      <c r="M763" s="6">
        <f>WilsonData[[#This Row],[Discharge Date]]-WilsonData[[#This Row],[Date of Admission]]</f>
        <v>12</v>
      </c>
      <c r="N763" t="s">
        <v>27</v>
      </c>
    </row>
    <row r="764" spans="1:14" x14ac:dyDescent="0.35">
      <c r="A764" t="s">
        <v>1567</v>
      </c>
      <c r="B764">
        <v>82</v>
      </c>
      <c r="C764" t="str">
        <f>IF(WilsonData[[#This Row],[Age]]&lt;=18, "0-18", IF(WilsonData[[#This Row],[Age]]&lt;=35,"19-35", IF(WilsonData[[#This Row],[Age]]&lt;=50, "36-50",IF(WilsonData[[#This Row],[Age]]&lt;=65,"51-65", " 66+"))))</f>
        <v xml:space="preserve"> 66+</v>
      </c>
      <c r="D764" t="s">
        <v>20</v>
      </c>
      <c r="E764" t="s">
        <v>16</v>
      </c>
      <c r="F764" t="s">
        <v>13</v>
      </c>
      <c r="G764" s="1">
        <v>45667</v>
      </c>
      <c r="H764" t="s">
        <v>37</v>
      </c>
      <c r="I764" s="2">
        <v>27971.280360766319</v>
      </c>
      <c r="J764">
        <v>120</v>
      </c>
      <c r="K764" t="s">
        <v>18</v>
      </c>
      <c r="L764" s="1">
        <v>45672</v>
      </c>
      <c r="M764" s="6">
        <f>WilsonData[[#This Row],[Discharge Date]]-WilsonData[[#This Row],[Date of Admission]]</f>
        <v>5</v>
      </c>
      <c r="N764" t="s">
        <v>31</v>
      </c>
    </row>
    <row r="765" spans="1:14" x14ac:dyDescent="0.35">
      <c r="A765" t="s">
        <v>1568</v>
      </c>
      <c r="B765">
        <v>26</v>
      </c>
      <c r="C765" t="str">
        <f>IF(WilsonData[[#This Row],[Age]]&lt;=18, "0-18", IF(WilsonData[[#This Row],[Age]]&lt;=35,"19-35", IF(WilsonData[[#This Row],[Age]]&lt;=50, "36-50",IF(WilsonData[[#This Row],[Age]]&lt;=65,"51-65", " 66+"))))</f>
        <v>19-35</v>
      </c>
      <c r="D765" t="s">
        <v>11</v>
      </c>
      <c r="E765" t="s">
        <v>33</v>
      </c>
      <c r="F765" t="s">
        <v>13</v>
      </c>
      <c r="G765" s="1">
        <v>46010</v>
      </c>
      <c r="H765" t="s">
        <v>37</v>
      </c>
      <c r="I765" s="2">
        <v>18548.756069179719</v>
      </c>
      <c r="J765">
        <v>297</v>
      </c>
      <c r="K765" t="s">
        <v>14</v>
      </c>
      <c r="L765" s="1">
        <v>46012</v>
      </c>
      <c r="M765" s="6">
        <f>WilsonData[[#This Row],[Discharge Date]]-WilsonData[[#This Row],[Date of Admission]]</f>
        <v>2</v>
      </c>
      <c r="N765" t="s">
        <v>27</v>
      </c>
    </row>
    <row r="766" spans="1:14" x14ac:dyDescent="0.35">
      <c r="A766" t="s">
        <v>1569</v>
      </c>
      <c r="B766">
        <v>86</v>
      </c>
      <c r="C766" t="str">
        <f>IF(WilsonData[[#This Row],[Age]]&lt;=18, "0-18", IF(WilsonData[[#This Row],[Age]]&lt;=35,"19-35", IF(WilsonData[[#This Row],[Age]]&lt;=50, "36-50",IF(WilsonData[[#This Row],[Age]]&lt;=65,"51-65", " 66+"))))</f>
        <v xml:space="preserve"> 66+</v>
      </c>
      <c r="D766" t="s">
        <v>11</v>
      </c>
      <c r="E766" t="s">
        <v>21</v>
      </c>
      <c r="F766" t="s">
        <v>32</v>
      </c>
      <c r="G766" s="1">
        <v>45975</v>
      </c>
      <c r="H766" t="s">
        <v>36</v>
      </c>
      <c r="I766" s="2">
        <v>39776.67135155655</v>
      </c>
      <c r="J766">
        <v>194</v>
      </c>
      <c r="K766" t="s">
        <v>25</v>
      </c>
      <c r="L766" s="1">
        <v>45983</v>
      </c>
      <c r="M766" s="6">
        <f>WilsonData[[#This Row],[Discharge Date]]-WilsonData[[#This Row],[Date of Admission]]</f>
        <v>8</v>
      </c>
      <c r="N766" t="s">
        <v>15</v>
      </c>
    </row>
    <row r="767" spans="1:14" x14ac:dyDescent="0.35">
      <c r="A767" t="s">
        <v>1570</v>
      </c>
      <c r="B767">
        <v>56</v>
      </c>
      <c r="C767" t="str">
        <f>IF(WilsonData[[#This Row],[Age]]&lt;=18, "0-18", IF(WilsonData[[#This Row],[Age]]&lt;=35,"19-35", IF(WilsonData[[#This Row],[Age]]&lt;=50, "36-50",IF(WilsonData[[#This Row],[Age]]&lt;=65,"51-65", " 66+"))))</f>
        <v>51-65</v>
      </c>
      <c r="D767" t="s">
        <v>11</v>
      </c>
      <c r="E767" t="s">
        <v>23</v>
      </c>
      <c r="F767" t="s">
        <v>32</v>
      </c>
      <c r="G767" s="1">
        <v>45666</v>
      </c>
      <c r="H767" t="s">
        <v>36</v>
      </c>
      <c r="I767" s="2">
        <v>42056.044881278911</v>
      </c>
      <c r="J767">
        <v>277</v>
      </c>
      <c r="K767" t="s">
        <v>18</v>
      </c>
      <c r="L767" s="1">
        <v>45674</v>
      </c>
      <c r="M767" s="6">
        <f>WilsonData[[#This Row],[Discharge Date]]-WilsonData[[#This Row],[Date of Admission]]</f>
        <v>8</v>
      </c>
      <c r="N767" t="s">
        <v>15</v>
      </c>
    </row>
  </sheetData>
  <phoneticPr fontId="18"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67"/>
  <sheetViews>
    <sheetView zoomScale="85" zoomScaleNormal="85" workbookViewId="0">
      <selection activeCell="B1" sqref="A1:XFD1048576"/>
    </sheetView>
  </sheetViews>
  <sheetFormatPr defaultRowHeight="14.5" x14ac:dyDescent="0.35"/>
  <cols>
    <col min="1" max="1" width="12" customWidth="1"/>
    <col min="3" max="3" width="12.08984375" customWidth="1"/>
    <col min="4" max="4" width="17.90625" customWidth="1"/>
    <col min="5" max="6" width="19.26953125" bestFit="1" customWidth="1"/>
    <col min="7" max="7" width="18.453125" customWidth="1"/>
    <col min="8" max="8" width="16.36328125" customWidth="1"/>
    <col min="9" max="9" width="15.90625" customWidth="1"/>
    <col min="10" max="11" width="18.90625" bestFit="1" customWidth="1"/>
    <col min="12" max="12" width="12.6328125" customWidth="1"/>
  </cols>
  <sheetData>
    <row r="1" spans="1:12" x14ac:dyDescent="0.35">
      <c r="A1" t="s">
        <v>35</v>
      </c>
      <c r="B1" t="s">
        <v>806</v>
      </c>
      <c r="C1" t="s">
        <v>1</v>
      </c>
      <c r="D1" t="s">
        <v>2</v>
      </c>
      <c r="E1" t="s">
        <v>3</v>
      </c>
      <c r="F1" t="s">
        <v>4</v>
      </c>
      <c r="G1" t="s">
        <v>5</v>
      </c>
      <c r="H1" t="s">
        <v>6</v>
      </c>
      <c r="I1" t="s">
        <v>7</v>
      </c>
      <c r="J1" t="s">
        <v>8</v>
      </c>
      <c r="K1" t="s">
        <v>9</v>
      </c>
      <c r="L1" t="s">
        <v>10</v>
      </c>
    </row>
    <row r="2" spans="1:12" x14ac:dyDescent="0.35">
      <c r="A2" t="s">
        <v>40</v>
      </c>
      <c r="B2">
        <v>67</v>
      </c>
      <c r="C2" t="s">
        <v>20</v>
      </c>
      <c r="D2" t="s">
        <v>21</v>
      </c>
      <c r="E2" t="s">
        <v>28</v>
      </c>
      <c r="F2">
        <v>45987</v>
      </c>
      <c r="G2" t="s">
        <v>36</v>
      </c>
      <c r="H2">
        <v>42.514588553324302</v>
      </c>
      <c r="I2">
        <v>115</v>
      </c>
      <c r="J2" t="s">
        <v>25</v>
      </c>
      <c r="K2">
        <v>45988</v>
      </c>
      <c r="L2" t="s">
        <v>22</v>
      </c>
    </row>
    <row r="3" spans="1:12" x14ac:dyDescent="0.35">
      <c r="A3" t="s">
        <v>41</v>
      </c>
      <c r="B3">
        <v>72</v>
      </c>
      <c r="C3" t="s">
        <v>20</v>
      </c>
      <c r="D3" t="s">
        <v>26</v>
      </c>
      <c r="E3" t="s">
        <v>30</v>
      </c>
      <c r="F3">
        <v>45973</v>
      </c>
      <c r="G3" t="s">
        <v>37</v>
      </c>
      <c r="H3">
        <v>33211.295419012022</v>
      </c>
      <c r="I3">
        <v>109</v>
      </c>
      <c r="J3" t="s">
        <v>18</v>
      </c>
      <c r="K3">
        <v>45978</v>
      </c>
      <c r="L3" t="s">
        <v>15</v>
      </c>
    </row>
    <row r="4" spans="1:12" x14ac:dyDescent="0.35">
      <c r="A4" t="s">
        <v>42</v>
      </c>
      <c r="B4">
        <v>57</v>
      </c>
      <c r="C4" t="s">
        <v>11</v>
      </c>
      <c r="D4" t="s">
        <v>12</v>
      </c>
      <c r="E4" t="s">
        <v>32</v>
      </c>
      <c r="F4">
        <v>46002</v>
      </c>
      <c r="G4" t="s">
        <v>38</v>
      </c>
      <c r="H4">
        <v>46429.508203722617</v>
      </c>
      <c r="I4">
        <v>233</v>
      </c>
      <c r="J4" t="s">
        <v>25</v>
      </c>
      <c r="K4">
        <v>46012</v>
      </c>
      <c r="L4" t="s">
        <v>15</v>
      </c>
    </row>
    <row r="5" spans="1:12" x14ac:dyDescent="0.35">
      <c r="A5" t="s">
        <v>43</v>
      </c>
      <c r="B5">
        <v>21</v>
      </c>
      <c r="C5" t="s">
        <v>11</v>
      </c>
      <c r="D5" t="s">
        <v>23</v>
      </c>
      <c r="E5" t="s">
        <v>24</v>
      </c>
      <c r="F5">
        <v>45860</v>
      </c>
      <c r="G5" t="s">
        <v>36</v>
      </c>
      <c r="H5">
        <v>12880.652412771489</v>
      </c>
      <c r="I5">
        <v>267</v>
      </c>
      <c r="J5" t="s">
        <v>14</v>
      </c>
      <c r="K5">
        <v>45865</v>
      </c>
      <c r="L5" t="s">
        <v>27</v>
      </c>
    </row>
    <row r="6" spans="1:12" x14ac:dyDescent="0.35">
      <c r="A6" t="s">
        <v>44</v>
      </c>
      <c r="B6">
        <v>34</v>
      </c>
      <c r="C6" t="s">
        <v>20</v>
      </c>
      <c r="D6" t="s">
        <v>23</v>
      </c>
      <c r="E6" t="s">
        <v>13</v>
      </c>
      <c r="F6">
        <v>45686</v>
      </c>
      <c r="G6" t="s">
        <v>36</v>
      </c>
      <c r="H6">
        <v>18524.86663748576</v>
      </c>
      <c r="I6">
        <v>472</v>
      </c>
      <c r="J6" t="s">
        <v>14</v>
      </c>
      <c r="K6">
        <v>45689</v>
      </c>
      <c r="L6" t="s">
        <v>31</v>
      </c>
    </row>
    <row r="7" spans="1:12" x14ac:dyDescent="0.35">
      <c r="A7" t="s">
        <v>45</v>
      </c>
      <c r="B7">
        <v>56</v>
      </c>
      <c r="C7" t="s">
        <v>11</v>
      </c>
      <c r="D7" t="s">
        <v>12</v>
      </c>
      <c r="E7" t="s">
        <v>24</v>
      </c>
      <c r="F7">
        <v>45773</v>
      </c>
      <c r="G7" t="s">
        <v>37</v>
      </c>
      <c r="H7">
        <v>26437.774630145719</v>
      </c>
      <c r="I7">
        <v>267</v>
      </c>
      <c r="J7" t="s">
        <v>18</v>
      </c>
      <c r="K7">
        <v>45778</v>
      </c>
      <c r="L7" t="s">
        <v>19</v>
      </c>
    </row>
    <row r="8" spans="1:12" x14ac:dyDescent="0.35">
      <c r="A8" t="s">
        <v>46</v>
      </c>
      <c r="B8">
        <v>30</v>
      </c>
      <c r="C8" t="s">
        <v>11</v>
      </c>
      <c r="D8" t="s">
        <v>21</v>
      </c>
      <c r="E8" t="s">
        <v>13</v>
      </c>
      <c r="F8">
        <v>45832</v>
      </c>
      <c r="G8" t="s">
        <v>39</v>
      </c>
      <c r="H8">
        <v>2879.4605320542428</v>
      </c>
      <c r="I8">
        <v>183</v>
      </c>
      <c r="J8" t="s">
        <v>14</v>
      </c>
      <c r="K8">
        <v>45835</v>
      </c>
      <c r="L8" t="s">
        <v>19</v>
      </c>
    </row>
    <row r="9" spans="1:12" x14ac:dyDescent="0.35">
      <c r="A9" t="s">
        <v>47</v>
      </c>
      <c r="B9">
        <v>25</v>
      </c>
      <c r="C9" t="s">
        <v>20</v>
      </c>
      <c r="D9" t="s">
        <v>16</v>
      </c>
      <c r="E9" t="s">
        <v>13</v>
      </c>
      <c r="F9">
        <v>45890</v>
      </c>
      <c r="G9" t="s">
        <v>38</v>
      </c>
      <c r="H9">
        <v>36990.455775325318</v>
      </c>
      <c r="I9">
        <v>356</v>
      </c>
      <c r="J9" t="s">
        <v>14</v>
      </c>
      <c r="K9">
        <v>45892</v>
      </c>
      <c r="L9" t="s">
        <v>22</v>
      </c>
    </row>
    <row r="10" spans="1:12" x14ac:dyDescent="0.35">
      <c r="A10" t="s">
        <v>48</v>
      </c>
      <c r="B10">
        <v>49</v>
      </c>
      <c r="C10" t="s">
        <v>20</v>
      </c>
      <c r="D10" t="s">
        <v>23</v>
      </c>
      <c r="E10" t="s">
        <v>24</v>
      </c>
      <c r="F10">
        <v>45678</v>
      </c>
      <c r="G10" t="s">
        <v>39</v>
      </c>
      <c r="H10">
        <v>2133.7372022713962</v>
      </c>
      <c r="I10">
        <v>189</v>
      </c>
      <c r="J10" t="s">
        <v>14</v>
      </c>
      <c r="K10">
        <v>45683</v>
      </c>
      <c r="L10" t="s">
        <v>19</v>
      </c>
    </row>
    <row r="11" spans="1:12" x14ac:dyDescent="0.35">
      <c r="A11" t="s">
        <v>49</v>
      </c>
      <c r="B11">
        <v>49</v>
      </c>
      <c r="C11" t="s">
        <v>11</v>
      </c>
      <c r="D11" t="s">
        <v>21</v>
      </c>
      <c r="E11" t="s">
        <v>24</v>
      </c>
      <c r="F11">
        <v>45941</v>
      </c>
      <c r="G11" t="s">
        <v>37</v>
      </c>
      <c r="H11">
        <v>37636.441661616896</v>
      </c>
      <c r="I11">
        <v>385</v>
      </c>
      <c r="J11" t="s">
        <v>25</v>
      </c>
      <c r="K11">
        <v>45953</v>
      </c>
      <c r="L11" t="s">
        <v>19</v>
      </c>
    </row>
    <row r="12" spans="1:12" x14ac:dyDescent="0.35">
      <c r="A12" t="s">
        <v>50</v>
      </c>
      <c r="B12">
        <v>61</v>
      </c>
      <c r="C12" t="s">
        <v>20</v>
      </c>
      <c r="D12" t="s">
        <v>26</v>
      </c>
      <c r="E12" t="s">
        <v>30</v>
      </c>
      <c r="F12">
        <v>45831</v>
      </c>
      <c r="G12" t="s">
        <v>39</v>
      </c>
      <c r="H12">
        <v>20577.708926659619</v>
      </c>
      <c r="I12">
        <v>387</v>
      </c>
      <c r="J12" t="s">
        <v>25</v>
      </c>
      <c r="K12">
        <v>45832</v>
      </c>
      <c r="L12" t="s">
        <v>27</v>
      </c>
    </row>
    <row r="13" spans="1:12" x14ac:dyDescent="0.35">
      <c r="A13" t="s">
        <v>51</v>
      </c>
      <c r="B13">
        <v>85</v>
      </c>
      <c r="C13" t="s">
        <v>20</v>
      </c>
      <c r="D13" t="s">
        <v>16</v>
      </c>
      <c r="E13" t="s">
        <v>13</v>
      </c>
      <c r="F13">
        <v>45953</v>
      </c>
      <c r="G13" t="s">
        <v>36</v>
      </c>
      <c r="H13">
        <v>27971.280360766319</v>
      </c>
      <c r="I13">
        <v>120</v>
      </c>
      <c r="J13" t="s">
        <v>18</v>
      </c>
      <c r="K13">
        <v>45961</v>
      </c>
      <c r="L13" t="s">
        <v>31</v>
      </c>
    </row>
    <row r="14" spans="1:12" x14ac:dyDescent="0.35">
      <c r="A14" t="s">
        <v>52</v>
      </c>
      <c r="B14">
        <v>59</v>
      </c>
      <c r="C14" t="s">
        <v>20</v>
      </c>
      <c r="D14" t="s">
        <v>23</v>
      </c>
      <c r="E14" t="s">
        <v>32</v>
      </c>
      <c r="F14">
        <v>45999</v>
      </c>
      <c r="G14" t="s">
        <v>36</v>
      </c>
      <c r="H14">
        <v>7796.2596143766759</v>
      </c>
      <c r="I14">
        <v>144</v>
      </c>
      <c r="J14" t="s">
        <v>14</v>
      </c>
      <c r="K14">
        <v>46004</v>
      </c>
      <c r="L14" t="s">
        <v>19</v>
      </c>
    </row>
    <row r="15" spans="1:12" x14ac:dyDescent="0.35">
      <c r="A15" t="s">
        <v>53</v>
      </c>
      <c r="B15">
        <v>77</v>
      </c>
      <c r="C15" t="s">
        <v>20</v>
      </c>
      <c r="D15" t="s">
        <v>26</v>
      </c>
      <c r="E15" t="s">
        <v>24</v>
      </c>
      <c r="F15">
        <v>45910</v>
      </c>
      <c r="G15" t="s">
        <v>37</v>
      </c>
      <c r="H15">
        <v>28228.694722456519</v>
      </c>
      <c r="I15">
        <v>277</v>
      </c>
      <c r="J15" t="s">
        <v>14</v>
      </c>
      <c r="K15">
        <v>45913</v>
      </c>
      <c r="L15" t="s">
        <v>15</v>
      </c>
    </row>
    <row r="16" spans="1:12" x14ac:dyDescent="0.35">
      <c r="A16" t="s">
        <v>54</v>
      </c>
      <c r="B16">
        <v>24</v>
      </c>
      <c r="C16" t="s">
        <v>11</v>
      </c>
      <c r="D16" t="s">
        <v>21</v>
      </c>
      <c r="E16" t="s">
        <v>32</v>
      </c>
      <c r="F16">
        <v>45664</v>
      </c>
      <c r="G16" t="s">
        <v>38</v>
      </c>
      <c r="H16">
        <v>7192.6281782379574</v>
      </c>
      <c r="I16">
        <v>443</v>
      </c>
      <c r="J16" t="s">
        <v>18</v>
      </c>
      <c r="K16">
        <v>45677</v>
      </c>
      <c r="L16" t="s">
        <v>27</v>
      </c>
    </row>
    <row r="17" spans="1:12" x14ac:dyDescent="0.35">
      <c r="A17" t="s">
        <v>55</v>
      </c>
      <c r="B17">
        <v>63</v>
      </c>
      <c r="C17" t="s">
        <v>11</v>
      </c>
      <c r="D17" t="s">
        <v>21</v>
      </c>
      <c r="E17" t="s">
        <v>24</v>
      </c>
      <c r="F17">
        <v>45873</v>
      </c>
      <c r="G17" t="s">
        <v>38</v>
      </c>
      <c r="H17">
        <v>22361.147596566221</v>
      </c>
      <c r="I17">
        <v>445</v>
      </c>
      <c r="J17" t="s">
        <v>18</v>
      </c>
      <c r="K17">
        <v>45878</v>
      </c>
      <c r="L17" t="s">
        <v>15</v>
      </c>
    </row>
    <row r="18" spans="1:12" x14ac:dyDescent="0.35">
      <c r="A18" t="s">
        <v>56</v>
      </c>
      <c r="B18">
        <v>51</v>
      </c>
      <c r="C18" t="s">
        <v>20</v>
      </c>
      <c r="D18" t="s">
        <v>21</v>
      </c>
      <c r="E18" t="s">
        <v>17</v>
      </c>
      <c r="F18">
        <v>45659</v>
      </c>
      <c r="G18" t="s">
        <v>38</v>
      </c>
      <c r="H18">
        <v>32006.03156588805</v>
      </c>
      <c r="I18">
        <v>200</v>
      </c>
      <c r="J18" t="s">
        <v>14</v>
      </c>
      <c r="K18">
        <v>45664</v>
      </c>
      <c r="L18" t="s">
        <v>27</v>
      </c>
    </row>
    <row r="19" spans="1:12" x14ac:dyDescent="0.35">
      <c r="A19" t="s">
        <v>57</v>
      </c>
      <c r="B19">
        <v>26</v>
      </c>
      <c r="C19" t="s">
        <v>11</v>
      </c>
      <c r="D19" t="s">
        <v>34</v>
      </c>
      <c r="E19" t="s">
        <v>28</v>
      </c>
      <c r="F19">
        <v>46012</v>
      </c>
      <c r="G19" t="s">
        <v>37</v>
      </c>
      <c r="H19">
        <v>45916.324833865241</v>
      </c>
      <c r="I19">
        <v>301</v>
      </c>
      <c r="J19" t="s">
        <v>25</v>
      </c>
      <c r="K19">
        <v>46018</v>
      </c>
      <c r="L19" t="s">
        <v>27</v>
      </c>
    </row>
    <row r="20" spans="1:12" x14ac:dyDescent="0.35">
      <c r="A20" t="s">
        <v>58</v>
      </c>
      <c r="B20">
        <v>44</v>
      </c>
      <c r="C20" t="s">
        <v>11</v>
      </c>
      <c r="D20" t="s">
        <v>12</v>
      </c>
      <c r="E20" t="s">
        <v>32</v>
      </c>
      <c r="F20">
        <v>45926</v>
      </c>
      <c r="G20" t="s">
        <v>37</v>
      </c>
      <c r="H20">
        <v>19691.420685517242</v>
      </c>
      <c r="I20">
        <v>264</v>
      </c>
      <c r="J20" t="s">
        <v>25</v>
      </c>
      <c r="K20">
        <v>45936</v>
      </c>
      <c r="L20" t="s">
        <v>22</v>
      </c>
    </row>
    <row r="21" spans="1:12" x14ac:dyDescent="0.35">
      <c r="A21" t="s">
        <v>59</v>
      </c>
      <c r="B21">
        <v>81</v>
      </c>
      <c r="C21" t="s">
        <v>20</v>
      </c>
      <c r="D21" t="s">
        <v>29</v>
      </c>
      <c r="E21" t="s">
        <v>32</v>
      </c>
      <c r="F21">
        <v>45838</v>
      </c>
      <c r="G21" t="s">
        <v>38</v>
      </c>
      <c r="H21">
        <v>3638.2461963533001</v>
      </c>
      <c r="I21">
        <v>125</v>
      </c>
      <c r="J21" t="s">
        <v>18</v>
      </c>
      <c r="K21">
        <v>45847</v>
      </c>
      <c r="L21" t="s">
        <v>22</v>
      </c>
    </row>
    <row r="22" spans="1:12" x14ac:dyDescent="0.35">
      <c r="A22" t="s">
        <v>60</v>
      </c>
      <c r="B22">
        <v>78</v>
      </c>
      <c r="C22" t="s">
        <v>11</v>
      </c>
      <c r="D22" t="s">
        <v>23</v>
      </c>
      <c r="E22" t="s">
        <v>13</v>
      </c>
      <c r="F22">
        <v>45684</v>
      </c>
      <c r="G22" t="s">
        <v>37</v>
      </c>
      <c r="H22">
        <v>30549.653324730469</v>
      </c>
      <c r="I22">
        <v>314</v>
      </c>
      <c r="J22" t="s">
        <v>18</v>
      </c>
      <c r="K22">
        <v>45686</v>
      </c>
      <c r="L22" t="s">
        <v>15</v>
      </c>
    </row>
    <row r="23" spans="1:12" x14ac:dyDescent="0.35">
      <c r="A23" t="s">
        <v>61</v>
      </c>
      <c r="B23">
        <v>44</v>
      </c>
      <c r="C23" t="s">
        <v>20</v>
      </c>
      <c r="D23" t="s">
        <v>33</v>
      </c>
      <c r="E23" t="s">
        <v>13</v>
      </c>
      <c r="F23">
        <v>45944</v>
      </c>
      <c r="G23" t="s">
        <v>39</v>
      </c>
      <c r="H23">
        <v>4794.7513545462562</v>
      </c>
      <c r="I23">
        <v>382</v>
      </c>
      <c r="J23" t="s">
        <v>18</v>
      </c>
      <c r="K23">
        <v>45952</v>
      </c>
      <c r="L23" t="s">
        <v>15</v>
      </c>
    </row>
    <row r="24" spans="1:12" x14ac:dyDescent="0.35">
      <c r="A24" t="s">
        <v>62</v>
      </c>
      <c r="B24">
        <v>19</v>
      </c>
      <c r="C24" t="s">
        <v>20</v>
      </c>
      <c r="D24" t="s">
        <v>16</v>
      </c>
      <c r="E24" t="s">
        <v>30</v>
      </c>
      <c r="F24">
        <v>45855</v>
      </c>
      <c r="G24" t="s">
        <v>39</v>
      </c>
      <c r="H24">
        <v>41794.355426215472</v>
      </c>
      <c r="I24">
        <v>354</v>
      </c>
      <c r="J24" t="s">
        <v>18</v>
      </c>
      <c r="K24">
        <v>45867</v>
      </c>
      <c r="L24" t="s">
        <v>22</v>
      </c>
    </row>
    <row r="25" spans="1:12" x14ac:dyDescent="0.35">
      <c r="A25" t="s">
        <v>63</v>
      </c>
      <c r="B25">
        <v>65</v>
      </c>
      <c r="C25" t="s">
        <v>11</v>
      </c>
      <c r="D25" t="s">
        <v>21</v>
      </c>
      <c r="E25" t="s">
        <v>17</v>
      </c>
      <c r="F25">
        <v>45850</v>
      </c>
      <c r="G25" t="s">
        <v>37</v>
      </c>
      <c r="H25">
        <v>13302.22990824893</v>
      </c>
      <c r="I25">
        <v>494</v>
      </c>
      <c r="J25" t="s">
        <v>25</v>
      </c>
      <c r="K25">
        <v>45852</v>
      </c>
      <c r="L25" t="s">
        <v>27</v>
      </c>
    </row>
    <row r="26" spans="1:12" x14ac:dyDescent="0.35">
      <c r="A26" t="s">
        <v>64</v>
      </c>
      <c r="B26">
        <v>85</v>
      </c>
      <c r="C26" t="s">
        <v>20</v>
      </c>
      <c r="D26" t="s">
        <v>26</v>
      </c>
      <c r="E26" t="s">
        <v>30</v>
      </c>
      <c r="F26">
        <v>45864</v>
      </c>
      <c r="G26" t="s">
        <v>38</v>
      </c>
      <c r="H26">
        <v>13924.723861179849</v>
      </c>
      <c r="I26">
        <v>147</v>
      </c>
      <c r="J26" t="s">
        <v>25</v>
      </c>
      <c r="K26">
        <v>45865</v>
      </c>
      <c r="L26" t="s">
        <v>31</v>
      </c>
    </row>
    <row r="27" spans="1:12" x14ac:dyDescent="0.35">
      <c r="A27" t="s">
        <v>65</v>
      </c>
      <c r="B27">
        <v>79</v>
      </c>
      <c r="C27" t="s">
        <v>20</v>
      </c>
      <c r="D27" t="s">
        <v>29</v>
      </c>
      <c r="E27" t="s">
        <v>32</v>
      </c>
      <c r="F27">
        <v>45846</v>
      </c>
      <c r="G27" t="s">
        <v>38</v>
      </c>
      <c r="H27">
        <v>18609.8981700976</v>
      </c>
      <c r="I27">
        <v>127</v>
      </c>
      <c r="J27" t="s">
        <v>25</v>
      </c>
      <c r="K27">
        <v>45853</v>
      </c>
      <c r="L27" t="s">
        <v>31</v>
      </c>
    </row>
    <row r="28" spans="1:12" x14ac:dyDescent="0.35">
      <c r="A28" t="s">
        <v>66</v>
      </c>
      <c r="B28">
        <v>66</v>
      </c>
      <c r="C28" t="s">
        <v>20</v>
      </c>
      <c r="D28" t="s">
        <v>34</v>
      </c>
      <c r="E28" t="s">
        <v>28</v>
      </c>
      <c r="F28">
        <v>45855</v>
      </c>
      <c r="G28" t="s">
        <v>37</v>
      </c>
      <c r="H28">
        <v>26911.222987495701</v>
      </c>
      <c r="I28">
        <v>249</v>
      </c>
      <c r="J28" t="s">
        <v>25</v>
      </c>
      <c r="K28">
        <v>45866</v>
      </c>
      <c r="L28" t="s">
        <v>15</v>
      </c>
    </row>
    <row r="29" spans="1:12" x14ac:dyDescent="0.35">
      <c r="A29" t="s">
        <v>67</v>
      </c>
      <c r="B29">
        <v>63</v>
      </c>
      <c r="C29" t="s">
        <v>11</v>
      </c>
      <c r="D29" t="s">
        <v>16</v>
      </c>
      <c r="E29" t="s">
        <v>13</v>
      </c>
      <c r="F29">
        <v>45981</v>
      </c>
      <c r="G29" t="s">
        <v>39</v>
      </c>
      <c r="H29">
        <v>21380.197228861711</v>
      </c>
      <c r="I29">
        <v>406</v>
      </c>
      <c r="J29" t="s">
        <v>25</v>
      </c>
      <c r="K29">
        <v>45994</v>
      </c>
      <c r="L29" t="s">
        <v>31</v>
      </c>
    </row>
    <row r="30" spans="1:12" x14ac:dyDescent="0.35">
      <c r="A30" t="s">
        <v>68</v>
      </c>
      <c r="B30">
        <v>75</v>
      </c>
      <c r="C30" t="s">
        <v>20</v>
      </c>
      <c r="D30" t="s">
        <v>23</v>
      </c>
      <c r="E30" t="s">
        <v>30</v>
      </c>
      <c r="F30">
        <v>45978</v>
      </c>
      <c r="G30" t="s">
        <v>36</v>
      </c>
      <c r="H30">
        <v>13354.514225106581</v>
      </c>
      <c r="I30">
        <v>361</v>
      </c>
      <c r="J30" t="s">
        <v>25</v>
      </c>
      <c r="K30">
        <v>45980</v>
      </c>
      <c r="L30" t="s">
        <v>19</v>
      </c>
    </row>
    <row r="31" spans="1:12" x14ac:dyDescent="0.35">
      <c r="A31" t="s">
        <v>69</v>
      </c>
      <c r="B31">
        <v>21</v>
      </c>
      <c r="C31" t="s">
        <v>20</v>
      </c>
      <c r="D31" t="s">
        <v>29</v>
      </c>
      <c r="E31" t="s">
        <v>32</v>
      </c>
      <c r="F31">
        <v>45899</v>
      </c>
      <c r="G31" t="s">
        <v>39</v>
      </c>
      <c r="H31">
        <v>24809.717443047339</v>
      </c>
      <c r="I31">
        <v>379</v>
      </c>
      <c r="J31" t="s">
        <v>25</v>
      </c>
      <c r="K31">
        <v>45908</v>
      </c>
      <c r="L31" t="s">
        <v>27</v>
      </c>
    </row>
    <row r="32" spans="1:12" x14ac:dyDescent="0.35">
      <c r="A32" t="s">
        <v>70</v>
      </c>
      <c r="B32">
        <v>55</v>
      </c>
      <c r="C32" t="s">
        <v>20</v>
      </c>
      <c r="D32" t="s">
        <v>23</v>
      </c>
      <c r="E32" t="s">
        <v>32</v>
      </c>
      <c r="F32">
        <v>45840</v>
      </c>
      <c r="G32" t="s">
        <v>36</v>
      </c>
      <c r="H32">
        <v>27643.32340185776</v>
      </c>
      <c r="I32">
        <v>183</v>
      </c>
      <c r="J32" t="s">
        <v>25</v>
      </c>
      <c r="K32">
        <v>45850</v>
      </c>
      <c r="L32" t="s">
        <v>22</v>
      </c>
    </row>
    <row r="33" spans="1:12" x14ac:dyDescent="0.35">
      <c r="A33" t="s">
        <v>71</v>
      </c>
      <c r="B33">
        <v>55</v>
      </c>
      <c r="C33" t="s">
        <v>20</v>
      </c>
      <c r="D33" t="s">
        <v>12</v>
      </c>
      <c r="E33" t="s">
        <v>17</v>
      </c>
      <c r="F33">
        <v>45873</v>
      </c>
      <c r="G33" t="s">
        <v>39</v>
      </c>
      <c r="H33">
        <v>26408.469156782219</v>
      </c>
      <c r="I33">
        <v>236</v>
      </c>
      <c r="J33" t="s">
        <v>25</v>
      </c>
      <c r="K33">
        <v>45884</v>
      </c>
      <c r="L33" t="s">
        <v>15</v>
      </c>
    </row>
    <row r="34" spans="1:12" x14ac:dyDescent="0.35">
      <c r="A34" t="s">
        <v>72</v>
      </c>
      <c r="B34">
        <v>19</v>
      </c>
      <c r="C34" t="s">
        <v>11</v>
      </c>
      <c r="D34" t="s">
        <v>33</v>
      </c>
      <c r="E34" t="s">
        <v>30</v>
      </c>
      <c r="F34">
        <v>45883</v>
      </c>
      <c r="G34" t="s">
        <v>37</v>
      </c>
      <c r="H34">
        <v>49167.762946447008</v>
      </c>
      <c r="I34">
        <v>254</v>
      </c>
      <c r="J34" t="s">
        <v>25</v>
      </c>
      <c r="K34">
        <v>45894</v>
      </c>
      <c r="L34" t="s">
        <v>31</v>
      </c>
    </row>
    <row r="35" spans="1:12" x14ac:dyDescent="0.35">
      <c r="A35" t="s">
        <v>73</v>
      </c>
      <c r="B35">
        <v>32</v>
      </c>
      <c r="C35" t="s">
        <v>11</v>
      </c>
      <c r="D35" t="s">
        <v>29</v>
      </c>
      <c r="E35" t="s">
        <v>13</v>
      </c>
      <c r="F35">
        <v>45753</v>
      </c>
      <c r="G35" t="s">
        <v>36</v>
      </c>
      <c r="H35">
        <v>28814.06695021379</v>
      </c>
      <c r="I35">
        <v>189</v>
      </c>
      <c r="J35" t="s">
        <v>25</v>
      </c>
      <c r="K35">
        <v>45754</v>
      </c>
      <c r="L35" t="s">
        <v>31</v>
      </c>
    </row>
    <row r="36" spans="1:12" x14ac:dyDescent="0.35">
      <c r="A36" t="s">
        <v>74</v>
      </c>
      <c r="B36">
        <v>57</v>
      </c>
      <c r="C36" t="s">
        <v>11</v>
      </c>
      <c r="D36" t="s">
        <v>26</v>
      </c>
      <c r="E36" t="s">
        <v>24</v>
      </c>
      <c r="F36">
        <v>45933</v>
      </c>
      <c r="G36" t="s">
        <v>36</v>
      </c>
      <c r="H36">
        <v>21505.4210748726</v>
      </c>
      <c r="I36">
        <v>252</v>
      </c>
      <c r="J36" t="s">
        <v>25</v>
      </c>
      <c r="K36">
        <v>45942</v>
      </c>
      <c r="L36" t="s">
        <v>19</v>
      </c>
    </row>
    <row r="37" spans="1:12" x14ac:dyDescent="0.35">
      <c r="A37" t="s">
        <v>75</v>
      </c>
      <c r="B37">
        <v>22</v>
      </c>
      <c r="C37" t="s">
        <v>11</v>
      </c>
      <c r="D37" t="s">
        <v>29</v>
      </c>
      <c r="E37" t="s">
        <v>13</v>
      </c>
      <c r="F37">
        <v>45726</v>
      </c>
      <c r="G37" t="s">
        <v>37</v>
      </c>
      <c r="H37">
        <v>29133.32202906816</v>
      </c>
      <c r="I37">
        <v>354</v>
      </c>
      <c r="J37" t="s">
        <v>25</v>
      </c>
      <c r="K37">
        <v>45727</v>
      </c>
      <c r="L37" t="s">
        <v>27</v>
      </c>
    </row>
    <row r="38" spans="1:12" x14ac:dyDescent="0.35">
      <c r="A38" t="s">
        <v>76</v>
      </c>
      <c r="B38">
        <v>44</v>
      </c>
      <c r="C38" t="s">
        <v>20</v>
      </c>
      <c r="D38" t="s">
        <v>26</v>
      </c>
      <c r="E38" t="s">
        <v>32</v>
      </c>
      <c r="F38">
        <v>45986</v>
      </c>
      <c r="G38" t="s">
        <v>39</v>
      </c>
      <c r="H38">
        <v>48106.412366043762</v>
      </c>
      <c r="I38">
        <v>155</v>
      </c>
      <c r="J38" t="s">
        <v>25</v>
      </c>
      <c r="K38">
        <v>45987</v>
      </c>
      <c r="L38" t="s">
        <v>15</v>
      </c>
    </row>
    <row r="39" spans="1:12" x14ac:dyDescent="0.35">
      <c r="A39" t="s">
        <v>77</v>
      </c>
      <c r="B39">
        <v>50</v>
      </c>
      <c r="C39" t="s">
        <v>11</v>
      </c>
      <c r="D39" t="s">
        <v>34</v>
      </c>
      <c r="E39" t="s">
        <v>13</v>
      </c>
      <c r="F39">
        <v>45693</v>
      </c>
      <c r="G39" t="s">
        <v>39</v>
      </c>
      <c r="H39">
        <v>9434.7608310983924</v>
      </c>
      <c r="I39">
        <v>372</v>
      </c>
      <c r="J39" t="s">
        <v>25</v>
      </c>
      <c r="K39">
        <v>45698</v>
      </c>
      <c r="L39" t="s">
        <v>22</v>
      </c>
    </row>
    <row r="40" spans="1:12" x14ac:dyDescent="0.35">
      <c r="A40" t="s">
        <v>78</v>
      </c>
      <c r="B40">
        <v>33</v>
      </c>
      <c r="C40" t="s">
        <v>11</v>
      </c>
      <c r="D40" t="s">
        <v>23</v>
      </c>
      <c r="E40" t="s">
        <v>32</v>
      </c>
      <c r="F40">
        <v>45872</v>
      </c>
      <c r="G40" t="s">
        <v>37</v>
      </c>
      <c r="H40">
        <v>15663.98853978353</v>
      </c>
      <c r="I40">
        <v>496</v>
      </c>
      <c r="J40" t="s">
        <v>25</v>
      </c>
      <c r="K40">
        <v>45873</v>
      </c>
      <c r="L40" t="s">
        <v>22</v>
      </c>
    </row>
    <row r="41" spans="1:12" x14ac:dyDescent="0.35">
      <c r="A41" t="s">
        <v>79</v>
      </c>
      <c r="B41">
        <v>75</v>
      </c>
      <c r="C41" t="s">
        <v>20</v>
      </c>
      <c r="D41" t="s">
        <v>34</v>
      </c>
      <c r="E41" t="s">
        <v>13</v>
      </c>
      <c r="F41">
        <v>45812</v>
      </c>
      <c r="G41" t="s">
        <v>36</v>
      </c>
      <c r="H41">
        <v>7733.7898217749471</v>
      </c>
      <c r="I41">
        <v>224</v>
      </c>
      <c r="J41" t="s">
        <v>25</v>
      </c>
      <c r="K41">
        <v>45821</v>
      </c>
      <c r="L41" t="s">
        <v>27</v>
      </c>
    </row>
    <row r="42" spans="1:12" x14ac:dyDescent="0.35">
      <c r="A42" t="s">
        <v>80</v>
      </c>
      <c r="B42">
        <v>59</v>
      </c>
      <c r="C42" t="s">
        <v>20</v>
      </c>
      <c r="D42" t="s">
        <v>16</v>
      </c>
      <c r="E42" t="s">
        <v>30</v>
      </c>
      <c r="F42">
        <v>45809</v>
      </c>
      <c r="G42" t="s">
        <v>36</v>
      </c>
      <c r="H42">
        <v>7633.1365610129924</v>
      </c>
      <c r="I42">
        <v>459</v>
      </c>
      <c r="J42" t="s">
        <v>25</v>
      </c>
      <c r="K42">
        <v>45818</v>
      </c>
      <c r="L42" t="s">
        <v>22</v>
      </c>
    </row>
    <row r="43" spans="1:12" x14ac:dyDescent="0.35">
      <c r="A43" t="s">
        <v>81</v>
      </c>
      <c r="B43">
        <v>37</v>
      </c>
      <c r="C43" t="s">
        <v>20</v>
      </c>
      <c r="D43" t="s">
        <v>29</v>
      </c>
      <c r="E43" t="s">
        <v>24</v>
      </c>
      <c r="F43">
        <v>46009</v>
      </c>
      <c r="G43" t="s">
        <v>39</v>
      </c>
      <c r="H43">
        <v>32521.057620464449</v>
      </c>
      <c r="I43">
        <v>376</v>
      </c>
      <c r="J43" t="s">
        <v>25</v>
      </c>
      <c r="K43">
        <v>46017</v>
      </c>
      <c r="L43" t="s">
        <v>15</v>
      </c>
    </row>
    <row r="44" spans="1:12" x14ac:dyDescent="0.35">
      <c r="A44" t="s">
        <v>82</v>
      </c>
      <c r="B44">
        <v>77</v>
      </c>
      <c r="C44" t="s">
        <v>20</v>
      </c>
      <c r="D44" t="s">
        <v>33</v>
      </c>
      <c r="E44" t="s">
        <v>24</v>
      </c>
      <c r="F44">
        <v>45749</v>
      </c>
      <c r="G44" t="s">
        <v>37</v>
      </c>
      <c r="H44">
        <v>12207.31620726869</v>
      </c>
      <c r="I44">
        <v>189</v>
      </c>
      <c r="J44" t="s">
        <v>25</v>
      </c>
      <c r="K44">
        <v>45755</v>
      </c>
      <c r="L44" t="s">
        <v>19</v>
      </c>
    </row>
    <row r="45" spans="1:12" x14ac:dyDescent="0.35">
      <c r="A45" t="s">
        <v>83</v>
      </c>
      <c r="B45">
        <v>30</v>
      </c>
      <c r="C45" t="s">
        <v>20</v>
      </c>
      <c r="D45" t="s">
        <v>34</v>
      </c>
      <c r="E45" t="s">
        <v>32</v>
      </c>
      <c r="F45">
        <v>45688</v>
      </c>
      <c r="G45" t="s">
        <v>36</v>
      </c>
      <c r="H45">
        <v>17602.655794869868</v>
      </c>
      <c r="I45">
        <v>291</v>
      </c>
      <c r="J45" t="s">
        <v>25</v>
      </c>
      <c r="K45">
        <v>45689</v>
      </c>
      <c r="L45" t="s">
        <v>31</v>
      </c>
    </row>
    <row r="46" spans="1:12" x14ac:dyDescent="0.35">
      <c r="A46" t="s">
        <v>84</v>
      </c>
      <c r="B46">
        <v>47</v>
      </c>
      <c r="C46" t="s">
        <v>20</v>
      </c>
      <c r="D46" t="s">
        <v>33</v>
      </c>
      <c r="E46" t="s">
        <v>24</v>
      </c>
      <c r="F46">
        <v>45737</v>
      </c>
      <c r="G46" t="s">
        <v>37</v>
      </c>
      <c r="H46">
        <v>26489.573558170381</v>
      </c>
      <c r="I46">
        <v>403</v>
      </c>
      <c r="J46" t="s">
        <v>18</v>
      </c>
      <c r="K46">
        <v>45741</v>
      </c>
      <c r="L46" t="s">
        <v>19</v>
      </c>
    </row>
    <row r="47" spans="1:12" x14ac:dyDescent="0.35">
      <c r="A47" t="s">
        <v>85</v>
      </c>
      <c r="B47">
        <v>60</v>
      </c>
      <c r="C47" t="s">
        <v>11</v>
      </c>
      <c r="D47" t="s">
        <v>34</v>
      </c>
      <c r="E47" t="s">
        <v>13</v>
      </c>
      <c r="F47">
        <v>45772</v>
      </c>
      <c r="G47" t="s">
        <v>39</v>
      </c>
      <c r="H47">
        <v>42320.295456327432</v>
      </c>
      <c r="I47">
        <v>217</v>
      </c>
      <c r="J47" t="s">
        <v>25</v>
      </c>
      <c r="K47">
        <v>45784</v>
      </c>
      <c r="L47" t="s">
        <v>31</v>
      </c>
    </row>
    <row r="48" spans="1:12" x14ac:dyDescent="0.35">
      <c r="A48" t="s">
        <v>86</v>
      </c>
      <c r="B48">
        <v>82</v>
      </c>
      <c r="C48" t="s">
        <v>11</v>
      </c>
      <c r="D48" t="s">
        <v>12</v>
      </c>
      <c r="E48" t="s">
        <v>32</v>
      </c>
      <c r="F48">
        <v>46004</v>
      </c>
      <c r="G48" t="s">
        <v>39</v>
      </c>
      <c r="H48">
        <v>10551.277441968559</v>
      </c>
      <c r="I48">
        <v>145</v>
      </c>
      <c r="J48" t="s">
        <v>18</v>
      </c>
      <c r="K48">
        <v>46016</v>
      </c>
      <c r="L48" t="s">
        <v>31</v>
      </c>
    </row>
    <row r="49" spans="1:12" x14ac:dyDescent="0.35">
      <c r="A49" t="s">
        <v>87</v>
      </c>
      <c r="B49">
        <v>42</v>
      </c>
      <c r="C49" t="s">
        <v>11</v>
      </c>
      <c r="D49" t="s">
        <v>23</v>
      </c>
      <c r="E49" t="s">
        <v>17</v>
      </c>
      <c r="F49">
        <v>45739</v>
      </c>
      <c r="G49" t="s">
        <v>36</v>
      </c>
      <c r="H49">
        <v>29620.696673653809</v>
      </c>
      <c r="I49">
        <v>466</v>
      </c>
      <c r="J49" t="s">
        <v>25</v>
      </c>
      <c r="K49">
        <v>45747</v>
      </c>
      <c r="L49" t="s">
        <v>22</v>
      </c>
    </row>
    <row r="50" spans="1:12" x14ac:dyDescent="0.35">
      <c r="A50" t="s">
        <v>88</v>
      </c>
      <c r="B50">
        <v>30</v>
      </c>
      <c r="C50" t="s">
        <v>11</v>
      </c>
      <c r="D50" t="s">
        <v>26</v>
      </c>
      <c r="E50" t="s">
        <v>28</v>
      </c>
      <c r="F50">
        <v>45924</v>
      </c>
      <c r="G50" t="s">
        <v>36</v>
      </c>
      <c r="H50">
        <v>39420.130769473013</v>
      </c>
      <c r="I50">
        <v>449</v>
      </c>
      <c r="J50" t="s">
        <v>18</v>
      </c>
      <c r="K50">
        <v>45938</v>
      </c>
      <c r="L50" t="s">
        <v>19</v>
      </c>
    </row>
    <row r="51" spans="1:12" x14ac:dyDescent="0.35">
      <c r="A51" t="s">
        <v>89</v>
      </c>
      <c r="B51">
        <v>23</v>
      </c>
      <c r="C51" t="s">
        <v>20</v>
      </c>
      <c r="D51" t="s">
        <v>26</v>
      </c>
      <c r="E51" t="s">
        <v>32</v>
      </c>
      <c r="F51">
        <v>45875</v>
      </c>
      <c r="G51" t="s">
        <v>39</v>
      </c>
      <c r="H51">
        <v>26054.68493247962</v>
      </c>
      <c r="I51">
        <v>343</v>
      </c>
      <c r="J51" t="s">
        <v>25</v>
      </c>
      <c r="K51">
        <v>45881</v>
      </c>
      <c r="L51" t="s">
        <v>15</v>
      </c>
    </row>
    <row r="52" spans="1:12" x14ac:dyDescent="0.35">
      <c r="A52" t="s">
        <v>90</v>
      </c>
      <c r="B52">
        <v>54</v>
      </c>
      <c r="C52" t="s">
        <v>20</v>
      </c>
      <c r="D52" t="s">
        <v>21</v>
      </c>
      <c r="E52" t="s">
        <v>32</v>
      </c>
      <c r="F52">
        <v>45920</v>
      </c>
      <c r="G52" t="s">
        <v>39</v>
      </c>
      <c r="H52">
        <v>24308.250870419972</v>
      </c>
      <c r="I52">
        <v>367</v>
      </c>
      <c r="J52" t="s">
        <v>25</v>
      </c>
      <c r="K52">
        <v>45925</v>
      </c>
      <c r="L52" t="s">
        <v>19</v>
      </c>
    </row>
    <row r="53" spans="1:12" x14ac:dyDescent="0.35">
      <c r="A53" t="s">
        <v>91</v>
      </c>
      <c r="B53">
        <v>35</v>
      </c>
      <c r="C53" t="s">
        <v>11</v>
      </c>
      <c r="D53" t="s">
        <v>12</v>
      </c>
      <c r="E53" t="s">
        <v>28</v>
      </c>
      <c r="F53">
        <v>46009</v>
      </c>
      <c r="G53" t="s">
        <v>39</v>
      </c>
      <c r="H53">
        <v>11434.567168621639</v>
      </c>
      <c r="I53">
        <v>223</v>
      </c>
      <c r="J53" t="s">
        <v>18</v>
      </c>
      <c r="K53">
        <v>46019</v>
      </c>
      <c r="L53" t="s">
        <v>31</v>
      </c>
    </row>
    <row r="54" spans="1:12" x14ac:dyDescent="0.35">
      <c r="A54" t="s">
        <v>92</v>
      </c>
      <c r="B54">
        <v>47</v>
      </c>
      <c r="C54" t="s">
        <v>11</v>
      </c>
      <c r="D54" t="s">
        <v>34</v>
      </c>
      <c r="E54" t="s">
        <v>32</v>
      </c>
      <c r="F54">
        <v>45998</v>
      </c>
      <c r="G54" t="s">
        <v>36</v>
      </c>
      <c r="H54">
        <v>40168.579439122957</v>
      </c>
      <c r="I54">
        <v>472</v>
      </c>
      <c r="J54" t="s">
        <v>18</v>
      </c>
      <c r="K54">
        <v>46001</v>
      </c>
      <c r="L54" t="s">
        <v>19</v>
      </c>
    </row>
    <row r="55" spans="1:12" x14ac:dyDescent="0.35">
      <c r="A55" t="s">
        <v>93</v>
      </c>
      <c r="B55">
        <v>73</v>
      </c>
      <c r="C55" t="s">
        <v>11</v>
      </c>
      <c r="D55" t="s">
        <v>12</v>
      </c>
      <c r="E55" t="s">
        <v>32</v>
      </c>
      <c r="F55">
        <v>45935</v>
      </c>
      <c r="G55" t="s">
        <v>36</v>
      </c>
      <c r="H55">
        <v>26988.097230346539</v>
      </c>
      <c r="I55">
        <v>450</v>
      </c>
      <c r="J55" t="s">
        <v>25</v>
      </c>
      <c r="K55">
        <v>45946</v>
      </c>
      <c r="L55" t="s">
        <v>27</v>
      </c>
    </row>
    <row r="56" spans="1:12" x14ac:dyDescent="0.35">
      <c r="A56" t="s">
        <v>94</v>
      </c>
      <c r="B56">
        <v>39</v>
      </c>
      <c r="C56" t="s">
        <v>11</v>
      </c>
      <c r="D56" t="s">
        <v>16</v>
      </c>
      <c r="E56" t="s">
        <v>17</v>
      </c>
      <c r="F56">
        <v>45682</v>
      </c>
      <c r="G56" t="s">
        <v>37</v>
      </c>
      <c r="H56">
        <v>37607.162590914078</v>
      </c>
      <c r="I56">
        <v>370</v>
      </c>
      <c r="J56" t="s">
        <v>18</v>
      </c>
      <c r="K56">
        <v>45683</v>
      </c>
      <c r="L56" t="s">
        <v>19</v>
      </c>
    </row>
    <row r="57" spans="1:12" x14ac:dyDescent="0.35">
      <c r="A57" t="s">
        <v>95</v>
      </c>
      <c r="B57">
        <v>19</v>
      </c>
      <c r="C57" t="s">
        <v>11</v>
      </c>
      <c r="D57" t="s">
        <v>12</v>
      </c>
      <c r="E57" t="s">
        <v>24</v>
      </c>
      <c r="F57">
        <v>45841</v>
      </c>
      <c r="G57" t="s">
        <v>37</v>
      </c>
      <c r="H57">
        <v>36786.419594928811</v>
      </c>
      <c r="I57">
        <v>170</v>
      </c>
      <c r="J57" t="s">
        <v>18</v>
      </c>
      <c r="K57">
        <v>45842</v>
      </c>
      <c r="L57" t="s">
        <v>15</v>
      </c>
    </row>
    <row r="58" spans="1:12" x14ac:dyDescent="0.35">
      <c r="A58" t="s">
        <v>96</v>
      </c>
      <c r="B58">
        <v>41</v>
      </c>
      <c r="C58" t="s">
        <v>11</v>
      </c>
      <c r="D58" t="s">
        <v>16</v>
      </c>
      <c r="E58" t="s">
        <v>32</v>
      </c>
      <c r="F58">
        <v>46005</v>
      </c>
      <c r="G58" t="s">
        <v>37</v>
      </c>
      <c r="H58">
        <v>897.33512916354914</v>
      </c>
      <c r="I58">
        <v>215</v>
      </c>
      <c r="J58" t="s">
        <v>25</v>
      </c>
      <c r="K58">
        <v>46018</v>
      </c>
      <c r="L58" t="s">
        <v>31</v>
      </c>
    </row>
    <row r="59" spans="1:12" x14ac:dyDescent="0.35">
      <c r="A59" t="s">
        <v>97</v>
      </c>
      <c r="B59">
        <v>75</v>
      </c>
      <c r="C59" t="s">
        <v>20</v>
      </c>
      <c r="D59" t="s">
        <v>16</v>
      </c>
      <c r="E59" t="s">
        <v>28</v>
      </c>
      <c r="F59">
        <v>45968</v>
      </c>
      <c r="G59" t="s">
        <v>36</v>
      </c>
      <c r="H59">
        <v>3529.128245917163</v>
      </c>
      <c r="I59">
        <v>429</v>
      </c>
      <c r="J59" t="s">
        <v>25</v>
      </c>
      <c r="K59">
        <v>45974</v>
      </c>
      <c r="L59" t="s">
        <v>19</v>
      </c>
    </row>
    <row r="60" spans="1:12" x14ac:dyDescent="0.35">
      <c r="A60" t="s">
        <v>98</v>
      </c>
      <c r="B60">
        <v>36</v>
      </c>
      <c r="C60" t="s">
        <v>11</v>
      </c>
      <c r="D60" t="s">
        <v>21</v>
      </c>
      <c r="E60" t="s">
        <v>28</v>
      </c>
      <c r="F60">
        <v>45742</v>
      </c>
      <c r="G60" t="s">
        <v>39</v>
      </c>
      <c r="H60">
        <v>35398.709264291509</v>
      </c>
      <c r="I60">
        <v>263</v>
      </c>
      <c r="J60" t="s">
        <v>18</v>
      </c>
      <c r="K60">
        <v>45748</v>
      </c>
      <c r="L60" t="s">
        <v>15</v>
      </c>
    </row>
    <row r="61" spans="1:12" x14ac:dyDescent="0.35">
      <c r="A61" t="s">
        <v>99</v>
      </c>
      <c r="B61">
        <v>46</v>
      </c>
      <c r="C61" t="s">
        <v>20</v>
      </c>
      <c r="D61" t="s">
        <v>26</v>
      </c>
      <c r="E61" t="s">
        <v>13</v>
      </c>
      <c r="F61">
        <v>45918</v>
      </c>
      <c r="G61" t="s">
        <v>36</v>
      </c>
      <c r="H61">
        <v>23103.0572294515</v>
      </c>
      <c r="I61">
        <v>409</v>
      </c>
      <c r="J61" t="s">
        <v>25</v>
      </c>
      <c r="K61">
        <v>45932</v>
      </c>
      <c r="L61" t="s">
        <v>31</v>
      </c>
    </row>
    <row r="62" spans="1:12" x14ac:dyDescent="0.35">
      <c r="A62" t="s">
        <v>100</v>
      </c>
      <c r="B62">
        <v>18</v>
      </c>
      <c r="C62" t="s">
        <v>11</v>
      </c>
      <c r="D62" t="s">
        <v>21</v>
      </c>
      <c r="E62" t="s">
        <v>13</v>
      </c>
      <c r="F62">
        <v>45793</v>
      </c>
      <c r="G62" t="s">
        <v>39</v>
      </c>
      <c r="H62">
        <v>35709.072887239221</v>
      </c>
      <c r="I62">
        <v>284</v>
      </c>
      <c r="J62" t="s">
        <v>25</v>
      </c>
      <c r="K62">
        <v>45798</v>
      </c>
      <c r="L62" t="s">
        <v>15</v>
      </c>
    </row>
    <row r="63" spans="1:12" x14ac:dyDescent="0.35">
      <c r="A63" t="s">
        <v>101</v>
      </c>
      <c r="B63">
        <v>76</v>
      </c>
      <c r="C63" t="s">
        <v>20</v>
      </c>
      <c r="D63" t="s">
        <v>12</v>
      </c>
      <c r="E63" t="s">
        <v>24</v>
      </c>
      <c r="F63">
        <v>45882</v>
      </c>
      <c r="G63" t="s">
        <v>36</v>
      </c>
      <c r="H63">
        <v>36792.385882096409</v>
      </c>
      <c r="I63">
        <v>179</v>
      </c>
      <c r="J63" t="s">
        <v>25</v>
      </c>
      <c r="K63">
        <v>45895</v>
      </c>
      <c r="L63" t="s">
        <v>27</v>
      </c>
    </row>
    <row r="64" spans="1:12" x14ac:dyDescent="0.35">
      <c r="A64" t="s">
        <v>102</v>
      </c>
      <c r="B64">
        <v>74</v>
      </c>
      <c r="C64" t="s">
        <v>20</v>
      </c>
      <c r="D64" t="s">
        <v>33</v>
      </c>
      <c r="E64" t="s">
        <v>24</v>
      </c>
      <c r="F64">
        <v>45709</v>
      </c>
      <c r="G64" t="s">
        <v>37</v>
      </c>
      <c r="H64">
        <v>30961.244737653731</v>
      </c>
      <c r="I64">
        <v>413</v>
      </c>
      <c r="J64" t="s">
        <v>18</v>
      </c>
      <c r="K64">
        <v>45716</v>
      </c>
      <c r="L64" t="s">
        <v>22</v>
      </c>
    </row>
    <row r="65" spans="1:12" x14ac:dyDescent="0.35">
      <c r="A65" t="s">
        <v>103</v>
      </c>
      <c r="B65">
        <v>41</v>
      </c>
      <c r="C65" t="s">
        <v>11</v>
      </c>
      <c r="D65" t="s">
        <v>26</v>
      </c>
      <c r="E65" t="s">
        <v>17</v>
      </c>
      <c r="F65">
        <v>45728</v>
      </c>
      <c r="G65" t="s">
        <v>36</v>
      </c>
      <c r="H65">
        <v>29881.638125413891</v>
      </c>
      <c r="I65">
        <v>169</v>
      </c>
      <c r="J65" t="s">
        <v>25</v>
      </c>
      <c r="K65">
        <v>45735</v>
      </c>
      <c r="L65" t="s">
        <v>27</v>
      </c>
    </row>
    <row r="66" spans="1:12" x14ac:dyDescent="0.35">
      <c r="A66" t="s">
        <v>104</v>
      </c>
      <c r="B66">
        <v>56</v>
      </c>
      <c r="C66" t="s">
        <v>11</v>
      </c>
      <c r="D66" t="s">
        <v>12</v>
      </c>
      <c r="E66" t="s">
        <v>13</v>
      </c>
      <c r="F66">
        <v>45954</v>
      </c>
      <c r="G66" t="s">
        <v>37</v>
      </c>
      <c r="H66">
        <v>33066.42532790258</v>
      </c>
      <c r="I66">
        <v>312</v>
      </c>
      <c r="J66" t="s">
        <v>25</v>
      </c>
      <c r="K66">
        <v>45958</v>
      </c>
      <c r="L66" t="s">
        <v>22</v>
      </c>
    </row>
    <row r="67" spans="1:12" x14ac:dyDescent="0.35">
      <c r="A67" t="s">
        <v>105</v>
      </c>
      <c r="B67">
        <v>48</v>
      </c>
      <c r="C67" t="s">
        <v>11</v>
      </c>
      <c r="D67" t="s">
        <v>26</v>
      </c>
      <c r="E67" t="s">
        <v>24</v>
      </c>
      <c r="F67">
        <v>45898</v>
      </c>
      <c r="G67" t="s">
        <v>37</v>
      </c>
      <c r="H67">
        <v>35684.392045078253</v>
      </c>
      <c r="I67">
        <v>411</v>
      </c>
      <c r="J67" t="s">
        <v>25</v>
      </c>
      <c r="K67">
        <v>45908</v>
      </c>
      <c r="L67" t="s">
        <v>15</v>
      </c>
    </row>
    <row r="68" spans="1:12" x14ac:dyDescent="0.35">
      <c r="A68" t="s">
        <v>106</v>
      </c>
      <c r="B68">
        <v>51</v>
      </c>
      <c r="C68" t="s">
        <v>20</v>
      </c>
      <c r="D68" t="s">
        <v>16</v>
      </c>
      <c r="E68" t="s">
        <v>28</v>
      </c>
      <c r="F68">
        <v>45923</v>
      </c>
      <c r="G68" t="s">
        <v>39</v>
      </c>
      <c r="H68">
        <v>24271.130884345781</v>
      </c>
      <c r="I68">
        <v>226</v>
      </c>
      <c r="J68" t="s">
        <v>18</v>
      </c>
      <c r="K68">
        <v>45931</v>
      </c>
      <c r="L68" t="s">
        <v>31</v>
      </c>
    </row>
    <row r="69" spans="1:12" x14ac:dyDescent="0.35">
      <c r="A69" t="s">
        <v>107</v>
      </c>
      <c r="B69">
        <v>42</v>
      </c>
      <c r="C69" t="s">
        <v>11</v>
      </c>
      <c r="D69" t="s">
        <v>33</v>
      </c>
      <c r="E69" t="s">
        <v>17</v>
      </c>
      <c r="F69">
        <v>45701</v>
      </c>
      <c r="G69" t="s">
        <v>39</v>
      </c>
      <c r="H69">
        <v>3263.4972347163061</v>
      </c>
      <c r="I69">
        <v>248</v>
      </c>
      <c r="J69" t="s">
        <v>18</v>
      </c>
      <c r="K69">
        <v>45707</v>
      </c>
      <c r="L69" t="s">
        <v>19</v>
      </c>
    </row>
    <row r="70" spans="1:12" x14ac:dyDescent="0.35">
      <c r="A70" t="s">
        <v>108</v>
      </c>
      <c r="B70">
        <v>48</v>
      </c>
      <c r="C70" t="s">
        <v>11</v>
      </c>
      <c r="D70" t="s">
        <v>23</v>
      </c>
      <c r="E70" t="s">
        <v>13</v>
      </c>
      <c r="F70">
        <v>45734</v>
      </c>
      <c r="G70" t="s">
        <v>36</v>
      </c>
      <c r="H70">
        <v>24330.424672958241</v>
      </c>
      <c r="I70">
        <v>122</v>
      </c>
      <c r="J70" t="s">
        <v>25</v>
      </c>
      <c r="K70">
        <v>45737</v>
      </c>
      <c r="L70" t="s">
        <v>31</v>
      </c>
    </row>
    <row r="71" spans="1:12" x14ac:dyDescent="0.35">
      <c r="A71" t="s">
        <v>109</v>
      </c>
      <c r="B71">
        <v>21</v>
      </c>
      <c r="C71" t="s">
        <v>11</v>
      </c>
      <c r="D71" t="s">
        <v>12</v>
      </c>
      <c r="E71" t="s">
        <v>17</v>
      </c>
      <c r="F71">
        <v>45982</v>
      </c>
      <c r="G71" t="s">
        <v>37</v>
      </c>
      <c r="H71">
        <v>35165.347545991361</v>
      </c>
      <c r="I71">
        <v>148</v>
      </c>
      <c r="J71" t="s">
        <v>25</v>
      </c>
      <c r="K71">
        <v>45992</v>
      </c>
      <c r="L71" t="s">
        <v>31</v>
      </c>
    </row>
    <row r="72" spans="1:12" x14ac:dyDescent="0.35">
      <c r="A72" t="s">
        <v>110</v>
      </c>
      <c r="B72">
        <v>31</v>
      </c>
      <c r="C72" t="s">
        <v>11</v>
      </c>
      <c r="D72" t="s">
        <v>23</v>
      </c>
      <c r="E72" t="s">
        <v>13</v>
      </c>
      <c r="F72">
        <v>45764</v>
      </c>
      <c r="G72" t="s">
        <v>37</v>
      </c>
      <c r="H72">
        <v>36250.968878310239</v>
      </c>
      <c r="I72">
        <v>201</v>
      </c>
      <c r="J72" t="s">
        <v>25</v>
      </c>
      <c r="K72">
        <v>45775</v>
      </c>
      <c r="L72" t="s">
        <v>27</v>
      </c>
    </row>
    <row r="73" spans="1:12" x14ac:dyDescent="0.35">
      <c r="A73" t="s">
        <v>111</v>
      </c>
      <c r="B73">
        <v>24</v>
      </c>
      <c r="C73" t="s">
        <v>11</v>
      </c>
      <c r="D73" t="s">
        <v>26</v>
      </c>
      <c r="E73" t="s">
        <v>30</v>
      </c>
      <c r="F73">
        <v>45758</v>
      </c>
      <c r="G73" t="s">
        <v>37</v>
      </c>
      <c r="H73">
        <v>12637.0756825794</v>
      </c>
      <c r="I73">
        <v>499</v>
      </c>
      <c r="J73" t="s">
        <v>25</v>
      </c>
      <c r="K73">
        <v>45771</v>
      </c>
      <c r="L73" t="s">
        <v>27</v>
      </c>
    </row>
    <row r="74" spans="1:12" x14ac:dyDescent="0.35">
      <c r="A74" t="s">
        <v>112</v>
      </c>
      <c r="B74">
        <v>76</v>
      </c>
      <c r="C74" t="s">
        <v>20</v>
      </c>
      <c r="D74" t="s">
        <v>34</v>
      </c>
      <c r="E74" t="s">
        <v>32</v>
      </c>
      <c r="F74">
        <v>45679</v>
      </c>
      <c r="G74" t="s">
        <v>39</v>
      </c>
      <c r="H74">
        <v>24984.323711030938</v>
      </c>
      <c r="I74">
        <v>131</v>
      </c>
      <c r="J74" t="s">
        <v>25</v>
      </c>
      <c r="K74">
        <v>45687</v>
      </c>
      <c r="L74" t="s">
        <v>19</v>
      </c>
    </row>
    <row r="75" spans="1:12" x14ac:dyDescent="0.35">
      <c r="A75" t="s">
        <v>113</v>
      </c>
      <c r="B75">
        <v>33</v>
      </c>
      <c r="C75" t="s">
        <v>11</v>
      </c>
      <c r="D75" t="s">
        <v>12</v>
      </c>
      <c r="E75" t="s">
        <v>30</v>
      </c>
      <c r="F75">
        <v>45887</v>
      </c>
      <c r="G75" t="s">
        <v>36</v>
      </c>
      <c r="H75">
        <v>5340.0514148335988</v>
      </c>
      <c r="I75">
        <v>252</v>
      </c>
      <c r="J75" t="s">
        <v>25</v>
      </c>
      <c r="K75">
        <v>45891</v>
      </c>
      <c r="L75" t="s">
        <v>19</v>
      </c>
    </row>
    <row r="76" spans="1:12" x14ac:dyDescent="0.35">
      <c r="A76" t="s">
        <v>114</v>
      </c>
      <c r="B76">
        <v>53</v>
      </c>
      <c r="C76" t="s">
        <v>20</v>
      </c>
      <c r="D76" t="s">
        <v>33</v>
      </c>
      <c r="E76" t="s">
        <v>32</v>
      </c>
      <c r="F76">
        <v>45775</v>
      </c>
      <c r="G76" t="s">
        <v>37</v>
      </c>
      <c r="H76">
        <v>27967.388343924489</v>
      </c>
      <c r="I76">
        <v>498</v>
      </c>
      <c r="J76" t="s">
        <v>18</v>
      </c>
      <c r="K76">
        <v>45779</v>
      </c>
      <c r="L76" t="s">
        <v>15</v>
      </c>
    </row>
    <row r="77" spans="1:12" x14ac:dyDescent="0.35">
      <c r="A77" t="s">
        <v>115</v>
      </c>
      <c r="B77">
        <v>37</v>
      </c>
      <c r="C77" t="s">
        <v>20</v>
      </c>
      <c r="D77" t="s">
        <v>21</v>
      </c>
      <c r="E77" t="s">
        <v>30</v>
      </c>
      <c r="F77">
        <v>45739</v>
      </c>
      <c r="G77" t="s">
        <v>39</v>
      </c>
      <c r="H77">
        <v>18083.789523970041</v>
      </c>
      <c r="I77">
        <v>337</v>
      </c>
      <c r="J77" t="s">
        <v>18</v>
      </c>
      <c r="K77">
        <v>45752</v>
      </c>
      <c r="L77" t="s">
        <v>22</v>
      </c>
    </row>
    <row r="78" spans="1:12" x14ac:dyDescent="0.35">
      <c r="A78" t="s">
        <v>116</v>
      </c>
      <c r="B78">
        <v>50</v>
      </c>
      <c r="C78" t="s">
        <v>11</v>
      </c>
      <c r="D78" t="s">
        <v>23</v>
      </c>
      <c r="E78" t="s">
        <v>30</v>
      </c>
      <c r="F78">
        <v>45692</v>
      </c>
      <c r="G78" t="s">
        <v>36</v>
      </c>
      <c r="H78">
        <v>22361.29684207536</v>
      </c>
      <c r="I78">
        <v>265</v>
      </c>
      <c r="J78" t="s">
        <v>25</v>
      </c>
      <c r="K78">
        <v>45705</v>
      </c>
      <c r="L78" t="s">
        <v>27</v>
      </c>
    </row>
    <row r="79" spans="1:12" x14ac:dyDescent="0.35">
      <c r="A79" t="s">
        <v>117</v>
      </c>
      <c r="B79">
        <v>78</v>
      </c>
      <c r="C79" t="s">
        <v>11</v>
      </c>
      <c r="D79" t="s">
        <v>23</v>
      </c>
      <c r="E79" t="s">
        <v>13</v>
      </c>
      <c r="F79">
        <v>45880</v>
      </c>
      <c r="G79" t="s">
        <v>37</v>
      </c>
      <c r="H79">
        <v>31725.722306520471</v>
      </c>
      <c r="I79">
        <v>372</v>
      </c>
      <c r="J79" t="s">
        <v>18</v>
      </c>
      <c r="K79">
        <v>45884</v>
      </c>
      <c r="L79" t="s">
        <v>22</v>
      </c>
    </row>
    <row r="80" spans="1:12" x14ac:dyDescent="0.35">
      <c r="A80" t="s">
        <v>118</v>
      </c>
      <c r="B80">
        <v>57</v>
      </c>
      <c r="C80" t="s">
        <v>20</v>
      </c>
      <c r="D80" t="s">
        <v>33</v>
      </c>
      <c r="E80" t="s">
        <v>17</v>
      </c>
      <c r="F80">
        <v>45948</v>
      </c>
      <c r="G80" t="s">
        <v>36</v>
      </c>
      <c r="H80">
        <v>47552.063053740443</v>
      </c>
      <c r="I80">
        <v>212</v>
      </c>
      <c r="J80" t="s">
        <v>25</v>
      </c>
      <c r="K80">
        <v>45956</v>
      </c>
      <c r="L80" t="s">
        <v>27</v>
      </c>
    </row>
    <row r="81" spans="1:12" x14ac:dyDescent="0.35">
      <c r="A81" t="s">
        <v>119</v>
      </c>
      <c r="B81">
        <v>26</v>
      </c>
      <c r="C81" t="s">
        <v>11</v>
      </c>
      <c r="D81" t="s">
        <v>34</v>
      </c>
      <c r="E81" t="s">
        <v>28</v>
      </c>
      <c r="F81">
        <v>45747</v>
      </c>
      <c r="G81" t="s">
        <v>39</v>
      </c>
      <c r="H81">
        <v>27118.758269869191</v>
      </c>
      <c r="I81">
        <v>236</v>
      </c>
      <c r="J81" t="s">
        <v>18</v>
      </c>
      <c r="K81">
        <v>45759</v>
      </c>
      <c r="L81" t="s">
        <v>31</v>
      </c>
    </row>
    <row r="82" spans="1:12" x14ac:dyDescent="0.35">
      <c r="A82" t="s">
        <v>120</v>
      </c>
      <c r="B82">
        <v>67</v>
      </c>
      <c r="C82" t="s">
        <v>20</v>
      </c>
      <c r="D82" t="s">
        <v>29</v>
      </c>
      <c r="E82" t="s">
        <v>17</v>
      </c>
      <c r="F82">
        <v>45810</v>
      </c>
      <c r="G82" t="s">
        <v>36</v>
      </c>
      <c r="H82">
        <v>14528.200868985439</v>
      </c>
      <c r="I82">
        <v>397</v>
      </c>
      <c r="J82" t="s">
        <v>25</v>
      </c>
      <c r="K82">
        <v>45824</v>
      </c>
      <c r="L82" t="s">
        <v>27</v>
      </c>
    </row>
    <row r="83" spans="1:12" x14ac:dyDescent="0.35">
      <c r="A83" t="s">
        <v>121</v>
      </c>
      <c r="B83">
        <v>61</v>
      </c>
      <c r="C83" t="s">
        <v>11</v>
      </c>
      <c r="D83" t="s">
        <v>29</v>
      </c>
      <c r="E83" t="s">
        <v>30</v>
      </c>
      <c r="F83">
        <v>45900</v>
      </c>
      <c r="G83" t="s">
        <v>39</v>
      </c>
      <c r="H83">
        <v>9333.1694948133754</v>
      </c>
      <c r="I83">
        <v>212</v>
      </c>
      <c r="J83" t="s">
        <v>25</v>
      </c>
      <c r="K83">
        <v>45903</v>
      </c>
      <c r="L83" t="s">
        <v>22</v>
      </c>
    </row>
    <row r="84" spans="1:12" x14ac:dyDescent="0.35">
      <c r="A84" t="s">
        <v>122</v>
      </c>
      <c r="B84">
        <v>24</v>
      </c>
      <c r="C84" t="s">
        <v>11</v>
      </c>
      <c r="D84" t="s">
        <v>16</v>
      </c>
      <c r="E84" t="s">
        <v>30</v>
      </c>
      <c r="F84">
        <v>45687</v>
      </c>
      <c r="G84" t="s">
        <v>39</v>
      </c>
      <c r="H84">
        <v>19782.6389913577</v>
      </c>
      <c r="I84">
        <v>438</v>
      </c>
      <c r="J84" t="s">
        <v>18</v>
      </c>
      <c r="K84">
        <v>45691</v>
      </c>
      <c r="L84" t="s">
        <v>19</v>
      </c>
    </row>
    <row r="85" spans="1:12" x14ac:dyDescent="0.35">
      <c r="A85" t="s">
        <v>123</v>
      </c>
      <c r="B85">
        <v>46</v>
      </c>
      <c r="C85" t="s">
        <v>20</v>
      </c>
      <c r="D85" t="s">
        <v>16</v>
      </c>
      <c r="E85" t="s">
        <v>13</v>
      </c>
      <c r="F85">
        <v>45945</v>
      </c>
      <c r="G85" t="s">
        <v>36</v>
      </c>
      <c r="H85">
        <v>28119.131954616299</v>
      </c>
      <c r="I85">
        <v>200</v>
      </c>
      <c r="J85" t="s">
        <v>25</v>
      </c>
      <c r="K85">
        <v>45956</v>
      </c>
      <c r="L85" t="s">
        <v>19</v>
      </c>
    </row>
    <row r="86" spans="1:12" x14ac:dyDescent="0.35">
      <c r="A86" t="s">
        <v>124</v>
      </c>
      <c r="B86">
        <v>52</v>
      </c>
      <c r="C86" t="s">
        <v>11</v>
      </c>
      <c r="D86" t="s">
        <v>21</v>
      </c>
      <c r="E86" t="s">
        <v>13</v>
      </c>
      <c r="F86">
        <v>45785</v>
      </c>
      <c r="G86" t="s">
        <v>37</v>
      </c>
      <c r="H86">
        <v>22014.36322015616</v>
      </c>
      <c r="I86">
        <v>206</v>
      </c>
      <c r="J86" t="s">
        <v>18</v>
      </c>
      <c r="K86">
        <v>45793</v>
      </c>
      <c r="L86" t="s">
        <v>19</v>
      </c>
    </row>
    <row r="87" spans="1:12" x14ac:dyDescent="0.35">
      <c r="A87" t="s">
        <v>125</v>
      </c>
      <c r="B87">
        <v>63</v>
      </c>
      <c r="C87" t="s">
        <v>20</v>
      </c>
      <c r="D87" t="s">
        <v>29</v>
      </c>
      <c r="E87" t="s">
        <v>13</v>
      </c>
      <c r="F87">
        <v>45994</v>
      </c>
      <c r="G87" t="s">
        <v>37</v>
      </c>
      <c r="H87">
        <v>7872.138635918418</v>
      </c>
      <c r="I87">
        <v>121</v>
      </c>
      <c r="J87" t="s">
        <v>18</v>
      </c>
      <c r="K87">
        <v>46001</v>
      </c>
      <c r="L87" t="s">
        <v>19</v>
      </c>
    </row>
    <row r="88" spans="1:12" x14ac:dyDescent="0.35">
      <c r="A88" t="s">
        <v>126</v>
      </c>
      <c r="B88">
        <v>71</v>
      </c>
      <c r="C88" t="s">
        <v>11</v>
      </c>
      <c r="D88" t="s">
        <v>29</v>
      </c>
      <c r="E88" t="s">
        <v>32</v>
      </c>
      <c r="F88">
        <v>45940</v>
      </c>
      <c r="G88" t="s">
        <v>39</v>
      </c>
      <c r="H88">
        <v>46271.376196317018</v>
      </c>
      <c r="I88">
        <v>145</v>
      </c>
      <c r="J88" t="s">
        <v>25</v>
      </c>
      <c r="K88">
        <v>45946</v>
      </c>
      <c r="L88" t="s">
        <v>31</v>
      </c>
    </row>
    <row r="89" spans="1:12" x14ac:dyDescent="0.35">
      <c r="A89" t="s">
        <v>127</v>
      </c>
      <c r="B89">
        <v>20</v>
      </c>
      <c r="C89" t="s">
        <v>11</v>
      </c>
      <c r="D89" t="s">
        <v>21</v>
      </c>
      <c r="E89" t="s">
        <v>13</v>
      </c>
      <c r="F89">
        <v>45775</v>
      </c>
      <c r="G89" t="s">
        <v>36</v>
      </c>
      <c r="H89">
        <v>20616.550195486539</v>
      </c>
      <c r="I89">
        <v>426</v>
      </c>
      <c r="J89" t="s">
        <v>25</v>
      </c>
      <c r="K89">
        <v>45780</v>
      </c>
      <c r="L89" t="s">
        <v>19</v>
      </c>
    </row>
    <row r="90" spans="1:12" x14ac:dyDescent="0.35">
      <c r="A90" t="s">
        <v>128</v>
      </c>
      <c r="B90">
        <v>72</v>
      </c>
      <c r="C90" t="s">
        <v>20</v>
      </c>
      <c r="D90" t="s">
        <v>23</v>
      </c>
      <c r="E90" t="s">
        <v>30</v>
      </c>
      <c r="F90">
        <v>45723</v>
      </c>
      <c r="G90" t="s">
        <v>36</v>
      </c>
      <c r="H90">
        <v>47267.928203278279</v>
      </c>
      <c r="I90">
        <v>170</v>
      </c>
      <c r="J90" t="s">
        <v>25</v>
      </c>
      <c r="K90">
        <v>45736</v>
      </c>
      <c r="L90" t="s">
        <v>27</v>
      </c>
    </row>
    <row r="91" spans="1:12" x14ac:dyDescent="0.35">
      <c r="A91" t="s">
        <v>129</v>
      </c>
      <c r="B91">
        <v>58</v>
      </c>
      <c r="C91" t="s">
        <v>20</v>
      </c>
      <c r="D91" t="s">
        <v>21</v>
      </c>
      <c r="E91" t="s">
        <v>13</v>
      </c>
      <c r="F91">
        <v>45701</v>
      </c>
      <c r="G91" t="s">
        <v>36</v>
      </c>
      <c r="H91">
        <v>2403.2908991141949</v>
      </c>
      <c r="I91">
        <v>349</v>
      </c>
      <c r="J91" t="s">
        <v>25</v>
      </c>
      <c r="K91">
        <v>45714</v>
      </c>
      <c r="L91" t="s">
        <v>27</v>
      </c>
    </row>
    <row r="92" spans="1:12" x14ac:dyDescent="0.35">
      <c r="A92" t="s">
        <v>130</v>
      </c>
      <c r="B92">
        <v>23</v>
      </c>
      <c r="C92" t="s">
        <v>11</v>
      </c>
      <c r="D92" t="s">
        <v>33</v>
      </c>
      <c r="E92" t="s">
        <v>28</v>
      </c>
      <c r="F92">
        <v>45794</v>
      </c>
      <c r="G92" t="s">
        <v>37</v>
      </c>
      <c r="H92">
        <v>49817.112709190013</v>
      </c>
      <c r="I92">
        <v>422</v>
      </c>
      <c r="J92" t="s">
        <v>18</v>
      </c>
      <c r="K92">
        <v>45808</v>
      </c>
      <c r="L92" t="s">
        <v>22</v>
      </c>
    </row>
    <row r="93" spans="1:12" x14ac:dyDescent="0.35">
      <c r="A93" t="s">
        <v>131</v>
      </c>
      <c r="B93">
        <v>33</v>
      </c>
      <c r="C93" t="s">
        <v>20</v>
      </c>
      <c r="D93" t="s">
        <v>26</v>
      </c>
      <c r="E93" t="s">
        <v>28</v>
      </c>
      <c r="F93">
        <v>45676</v>
      </c>
      <c r="G93" t="s">
        <v>37</v>
      </c>
      <c r="H93">
        <v>44302.237204928053</v>
      </c>
      <c r="I93">
        <v>289</v>
      </c>
      <c r="J93" t="s">
        <v>25</v>
      </c>
      <c r="K93">
        <v>45680</v>
      </c>
      <c r="L93" t="s">
        <v>27</v>
      </c>
    </row>
    <row r="94" spans="1:12" x14ac:dyDescent="0.35">
      <c r="A94" t="s">
        <v>132</v>
      </c>
      <c r="B94">
        <v>69</v>
      </c>
      <c r="C94" t="s">
        <v>20</v>
      </c>
      <c r="D94" t="s">
        <v>33</v>
      </c>
      <c r="E94" t="s">
        <v>17</v>
      </c>
      <c r="F94">
        <v>45678</v>
      </c>
      <c r="G94" t="s">
        <v>39</v>
      </c>
      <c r="H94">
        <v>24579.105440731211</v>
      </c>
      <c r="I94">
        <v>205</v>
      </c>
      <c r="J94" t="s">
        <v>25</v>
      </c>
      <c r="K94">
        <v>45691</v>
      </c>
      <c r="L94" t="s">
        <v>31</v>
      </c>
    </row>
    <row r="95" spans="1:12" x14ac:dyDescent="0.35">
      <c r="A95" t="s">
        <v>133</v>
      </c>
      <c r="B95">
        <v>49</v>
      </c>
      <c r="C95" t="s">
        <v>11</v>
      </c>
      <c r="D95" t="s">
        <v>12</v>
      </c>
      <c r="E95" t="s">
        <v>30</v>
      </c>
      <c r="F95">
        <v>45728</v>
      </c>
      <c r="G95" t="s">
        <v>36</v>
      </c>
      <c r="H95">
        <v>4372.7058190851922</v>
      </c>
      <c r="I95">
        <v>469</v>
      </c>
      <c r="J95" t="s">
        <v>25</v>
      </c>
      <c r="K95">
        <v>45738</v>
      </c>
      <c r="L95" t="s">
        <v>19</v>
      </c>
    </row>
    <row r="96" spans="1:12" x14ac:dyDescent="0.35">
      <c r="A96" t="s">
        <v>134</v>
      </c>
      <c r="B96">
        <v>65</v>
      </c>
      <c r="C96" t="s">
        <v>11</v>
      </c>
      <c r="D96" t="s">
        <v>26</v>
      </c>
      <c r="E96" t="s">
        <v>28</v>
      </c>
      <c r="F96">
        <v>45864</v>
      </c>
      <c r="G96" t="s">
        <v>36</v>
      </c>
      <c r="H96">
        <v>33093.480796531549</v>
      </c>
      <c r="I96">
        <v>447</v>
      </c>
      <c r="J96" t="s">
        <v>25</v>
      </c>
      <c r="K96">
        <v>45871</v>
      </c>
      <c r="L96" t="s">
        <v>22</v>
      </c>
    </row>
    <row r="97" spans="1:12" x14ac:dyDescent="0.35">
      <c r="A97" t="s">
        <v>135</v>
      </c>
      <c r="B97">
        <v>29</v>
      </c>
      <c r="C97" t="s">
        <v>11</v>
      </c>
      <c r="D97" t="s">
        <v>16</v>
      </c>
      <c r="E97" t="s">
        <v>32</v>
      </c>
      <c r="F97">
        <v>45932</v>
      </c>
      <c r="G97" t="s">
        <v>39</v>
      </c>
      <c r="H97">
        <v>24035.26042122404</v>
      </c>
      <c r="I97">
        <v>279</v>
      </c>
      <c r="J97" t="s">
        <v>18</v>
      </c>
      <c r="K97">
        <v>45936</v>
      </c>
      <c r="L97" t="s">
        <v>27</v>
      </c>
    </row>
    <row r="98" spans="1:12" x14ac:dyDescent="0.35">
      <c r="A98" t="s">
        <v>136</v>
      </c>
      <c r="B98">
        <v>56</v>
      </c>
      <c r="C98" t="s">
        <v>20</v>
      </c>
      <c r="D98" t="s">
        <v>23</v>
      </c>
      <c r="E98" t="s">
        <v>28</v>
      </c>
      <c r="F98">
        <v>45783</v>
      </c>
      <c r="G98" t="s">
        <v>36</v>
      </c>
      <c r="H98">
        <v>43338.856482574731</v>
      </c>
      <c r="I98">
        <v>370</v>
      </c>
      <c r="J98" t="s">
        <v>25</v>
      </c>
      <c r="K98">
        <v>45793</v>
      </c>
      <c r="L98" t="s">
        <v>27</v>
      </c>
    </row>
    <row r="99" spans="1:12" x14ac:dyDescent="0.35">
      <c r="A99" t="s">
        <v>137</v>
      </c>
      <c r="B99">
        <v>18</v>
      </c>
      <c r="C99" t="s">
        <v>20</v>
      </c>
      <c r="D99" t="s">
        <v>21</v>
      </c>
      <c r="E99" t="s">
        <v>32</v>
      </c>
      <c r="F99">
        <v>45667</v>
      </c>
      <c r="G99" t="s">
        <v>37</v>
      </c>
      <c r="H99">
        <v>23994.01574671215</v>
      </c>
      <c r="I99">
        <v>399</v>
      </c>
      <c r="J99" t="s">
        <v>25</v>
      </c>
      <c r="K99">
        <v>45678</v>
      </c>
      <c r="L99" t="s">
        <v>15</v>
      </c>
    </row>
    <row r="100" spans="1:12" x14ac:dyDescent="0.35">
      <c r="A100" t="s">
        <v>138</v>
      </c>
      <c r="B100">
        <v>38</v>
      </c>
      <c r="C100" t="s">
        <v>11</v>
      </c>
      <c r="D100" t="s">
        <v>34</v>
      </c>
      <c r="E100" t="s">
        <v>17</v>
      </c>
      <c r="F100">
        <v>45985</v>
      </c>
      <c r="G100" t="s">
        <v>36</v>
      </c>
      <c r="H100">
        <v>17312.715680722849</v>
      </c>
      <c r="I100">
        <v>442</v>
      </c>
      <c r="J100" t="s">
        <v>25</v>
      </c>
      <c r="K100">
        <v>45993</v>
      </c>
      <c r="L100" t="s">
        <v>22</v>
      </c>
    </row>
    <row r="101" spans="1:12" x14ac:dyDescent="0.35">
      <c r="A101" t="s">
        <v>139</v>
      </c>
      <c r="B101">
        <v>42</v>
      </c>
      <c r="C101" t="s">
        <v>11</v>
      </c>
      <c r="D101" t="s">
        <v>33</v>
      </c>
      <c r="E101" t="s">
        <v>32</v>
      </c>
      <c r="F101">
        <v>45872</v>
      </c>
      <c r="G101" t="s">
        <v>37</v>
      </c>
      <c r="H101">
        <v>45128.61868448554</v>
      </c>
      <c r="I101">
        <v>203</v>
      </c>
      <c r="J101" t="s">
        <v>25</v>
      </c>
      <c r="K101">
        <v>45884</v>
      </c>
      <c r="L101" t="s">
        <v>15</v>
      </c>
    </row>
    <row r="102" spans="1:12" x14ac:dyDescent="0.35">
      <c r="A102" t="s">
        <v>140</v>
      </c>
      <c r="B102">
        <v>21</v>
      </c>
      <c r="C102" t="s">
        <v>20</v>
      </c>
      <c r="D102" t="s">
        <v>34</v>
      </c>
      <c r="E102" t="s">
        <v>17</v>
      </c>
      <c r="F102">
        <v>45775</v>
      </c>
      <c r="G102" t="s">
        <v>37</v>
      </c>
      <c r="H102">
        <v>49577.493746851898</v>
      </c>
      <c r="I102">
        <v>438</v>
      </c>
      <c r="J102" t="s">
        <v>25</v>
      </c>
      <c r="K102">
        <v>45780</v>
      </c>
      <c r="L102" t="s">
        <v>22</v>
      </c>
    </row>
    <row r="103" spans="1:12" x14ac:dyDescent="0.35">
      <c r="A103" t="s">
        <v>141</v>
      </c>
      <c r="B103">
        <v>81</v>
      </c>
      <c r="C103" t="s">
        <v>11</v>
      </c>
      <c r="D103" t="s">
        <v>12</v>
      </c>
      <c r="E103" t="s">
        <v>28</v>
      </c>
      <c r="F103">
        <v>45938</v>
      </c>
      <c r="G103" t="s">
        <v>37</v>
      </c>
      <c r="H103">
        <v>2504.204965769301</v>
      </c>
      <c r="I103">
        <v>225</v>
      </c>
      <c r="J103" t="s">
        <v>18</v>
      </c>
      <c r="K103">
        <v>45940</v>
      </c>
      <c r="L103" t="s">
        <v>15</v>
      </c>
    </row>
    <row r="104" spans="1:12" x14ac:dyDescent="0.35">
      <c r="A104" t="s">
        <v>142</v>
      </c>
      <c r="B104">
        <v>73</v>
      </c>
      <c r="C104" t="s">
        <v>11</v>
      </c>
      <c r="D104" t="s">
        <v>34</v>
      </c>
      <c r="E104" t="s">
        <v>13</v>
      </c>
      <c r="F104">
        <v>45949</v>
      </c>
      <c r="G104" t="s">
        <v>39</v>
      </c>
      <c r="H104">
        <v>41191.887321978567</v>
      </c>
      <c r="I104">
        <v>348</v>
      </c>
      <c r="J104" t="s">
        <v>18</v>
      </c>
      <c r="K104">
        <v>45959</v>
      </c>
      <c r="L104" t="s">
        <v>22</v>
      </c>
    </row>
    <row r="105" spans="1:12" x14ac:dyDescent="0.35">
      <c r="A105" t="s">
        <v>143</v>
      </c>
      <c r="B105">
        <v>33</v>
      </c>
      <c r="C105" t="s">
        <v>20</v>
      </c>
      <c r="D105" t="s">
        <v>16</v>
      </c>
      <c r="E105" t="s">
        <v>17</v>
      </c>
      <c r="F105">
        <v>45999</v>
      </c>
      <c r="G105" t="s">
        <v>37</v>
      </c>
      <c r="H105">
        <v>30219.21558658464</v>
      </c>
      <c r="I105">
        <v>125</v>
      </c>
      <c r="J105" t="s">
        <v>18</v>
      </c>
      <c r="K105">
        <v>46010</v>
      </c>
      <c r="L105" t="s">
        <v>19</v>
      </c>
    </row>
    <row r="106" spans="1:12" x14ac:dyDescent="0.35">
      <c r="A106" t="s">
        <v>144</v>
      </c>
      <c r="B106">
        <v>48</v>
      </c>
      <c r="C106" t="s">
        <v>11</v>
      </c>
      <c r="D106" t="s">
        <v>34</v>
      </c>
      <c r="E106" t="s">
        <v>17</v>
      </c>
      <c r="F106">
        <v>45890</v>
      </c>
      <c r="G106" t="s">
        <v>37</v>
      </c>
      <c r="H106">
        <v>17223.815442985619</v>
      </c>
      <c r="I106">
        <v>467</v>
      </c>
      <c r="J106" t="s">
        <v>18</v>
      </c>
      <c r="K106">
        <v>45894</v>
      </c>
      <c r="L106" t="s">
        <v>15</v>
      </c>
    </row>
    <row r="107" spans="1:12" x14ac:dyDescent="0.35">
      <c r="A107" t="s">
        <v>145</v>
      </c>
      <c r="B107">
        <v>48</v>
      </c>
      <c r="C107" t="s">
        <v>20</v>
      </c>
      <c r="D107" t="s">
        <v>23</v>
      </c>
      <c r="E107" t="s">
        <v>13</v>
      </c>
      <c r="F107">
        <v>45807</v>
      </c>
      <c r="G107" t="s">
        <v>37</v>
      </c>
      <c r="H107">
        <v>32178.919828630289</v>
      </c>
      <c r="I107">
        <v>325</v>
      </c>
      <c r="J107" t="s">
        <v>25</v>
      </c>
      <c r="K107">
        <v>45816</v>
      </c>
      <c r="L107" t="s">
        <v>19</v>
      </c>
    </row>
    <row r="108" spans="1:12" x14ac:dyDescent="0.35">
      <c r="A108" t="s">
        <v>146</v>
      </c>
      <c r="B108">
        <v>66</v>
      </c>
      <c r="C108" t="s">
        <v>11</v>
      </c>
      <c r="D108" t="s">
        <v>34</v>
      </c>
      <c r="E108" t="s">
        <v>28</v>
      </c>
      <c r="F108">
        <v>45756</v>
      </c>
      <c r="G108" t="s">
        <v>36</v>
      </c>
      <c r="H108">
        <v>33342.063686175992</v>
      </c>
      <c r="I108">
        <v>448</v>
      </c>
      <c r="J108" t="s">
        <v>25</v>
      </c>
      <c r="K108">
        <v>45758</v>
      </c>
      <c r="L108" t="s">
        <v>15</v>
      </c>
    </row>
    <row r="109" spans="1:12" x14ac:dyDescent="0.35">
      <c r="A109" t="s">
        <v>147</v>
      </c>
      <c r="B109">
        <v>52</v>
      </c>
      <c r="C109" t="s">
        <v>11</v>
      </c>
      <c r="D109" t="s">
        <v>33</v>
      </c>
      <c r="E109" t="s">
        <v>28</v>
      </c>
      <c r="F109">
        <v>45823</v>
      </c>
      <c r="G109" t="s">
        <v>36</v>
      </c>
      <c r="H109">
        <v>12242.96951293959</v>
      </c>
      <c r="I109">
        <v>288</v>
      </c>
      <c r="J109" t="s">
        <v>25</v>
      </c>
      <c r="K109">
        <v>45832</v>
      </c>
      <c r="L109" t="s">
        <v>15</v>
      </c>
    </row>
    <row r="110" spans="1:12" x14ac:dyDescent="0.35">
      <c r="A110" t="s">
        <v>148</v>
      </c>
      <c r="B110">
        <v>64</v>
      </c>
      <c r="C110" t="s">
        <v>20</v>
      </c>
      <c r="D110" t="s">
        <v>23</v>
      </c>
      <c r="E110" t="s">
        <v>13</v>
      </c>
      <c r="F110">
        <v>45807</v>
      </c>
      <c r="G110" t="s">
        <v>37</v>
      </c>
      <c r="H110">
        <v>49088.077953631189</v>
      </c>
      <c r="I110">
        <v>161</v>
      </c>
      <c r="J110" t="s">
        <v>18</v>
      </c>
      <c r="K110">
        <v>45816</v>
      </c>
      <c r="L110" t="s">
        <v>27</v>
      </c>
    </row>
    <row r="111" spans="1:12" x14ac:dyDescent="0.35">
      <c r="A111" t="s">
        <v>149</v>
      </c>
      <c r="B111">
        <v>72</v>
      </c>
      <c r="C111" t="s">
        <v>20</v>
      </c>
      <c r="D111" t="s">
        <v>33</v>
      </c>
      <c r="E111" t="s">
        <v>30</v>
      </c>
      <c r="F111">
        <v>45708</v>
      </c>
      <c r="G111" t="s">
        <v>37</v>
      </c>
      <c r="H111">
        <v>1174.2596511194511</v>
      </c>
      <c r="I111">
        <v>228</v>
      </c>
      <c r="J111" t="s">
        <v>18</v>
      </c>
      <c r="K111">
        <v>45718</v>
      </c>
      <c r="L111" t="s">
        <v>22</v>
      </c>
    </row>
    <row r="112" spans="1:12" x14ac:dyDescent="0.35">
      <c r="A112" t="s">
        <v>150</v>
      </c>
      <c r="B112">
        <v>59</v>
      </c>
      <c r="C112" t="s">
        <v>20</v>
      </c>
      <c r="D112" t="s">
        <v>16</v>
      </c>
      <c r="E112" t="s">
        <v>30</v>
      </c>
      <c r="F112">
        <v>45676</v>
      </c>
      <c r="G112" t="s">
        <v>39</v>
      </c>
      <c r="H112">
        <v>44039.045414918473</v>
      </c>
      <c r="I112">
        <v>104</v>
      </c>
      <c r="J112" t="s">
        <v>18</v>
      </c>
      <c r="K112">
        <v>45682</v>
      </c>
      <c r="L112" t="s">
        <v>27</v>
      </c>
    </row>
    <row r="113" spans="1:12" x14ac:dyDescent="0.35">
      <c r="A113" t="s">
        <v>151</v>
      </c>
      <c r="B113">
        <v>19</v>
      </c>
      <c r="C113" t="s">
        <v>20</v>
      </c>
      <c r="D113" t="s">
        <v>16</v>
      </c>
      <c r="E113" t="s">
        <v>13</v>
      </c>
      <c r="F113">
        <v>45677</v>
      </c>
      <c r="G113" t="s">
        <v>36</v>
      </c>
      <c r="H113">
        <v>34841.526279194717</v>
      </c>
      <c r="I113">
        <v>227</v>
      </c>
      <c r="J113" t="s">
        <v>25</v>
      </c>
      <c r="K113">
        <v>45679</v>
      </c>
      <c r="L113" t="s">
        <v>22</v>
      </c>
    </row>
    <row r="114" spans="1:12" x14ac:dyDescent="0.35">
      <c r="A114" t="s">
        <v>152</v>
      </c>
      <c r="B114">
        <v>57</v>
      </c>
      <c r="C114" t="s">
        <v>11</v>
      </c>
      <c r="D114" t="s">
        <v>16</v>
      </c>
      <c r="E114" t="s">
        <v>17</v>
      </c>
      <c r="F114">
        <v>45764</v>
      </c>
      <c r="G114" t="s">
        <v>39</v>
      </c>
      <c r="H114">
        <v>24972.101953197671</v>
      </c>
      <c r="I114">
        <v>492</v>
      </c>
      <c r="J114" t="s">
        <v>25</v>
      </c>
      <c r="K114">
        <v>45774</v>
      </c>
      <c r="L114" t="s">
        <v>22</v>
      </c>
    </row>
    <row r="115" spans="1:12" x14ac:dyDescent="0.35">
      <c r="A115" t="s">
        <v>153</v>
      </c>
      <c r="B115">
        <v>37</v>
      </c>
      <c r="C115" t="s">
        <v>20</v>
      </c>
      <c r="D115" t="s">
        <v>12</v>
      </c>
      <c r="E115" t="s">
        <v>17</v>
      </c>
      <c r="F115">
        <v>45880</v>
      </c>
      <c r="G115" t="s">
        <v>39</v>
      </c>
      <c r="H115">
        <v>15528.373245424589</v>
      </c>
      <c r="I115">
        <v>309</v>
      </c>
      <c r="J115" t="s">
        <v>18</v>
      </c>
      <c r="K115">
        <v>45891</v>
      </c>
      <c r="L115" t="s">
        <v>27</v>
      </c>
    </row>
    <row r="116" spans="1:12" x14ac:dyDescent="0.35">
      <c r="A116" t="s">
        <v>154</v>
      </c>
      <c r="B116">
        <v>39</v>
      </c>
      <c r="C116" t="s">
        <v>20</v>
      </c>
      <c r="D116" t="s">
        <v>16</v>
      </c>
      <c r="E116" t="s">
        <v>28</v>
      </c>
      <c r="F116">
        <v>45690</v>
      </c>
      <c r="G116" t="s">
        <v>37</v>
      </c>
      <c r="H116">
        <v>45726.142715749193</v>
      </c>
      <c r="I116">
        <v>487</v>
      </c>
      <c r="J116" t="s">
        <v>25</v>
      </c>
      <c r="K116">
        <v>45702</v>
      </c>
      <c r="L116" t="s">
        <v>27</v>
      </c>
    </row>
    <row r="117" spans="1:12" x14ac:dyDescent="0.35">
      <c r="A117" t="s">
        <v>155</v>
      </c>
      <c r="B117">
        <v>83</v>
      </c>
      <c r="C117" t="s">
        <v>11</v>
      </c>
      <c r="D117" t="s">
        <v>26</v>
      </c>
      <c r="E117" t="s">
        <v>17</v>
      </c>
      <c r="F117">
        <v>45684</v>
      </c>
      <c r="G117" t="s">
        <v>37</v>
      </c>
      <c r="H117">
        <v>11734.61351509644</v>
      </c>
      <c r="I117">
        <v>206</v>
      </c>
      <c r="J117" t="s">
        <v>18</v>
      </c>
      <c r="K117">
        <v>45698</v>
      </c>
      <c r="L117" t="s">
        <v>19</v>
      </c>
    </row>
    <row r="118" spans="1:12" x14ac:dyDescent="0.35">
      <c r="A118" t="s">
        <v>156</v>
      </c>
      <c r="B118">
        <v>70</v>
      </c>
      <c r="C118" t="s">
        <v>20</v>
      </c>
      <c r="D118" t="s">
        <v>33</v>
      </c>
      <c r="E118" t="s">
        <v>28</v>
      </c>
      <c r="F118">
        <v>45934</v>
      </c>
      <c r="G118" t="s">
        <v>37</v>
      </c>
      <c r="H118">
        <v>36521.864234060064</v>
      </c>
      <c r="I118">
        <v>345</v>
      </c>
      <c r="J118" t="s">
        <v>18</v>
      </c>
      <c r="K118">
        <v>45938</v>
      </c>
      <c r="L118" t="s">
        <v>31</v>
      </c>
    </row>
    <row r="119" spans="1:12" x14ac:dyDescent="0.35">
      <c r="A119" t="s">
        <v>157</v>
      </c>
      <c r="B119">
        <v>76</v>
      </c>
      <c r="C119" t="s">
        <v>11</v>
      </c>
      <c r="D119" t="s">
        <v>23</v>
      </c>
      <c r="E119" t="s">
        <v>30</v>
      </c>
      <c r="F119">
        <v>45941</v>
      </c>
      <c r="G119" t="s">
        <v>37</v>
      </c>
      <c r="H119">
        <v>19252.864675574579</v>
      </c>
      <c r="I119">
        <v>297</v>
      </c>
      <c r="J119" t="s">
        <v>25</v>
      </c>
      <c r="K119">
        <v>45947</v>
      </c>
      <c r="L119" t="s">
        <v>27</v>
      </c>
    </row>
    <row r="120" spans="1:12" x14ac:dyDescent="0.35">
      <c r="A120" t="s">
        <v>158</v>
      </c>
      <c r="B120">
        <v>19</v>
      </c>
      <c r="C120" t="s">
        <v>11</v>
      </c>
      <c r="D120" t="s">
        <v>33</v>
      </c>
      <c r="E120" t="s">
        <v>24</v>
      </c>
      <c r="F120">
        <v>45915</v>
      </c>
      <c r="G120" t="s">
        <v>39</v>
      </c>
      <c r="H120">
        <v>8537.2245416379938</v>
      </c>
      <c r="I120">
        <v>376</v>
      </c>
      <c r="J120" t="s">
        <v>25</v>
      </c>
      <c r="K120">
        <v>45917</v>
      </c>
      <c r="L120" t="s">
        <v>22</v>
      </c>
    </row>
    <row r="121" spans="1:12" x14ac:dyDescent="0.35">
      <c r="A121" t="s">
        <v>159</v>
      </c>
      <c r="B121">
        <v>19</v>
      </c>
      <c r="C121" t="s">
        <v>11</v>
      </c>
      <c r="D121" t="s">
        <v>26</v>
      </c>
      <c r="E121" t="s">
        <v>30</v>
      </c>
      <c r="F121">
        <v>45752</v>
      </c>
      <c r="G121" t="s">
        <v>39</v>
      </c>
      <c r="H121">
        <v>40147.11959375396</v>
      </c>
      <c r="I121">
        <v>365</v>
      </c>
      <c r="J121" t="s">
        <v>25</v>
      </c>
      <c r="K121">
        <v>45753</v>
      </c>
      <c r="L121" t="s">
        <v>15</v>
      </c>
    </row>
    <row r="122" spans="1:12" x14ac:dyDescent="0.35">
      <c r="A122" t="s">
        <v>160</v>
      </c>
      <c r="B122">
        <v>47</v>
      </c>
      <c r="C122" t="s">
        <v>11</v>
      </c>
      <c r="D122" t="s">
        <v>34</v>
      </c>
      <c r="E122" t="s">
        <v>32</v>
      </c>
      <c r="F122">
        <v>45988</v>
      </c>
      <c r="G122" t="s">
        <v>37</v>
      </c>
      <c r="H122">
        <v>38078.95631060782</v>
      </c>
      <c r="I122">
        <v>101</v>
      </c>
      <c r="J122" t="s">
        <v>25</v>
      </c>
      <c r="K122">
        <v>45996</v>
      </c>
      <c r="L122" t="s">
        <v>27</v>
      </c>
    </row>
    <row r="123" spans="1:12" x14ac:dyDescent="0.35">
      <c r="A123" t="s">
        <v>161</v>
      </c>
      <c r="B123">
        <v>32</v>
      </c>
      <c r="C123" t="s">
        <v>11</v>
      </c>
      <c r="D123" t="s">
        <v>21</v>
      </c>
      <c r="E123" t="s">
        <v>32</v>
      </c>
      <c r="F123">
        <v>45823</v>
      </c>
      <c r="G123" t="s">
        <v>39</v>
      </c>
      <c r="H123">
        <v>29400.900403814328</v>
      </c>
      <c r="I123">
        <v>162</v>
      </c>
      <c r="J123" t="s">
        <v>18</v>
      </c>
      <c r="K123">
        <v>45824</v>
      </c>
      <c r="L123" t="s">
        <v>27</v>
      </c>
    </row>
    <row r="124" spans="1:12" x14ac:dyDescent="0.35">
      <c r="A124" t="s">
        <v>162</v>
      </c>
      <c r="B124">
        <v>71</v>
      </c>
      <c r="C124" t="s">
        <v>20</v>
      </c>
      <c r="D124" t="s">
        <v>26</v>
      </c>
      <c r="E124" t="s">
        <v>32</v>
      </c>
      <c r="F124">
        <v>45948</v>
      </c>
      <c r="G124" t="s">
        <v>39</v>
      </c>
      <c r="H124">
        <v>46455.543023351252</v>
      </c>
      <c r="I124">
        <v>341</v>
      </c>
      <c r="J124" t="s">
        <v>25</v>
      </c>
      <c r="K124">
        <v>45960</v>
      </c>
      <c r="L124" t="s">
        <v>31</v>
      </c>
    </row>
    <row r="125" spans="1:12" x14ac:dyDescent="0.35">
      <c r="A125" t="s">
        <v>163</v>
      </c>
      <c r="B125">
        <v>47</v>
      </c>
      <c r="C125" t="s">
        <v>20</v>
      </c>
      <c r="D125" t="s">
        <v>23</v>
      </c>
      <c r="E125" t="s">
        <v>30</v>
      </c>
      <c r="F125">
        <v>45855</v>
      </c>
      <c r="G125" t="s">
        <v>37</v>
      </c>
      <c r="H125">
        <v>5689.9941503376622</v>
      </c>
      <c r="I125">
        <v>256</v>
      </c>
      <c r="J125" t="s">
        <v>25</v>
      </c>
      <c r="K125">
        <v>45869</v>
      </c>
      <c r="L125" t="s">
        <v>22</v>
      </c>
    </row>
    <row r="126" spans="1:12" x14ac:dyDescent="0.35">
      <c r="A126" t="s">
        <v>164</v>
      </c>
      <c r="B126">
        <v>28</v>
      </c>
      <c r="C126" t="s">
        <v>20</v>
      </c>
      <c r="D126" t="s">
        <v>16</v>
      </c>
      <c r="E126" t="s">
        <v>24</v>
      </c>
      <c r="F126">
        <v>45873</v>
      </c>
      <c r="G126" t="s">
        <v>39</v>
      </c>
      <c r="H126">
        <v>7297.4709818187775</v>
      </c>
      <c r="I126">
        <v>442</v>
      </c>
      <c r="J126" t="s">
        <v>18</v>
      </c>
      <c r="K126">
        <v>45880</v>
      </c>
      <c r="L126" t="s">
        <v>19</v>
      </c>
    </row>
    <row r="127" spans="1:12" x14ac:dyDescent="0.35">
      <c r="A127" t="s">
        <v>165</v>
      </c>
      <c r="B127">
        <v>48</v>
      </c>
      <c r="C127" t="s">
        <v>20</v>
      </c>
      <c r="D127" t="s">
        <v>23</v>
      </c>
      <c r="E127" t="s">
        <v>17</v>
      </c>
      <c r="F127">
        <v>45919</v>
      </c>
      <c r="G127" t="s">
        <v>37</v>
      </c>
      <c r="H127">
        <v>16419.093707440948</v>
      </c>
      <c r="I127">
        <v>114</v>
      </c>
      <c r="J127" t="s">
        <v>25</v>
      </c>
      <c r="K127">
        <v>45933</v>
      </c>
      <c r="L127" t="s">
        <v>27</v>
      </c>
    </row>
    <row r="128" spans="1:12" x14ac:dyDescent="0.35">
      <c r="A128" t="s">
        <v>166</v>
      </c>
      <c r="B128">
        <v>58</v>
      </c>
      <c r="C128" t="s">
        <v>20</v>
      </c>
      <c r="D128" t="s">
        <v>26</v>
      </c>
      <c r="E128" t="s">
        <v>28</v>
      </c>
      <c r="F128">
        <v>45810</v>
      </c>
      <c r="G128" t="s">
        <v>39</v>
      </c>
      <c r="H128">
        <v>26001.63339521633</v>
      </c>
      <c r="I128">
        <v>162</v>
      </c>
      <c r="J128" t="s">
        <v>25</v>
      </c>
      <c r="K128">
        <v>45818</v>
      </c>
      <c r="L128" t="s">
        <v>19</v>
      </c>
    </row>
    <row r="129" spans="1:12" x14ac:dyDescent="0.35">
      <c r="A129" t="s">
        <v>167</v>
      </c>
      <c r="B129">
        <v>65</v>
      </c>
      <c r="C129" t="s">
        <v>11</v>
      </c>
      <c r="D129" t="s">
        <v>26</v>
      </c>
      <c r="E129" t="s">
        <v>24</v>
      </c>
      <c r="F129">
        <v>45930</v>
      </c>
      <c r="G129" t="s">
        <v>39</v>
      </c>
      <c r="H129">
        <v>24994.77334558095</v>
      </c>
      <c r="I129">
        <v>111</v>
      </c>
      <c r="J129" t="s">
        <v>25</v>
      </c>
      <c r="K129">
        <v>45939</v>
      </c>
      <c r="L129" t="s">
        <v>19</v>
      </c>
    </row>
    <row r="130" spans="1:12" x14ac:dyDescent="0.35">
      <c r="A130" t="s">
        <v>168</v>
      </c>
      <c r="B130">
        <v>65</v>
      </c>
      <c r="C130" t="s">
        <v>20</v>
      </c>
      <c r="D130" t="s">
        <v>33</v>
      </c>
      <c r="E130" t="s">
        <v>28</v>
      </c>
      <c r="F130">
        <v>46018</v>
      </c>
      <c r="G130" t="s">
        <v>39</v>
      </c>
      <c r="H130">
        <v>41521.996402825112</v>
      </c>
      <c r="I130">
        <v>256</v>
      </c>
      <c r="J130" t="s">
        <v>25</v>
      </c>
      <c r="K130">
        <v>46021</v>
      </c>
      <c r="L130" t="s">
        <v>15</v>
      </c>
    </row>
    <row r="131" spans="1:12" x14ac:dyDescent="0.35">
      <c r="A131" t="s">
        <v>169</v>
      </c>
      <c r="B131">
        <v>23</v>
      </c>
      <c r="C131" t="s">
        <v>20</v>
      </c>
      <c r="D131" t="s">
        <v>23</v>
      </c>
      <c r="E131" t="s">
        <v>13</v>
      </c>
      <c r="F131">
        <v>45929</v>
      </c>
      <c r="G131" t="s">
        <v>37</v>
      </c>
      <c r="H131">
        <v>3859.8851801063179</v>
      </c>
      <c r="I131">
        <v>474</v>
      </c>
      <c r="J131" t="s">
        <v>18</v>
      </c>
      <c r="K131">
        <v>45940</v>
      </c>
      <c r="L131" t="s">
        <v>22</v>
      </c>
    </row>
    <row r="132" spans="1:12" x14ac:dyDescent="0.35">
      <c r="A132" t="s">
        <v>170</v>
      </c>
      <c r="B132">
        <v>61</v>
      </c>
      <c r="C132" t="s">
        <v>11</v>
      </c>
      <c r="D132" t="s">
        <v>34</v>
      </c>
      <c r="E132" t="s">
        <v>13</v>
      </c>
      <c r="F132">
        <v>45727</v>
      </c>
      <c r="G132" t="s">
        <v>37</v>
      </c>
      <c r="H132">
        <v>24273.48737879414</v>
      </c>
      <c r="I132">
        <v>312</v>
      </c>
      <c r="J132" t="s">
        <v>25</v>
      </c>
      <c r="K132">
        <v>45733</v>
      </c>
      <c r="L132" t="s">
        <v>31</v>
      </c>
    </row>
    <row r="133" spans="1:12" x14ac:dyDescent="0.35">
      <c r="A133" t="s">
        <v>171</v>
      </c>
      <c r="B133">
        <v>45</v>
      </c>
      <c r="C133" t="s">
        <v>20</v>
      </c>
      <c r="D133" t="s">
        <v>12</v>
      </c>
      <c r="E133" t="s">
        <v>13</v>
      </c>
      <c r="F133">
        <v>45707</v>
      </c>
      <c r="G133" t="s">
        <v>37</v>
      </c>
      <c r="H133">
        <v>28406.33718004428</v>
      </c>
      <c r="I133">
        <v>310</v>
      </c>
      <c r="J133" t="s">
        <v>25</v>
      </c>
      <c r="K133">
        <v>45718</v>
      </c>
      <c r="L133" t="s">
        <v>31</v>
      </c>
    </row>
    <row r="134" spans="1:12" x14ac:dyDescent="0.35">
      <c r="A134" t="s">
        <v>172</v>
      </c>
      <c r="B134">
        <v>52</v>
      </c>
      <c r="C134" t="s">
        <v>11</v>
      </c>
      <c r="D134" t="s">
        <v>33</v>
      </c>
      <c r="E134" t="s">
        <v>24</v>
      </c>
      <c r="F134">
        <v>45807</v>
      </c>
      <c r="G134" t="s">
        <v>39</v>
      </c>
      <c r="H134">
        <v>33038.502738682677</v>
      </c>
      <c r="I134">
        <v>454</v>
      </c>
      <c r="J134" t="s">
        <v>25</v>
      </c>
      <c r="K134">
        <v>45815</v>
      </c>
      <c r="L134" t="s">
        <v>15</v>
      </c>
    </row>
    <row r="135" spans="1:12" x14ac:dyDescent="0.35">
      <c r="A135" t="s">
        <v>173</v>
      </c>
      <c r="B135">
        <v>68</v>
      </c>
      <c r="C135" t="s">
        <v>11</v>
      </c>
      <c r="D135" t="s">
        <v>26</v>
      </c>
      <c r="E135" t="s">
        <v>30</v>
      </c>
      <c r="F135">
        <v>45996</v>
      </c>
      <c r="G135" t="s">
        <v>39</v>
      </c>
      <c r="H135">
        <v>42227.726101736138</v>
      </c>
      <c r="I135">
        <v>434</v>
      </c>
      <c r="J135" t="s">
        <v>18</v>
      </c>
      <c r="K135">
        <v>46000</v>
      </c>
      <c r="L135" t="s">
        <v>22</v>
      </c>
    </row>
    <row r="136" spans="1:12" x14ac:dyDescent="0.35">
      <c r="A136" t="s">
        <v>174</v>
      </c>
      <c r="B136">
        <v>59</v>
      </c>
      <c r="C136" t="s">
        <v>11</v>
      </c>
      <c r="D136" t="s">
        <v>12</v>
      </c>
      <c r="E136" t="s">
        <v>13</v>
      </c>
      <c r="F136">
        <v>45893</v>
      </c>
      <c r="G136" t="s">
        <v>37</v>
      </c>
      <c r="H136">
        <v>24057.29659438031</v>
      </c>
      <c r="I136">
        <v>181</v>
      </c>
      <c r="J136" t="s">
        <v>18</v>
      </c>
      <c r="K136">
        <v>45896</v>
      </c>
      <c r="L136" t="s">
        <v>22</v>
      </c>
    </row>
    <row r="137" spans="1:12" x14ac:dyDescent="0.35">
      <c r="A137" t="s">
        <v>175</v>
      </c>
      <c r="B137">
        <v>51</v>
      </c>
      <c r="C137" t="s">
        <v>11</v>
      </c>
      <c r="D137" t="s">
        <v>21</v>
      </c>
      <c r="E137" t="s">
        <v>24</v>
      </c>
      <c r="F137">
        <v>45855</v>
      </c>
      <c r="G137" t="s">
        <v>37</v>
      </c>
      <c r="H137">
        <v>46743.776680204028</v>
      </c>
      <c r="I137">
        <v>324</v>
      </c>
      <c r="J137" t="s">
        <v>18</v>
      </c>
      <c r="K137">
        <v>45858</v>
      </c>
      <c r="L137" t="s">
        <v>15</v>
      </c>
    </row>
    <row r="138" spans="1:12" x14ac:dyDescent="0.35">
      <c r="A138" t="s">
        <v>176</v>
      </c>
      <c r="B138">
        <v>20</v>
      </c>
      <c r="C138" t="s">
        <v>11</v>
      </c>
      <c r="D138" t="s">
        <v>21</v>
      </c>
      <c r="E138" t="s">
        <v>13</v>
      </c>
      <c r="F138">
        <v>45704</v>
      </c>
      <c r="G138" t="s">
        <v>37</v>
      </c>
      <c r="H138">
        <v>6259.4234207235468</v>
      </c>
      <c r="I138">
        <v>214</v>
      </c>
      <c r="J138" t="s">
        <v>25</v>
      </c>
      <c r="K138">
        <v>45715</v>
      </c>
      <c r="L138" t="s">
        <v>27</v>
      </c>
    </row>
    <row r="139" spans="1:12" x14ac:dyDescent="0.35">
      <c r="A139" t="s">
        <v>177</v>
      </c>
      <c r="B139">
        <v>49</v>
      </c>
      <c r="C139" t="s">
        <v>11</v>
      </c>
      <c r="D139" t="s">
        <v>29</v>
      </c>
      <c r="E139" t="s">
        <v>28</v>
      </c>
      <c r="F139">
        <v>45851</v>
      </c>
      <c r="G139" t="s">
        <v>39</v>
      </c>
      <c r="H139">
        <v>15652.00792330142</v>
      </c>
      <c r="I139">
        <v>114</v>
      </c>
      <c r="J139" t="s">
        <v>25</v>
      </c>
      <c r="K139">
        <v>45852</v>
      </c>
      <c r="L139" t="s">
        <v>15</v>
      </c>
    </row>
    <row r="140" spans="1:12" x14ac:dyDescent="0.35">
      <c r="A140" t="s">
        <v>178</v>
      </c>
      <c r="B140">
        <v>32</v>
      </c>
      <c r="C140" t="s">
        <v>11</v>
      </c>
      <c r="D140" t="s">
        <v>23</v>
      </c>
      <c r="E140" t="s">
        <v>32</v>
      </c>
      <c r="F140">
        <v>45711</v>
      </c>
      <c r="G140" t="s">
        <v>36</v>
      </c>
      <c r="H140">
        <v>31289.441687456871</v>
      </c>
      <c r="I140">
        <v>102</v>
      </c>
      <c r="J140" t="s">
        <v>25</v>
      </c>
      <c r="K140">
        <v>45723</v>
      </c>
      <c r="L140" t="s">
        <v>22</v>
      </c>
    </row>
    <row r="141" spans="1:12" x14ac:dyDescent="0.35">
      <c r="A141" t="s">
        <v>179</v>
      </c>
      <c r="B141">
        <v>50</v>
      </c>
      <c r="C141" t="s">
        <v>20</v>
      </c>
      <c r="D141" t="s">
        <v>16</v>
      </c>
      <c r="E141" t="s">
        <v>24</v>
      </c>
      <c r="F141">
        <v>45820</v>
      </c>
      <c r="G141" t="s">
        <v>39</v>
      </c>
      <c r="H141">
        <v>40720.99649456409</v>
      </c>
      <c r="I141">
        <v>193</v>
      </c>
      <c r="J141" t="s">
        <v>18</v>
      </c>
      <c r="K141">
        <v>45829</v>
      </c>
      <c r="L141" t="s">
        <v>22</v>
      </c>
    </row>
    <row r="142" spans="1:12" x14ac:dyDescent="0.35">
      <c r="A142" t="s">
        <v>180</v>
      </c>
      <c r="B142">
        <v>50</v>
      </c>
      <c r="C142" t="s">
        <v>11</v>
      </c>
      <c r="D142" t="s">
        <v>12</v>
      </c>
      <c r="E142" t="s">
        <v>28</v>
      </c>
      <c r="F142">
        <v>45823</v>
      </c>
      <c r="G142" t="s">
        <v>37</v>
      </c>
      <c r="H142">
        <v>34417.980749458089</v>
      </c>
      <c r="I142">
        <v>298</v>
      </c>
      <c r="J142" t="s">
        <v>18</v>
      </c>
      <c r="K142">
        <v>45833</v>
      </c>
      <c r="L142" t="s">
        <v>15</v>
      </c>
    </row>
    <row r="143" spans="1:12" x14ac:dyDescent="0.35">
      <c r="A143" t="s">
        <v>181</v>
      </c>
      <c r="B143">
        <v>43</v>
      </c>
      <c r="C143" t="s">
        <v>20</v>
      </c>
      <c r="D143" t="s">
        <v>21</v>
      </c>
      <c r="E143" t="s">
        <v>32</v>
      </c>
      <c r="F143">
        <v>45982</v>
      </c>
      <c r="G143" t="s">
        <v>36</v>
      </c>
      <c r="H143">
        <v>15420.45726720126</v>
      </c>
      <c r="I143">
        <v>416</v>
      </c>
      <c r="J143" t="s">
        <v>25</v>
      </c>
      <c r="K143">
        <v>45994</v>
      </c>
      <c r="L143" t="s">
        <v>27</v>
      </c>
    </row>
    <row r="144" spans="1:12" x14ac:dyDescent="0.35">
      <c r="A144" t="s">
        <v>182</v>
      </c>
      <c r="B144">
        <v>60</v>
      </c>
      <c r="C144" t="s">
        <v>11</v>
      </c>
      <c r="D144" t="s">
        <v>26</v>
      </c>
      <c r="E144" t="s">
        <v>30</v>
      </c>
      <c r="F144">
        <v>45800</v>
      </c>
      <c r="G144" t="s">
        <v>39</v>
      </c>
      <c r="H144">
        <v>37899.746910195863</v>
      </c>
      <c r="I144">
        <v>183</v>
      </c>
      <c r="J144" t="s">
        <v>25</v>
      </c>
      <c r="K144">
        <v>45802</v>
      </c>
      <c r="L144" t="s">
        <v>19</v>
      </c>
    </row>
    <row r="145" spans="1:12" x14ac:dyDescent="0.35">
      <c r="A145" t="s">
        <v>183</v>
      </c>
      <c r="B145">
        <v>41</v>
      </c>
      <c r="C145" t="s">
        <v>11</v>
      </c>
      <c r="D145" t="s">
        <v>16</v>
      </c>
      <c r="E145" t="s">
        <v>30</v>
      </c>
      <c r="F145">
        <v>45936</v>
      </c>
      <c r="G145" t="s">
        <v>37</v>
      </c>
      <c r="H145">
        <v>45220.305255759238</v>
      </c>
      <c r="I145">
        <v>467</v>
      </c>
      <c r="J145" t="s">
        <v>25</v>
      </c>
      <c r="K145">
        <v>45947</v>
      </c>
      <c r="L145" t="s">
        <v>31</v>
      </c>
    </row>
    <row r="146" spans="1:12" x14ac:dyDescent="0.35">
      <c r="A146" t="s">
        <v>184</v>
      </c>
      <c r="B146">
        <v>63</v>
      </c>
      <c r="C146" t="s">
        <v>11</v>
      </c>
      <c r="D146" t="s">
        <v>33</v>
      </c>
      <c r="E146" t="s">
        <v>32</v>
      </c>
      <c r="F146">
        <v>45939</v>
      </c>
      <c r="G146" t="s">
        <v>37</v>
      </c>
      <c r="H146">
        <v>46290.27864844686</v>
      </c>
      <c r="I146">
        <v>278</v>
      </c>
      <c r="J146" t="s">
        <v>18</v>
      </c>
      <c r="K146">
        <v>45948</v>
      </c>
      <c r="L146" t="s">
        <v>15</v>
      </c>
    </row>
    <row r="147" spans="1:12" x14ac:dyDescent="0.35">
      <c r="A147" t="s">
        <v>185</v>
      </c>
      <c r="B147">
        <v>58</v>
      </c>
      <c r="C147" t="s">
        <v>11</v>
      </c>
      <c r="D147" t="s">
        <v>26</v>
      </c>
      <c r="E147" t="s">
        <v>13</v>
      </c>
      <c r="F147">
        <v>45735</v>
      </c>
      <c r="G147" t="s">
        <v>36</v>
      </c>
      <c r="H147">
        <v>35447.793168772267</v>
      </c>
      <c r="I147">
        <v>358</v>
      </c>
      <c r="J147" t="s">
        <v>25</v>
      </c>
      <c r="K147">
        <v>45739</v>
      </c>
      <c r="L147" t="s">
        <v>15</v>
      </c>
    </row>
    <row r="148" spans="1:12" x14ac:dyDescent="0.35">
      <c r="A148" t="s">
        <v>186</v>
      </c>
      <c r="B148">
        <v>21</v>
      </c>
      <c r="C148" t="s">
        <v>11</v>
      </c>
      <c r="D148" t="s">
        <v>29</v>
      </c>
      <c r="E148" t="s">
        <v>24</v>
      </c>
      <c r="F148">
        <v>46019</v>
      </c>
      <c r="G148" t="s">
        <v>39</v>
      </c>
      <c r="H148">
        <v>41696.314514859689</v>
      </c>
      <c r="I148">
        <v>206</v>
      </c>
      <c r="J148" t="s">
        <v>25</v>
      </c>
      <c r="K148">
        <v>46021</v>
      </c>
      <c r="L148" t="s">
        <v>15</v>
      </c>
    </row>
    <row r="149" spans="1:12" x14ac:dyDescent="0.35">
      <c r="A149" t="s">
        <v>187</v>
      </c>
      <c r="B149">
        <v>70</v>
      </c>
      <c r="C149" t="s">
        <v>20</v>
      </c>
      <c r="D149" t="s">
        <v>26</v>
      </c>
      <c r="E149" t="s">
        <v>32</v>
      </c>
      <c r="F149">
        <v>45805</v>
      </c>
      <c r="G149" t="s">
        <v>36</v>
      </c>
      <c r="H149">
        <v>18994.46760270121</v>
      </c>
      <c r="I149">
        <v>179</v>
      </c>
      <c r="J149" t="s">
        <v>25</v>
      </c>
      <c r="K149">
        <v>45807</v>
      </c>
      <c r="L149" t="s">
        <v>31</v>
      </c>
    </row>
    <row r="150" spans="1:12" x14ac:dyDescent="0.35">
      <c r="A150" t="s">
        <v>188</v>
      </c>
      <c r="B150">
        <v>48</v>
      </c>
      <c r="C150" t="s">
        <v>20</v>
      </c>
      <c r="D150" t="s">
        <v>33</v>
      </c>
      <c r="E150" t="s">
        <v>32</v>
      </c>
      <c r="F150">
        <v>45959</v>
      </c>
      <c r="G150" t="s">
        <v>36</v>
      </c>
      <c r="H150">
        <v>48315.57321039708</v>
      </c>
      <c r="I150">
        <v>107</v>
      </c>
      <c r="J150" t="s">
        <v>25</v>
      </c>
      <c r="K150">
        <v>45964</v>
      </c>
      <c r="L150" t="s">
        <v>19</v>
      </c>
    </row>
    <row r="151" spans="1:12" x14ac:dyDescent="0.35">
      <c r="A151" t="s">
        <v>189</v>
      </c>
      <c r="B151">
        <v>36</v>
      </c>
      <c r="C151" t="s">
        <v>11</v>
      </c>
      <c r="D151" t="s">
        <v>34</v>
      </c>
      <c r="E151" t="s">
        <v>30</v>
      </c>
      <c r="F151">
        <v>45972</v>
      </c>
      <c r="G151" t="s">
        <v>39</v>
      </c>
      <c r="H151">
        <v>10525.179369001609</v>
      </c>
      <c r="I151">
        <v>371</v>
      </c>
      <c r="J151" t="s">
        <v>18</v>
      </c>
      <c r="K151">
        <v>45974</v>
      </c>
      <c r="L151" t="s">
        <v>31</v>
      </c>
    </row>
    <row r="152" spans="1:12" x14ac:dyDescent="0.35">
      <c r="A152" t="s">
        <v>190</v>
      </c>
      <c r="B152">
        <v>61</v>
      </c>
      <c r="C152" t="s">
        <v>20</v>
      </c>
      <c r="D152" t="s">
        <v>23</v>
      </c>
      <c r="E152" t="s">
        <v>30</v>
      </c>
      <c r="F152">
        <v>46016</v>
      </c>
      <c r="G152" t="s">
        <v>37</v>
      </c>
      <c r="H152">
        <v>19260.400335808419</v>
      </c>
      <c r="I152">
        <v>172</v>
      </c>
      <c r="J152" t="s">
        <v>18</v>
      </c>
      <c r="K152">
        <v>46017</v>
      </c>
      <c r="L152" t="s">
        <v>22</v>
      </c>
    </row>
    <row r="153" spans="1:12" x14ac:dyDescent="0.35">
      <c r="A153" t="s">
        <v>191</v>
      </c>
      <c r="B153">
        <v>37</v>
      </c>
      <c r="C153" t="s">
        <v>11</v>
      </c>
      <c r="D153" t="s">
        <v>33</v>
      </c>
      <c r="E153" t="s">
        <v>30</v>
      </c>
      <c r="F153">
        <v>45871</v>
      </c>
      <c r="G153" t="s">
        <v>37</v>
      </c>
      <c r="H153">
        <v>36455.737490200263</v>
      </c>
      <c r="I153">
        <v>411</v>
      </c>
      <c r="J153" t="s">
        <v>18</v>
      </c>
      <c r="K153">
        <v>45879</v>
      </c>
      <c r="L153" t="s">
        <v>22</v>
      </c>
    </row>
    <row r="154" spans="1:12" x14ac:dyDescent="0.35">
      <c r="A154" t="s">
        <v>192</v>
      </c>
      <c r="B154">
        <v>54</v>
      </c>
      <c r="C154" t="s">
        <v>20</v>
      </c>
      <c r="D154" t="s">
        <v>26</v>
      </c>
      <c r="E154" t="s">
        <v>30</v>
      </c>
      <c r="F154">
        <v>46022</v>
      </c>
      <c r="G154" t="s">
        <v>39</v>
      </c>
      <c r="H154">
        <v>31570.63884216961</v>
      </c>
      <c r="I154">
        <v>208</v>
      </c>
      <c r="J154" t="s">
        <v>18</v>
      </c>
      <c r="K154">
        <v>46023</v>
      </c>
      <c r="L154" t="s">
        <v>31</v>
      </c>
    </row>
    <row r="155" spans="1:12" x14ac:dyDescent="0.35">
      <c r="A155" t="s">
        <v>193</v>
      </c>
      <c r="B155">
        <v>58</v>
      </c>
      <c r="C155" t="s">
        <v>11</v>
      </c>
      <c r="D155" t="s">
        <v>33</v>
      </c>
      <c r="E155" t="s">
        <v>32</v>
      </c>
      <c r="F155">
        <v>45723</v>
      </c>
      <c r="G155" t="s">
        <v>39</v>
      </c>
      <c r="H155">
        <v>4329.0720970202756</v>
      </c>
      <c r="I155">
        <v>382</v>
      </c>
      <c r="J155" t="s">
        <v>25</v>
      </c>
      <c r="K155">
        <v>45724</v>
      </c>
      <c r="L155" t="s">
        <v>22</v>
      </c>
    </row>
    <row r="156" spans="1:12" x14ac:dyDescent="0.35">
      <c r="A156" t="s">
        <v>194</v>
      </c>
      <c r="B156">
        <v>77</v>
      </c>
      <c r="C156" t="s">
        <v>20</v>
      </c>
      <c r="D156" t="s">
        <v>23</v>
      </c>
      <c r="E156" t="s">
        <v>13</v>
      </c>
      <c r="F156">
        <v>45966</v>
      </c>
      <c r="G156" t="s">
        <v>37</v>
      </c>
      <c r="H156">
        <v>49367.765083075552</v>
      </c>
      <c r="I156">
        <v>392</v>
      </c>
      <c r="J156" t="s">
        <v>25</v>
      </c>
      <c r="K156">
        <v>45977</v>
      </c>
      <c r="L156" t="s">
        <v>15</v>
      </c>
    </row>
    <row r="157" spans="1:12" x14ac:dyDescent="0.35">
      <c r="A157" t="s">
        <v>195</v>
      </c>
      <c r="B157">
        <v>80</v>
      </c>
      <c r="C157" t="s">
        <v>20</v>
      </c>
      <c r="D157" t="s">
        <v>34</v>
      </c>
      <c r="E157" t="s">
        <v>13</v>
      </c>
      <c r="F157">
        <v>45798</v>
      </c>
      <c r="G157" t="s">
        <v>36</v>
      </c>
      <c r="H157">
        <v>4993.0296470344574</v>
      </c>
      <c r="I157">
        <v>384</v>
      </c>
      <c r="J157" t="s">
        <v>25</v>
      </c>
      <c r="K157">
        <v>45805</v>
      </c>
      <c r="L157" t="s">
        <v>15</v>
      </c>
    </row>
    <row r="158" spans="1:12" x14ac:dyDescent="0.35">
      <c r="A158" t="s">
        <v>196</v>
      </c>
      <c r="B158">
        <v>78</v>
      </c>
      <c r="C158" t="s">
        <v>11</v>
      </c>
      <c r="D158" t="s">
        <v>16</v>
      </c>
      <c r="E158" t="s">
        <v>13</v>
      </c>
      <c r="F158">
        <v>45964</v>
      </c>
      <c r="G158" t="s">
        <v>39</v>
      </c>
      <c r="H158">
        <v>20433.618194508021</v>
      </c>
      <c r="I158">
        <v>279</v>
      </c>
      <c r="J158" t="s">
        <v>18</v>
      </c>
      <c r="K158">
        <v>45966</v>
      </c>
      <c r="L158" t="s">
        <v>15</v>
      </c>
    </row>
    <row r="159" spans="1:12" x14ac:dyDescent="0.35">
      <c r="A159" t="s">
        <v>197</v>
      </c>
      <c r="B159">
        <v>27</v>
      </c>
      <c r="C159" t="s">
        <v>20</v>
      </c>
      <c r="D159" t="s">
        <v>12</v>
      </c>
      <c r="E159" t="s">
        <v>30</v>
      </c>
      <c r="F159">
        <v>45907</v>
      </c>
      <c r="G159" t="s">
        <v>37</v>
      </c>
      <c r="H159">
        <v>19465.7478546848</v>
      </c>
      <c r="I159">
        <v>173</v>
      </c>
      <c r="J159" t="s">
        <v>25</v>
      </c>
      <c r="K159">
        <v>45919</v>
      </c>
      <c r="L159" t="s">
        <v>27</v>
      </c>
    </row>
    <row r="160" spans="1:12" x14ac:dyDescent="0.35">
      <c r="A160" t="s">
        <v>198</v>
      </c>
      <c r="B160">
        <v>30</v>
      </c>
      <c r="C160" t="s">
        <v>11</v>
      </c>
      <c r="D160" t="s">
        <v>16</v>
      </c>
      <c r="E160" t="s">
        <v>13</v>
      </c>
      <c r="F160">
        <v>45777</v>
      </c>
      <c r="G160" t="s">
        <v>39</v>
      </c>
      <c r="H160">
        <v>48066.241643821748</v>
      </c>
      <c r="I160">
        <v>130</v>
      </c>
      <c r="J160" t="s">
        <v>25</v>
      </c>
      <c r="K160">
        <v>45790</v>
      </c>
      <c r="L160" t="s">
        <v>27</v>
      </c>
    </row>
    <row r="161" spans="1:12" x14ac:dyDescent="0.35">
      <c r="A161" t="s">
        <v>199</v>
      </c>
      <c r="B161">
        <v>38</v>
      </c>
      <c r="C161" t="s">
        <v>20</v>
      </c>
      <c r="D161" t="s">
        <v>12</v>
      </c>
      <c r="E161" t="s">
        <v>17</v>
      </c>
      <c r="F161">
        <v>45834</v>
      </c>
      <c r="G161" t="s">
        <v>37</v>
      </c>
      <c r="H161">
        <v>41763.641007320242</v>
      </c>
      <c r="I161">
        <v>209</v>
      </c>
      <c r="J161" t="s">
        <v>25</v>
      </c>
      <c r="K161">
        <v>45841</v>
      </c>
      <c r="L161" t="s">
        <v>19</v>
      </c>
    </row>
    <row r="162" spans="1:12" x14ac:dyDescent="0.35">
      <c r="A162" t="s">
        <v>200</v>
      </c>
      <c r="B162">
        <v>56</v>
      </c>
      <c r="C162" t="s">
        <v>20</v>
      </c>
      <c r="D162" t="s">
        <v>21</v>
      </c>
      <c r="E162" t="s">
        <v>30</v>
      </c>
      <c r="F162">
        <v>45945</v>
      </c>
      <c r="G162" t="s">
        <v>36</v>
      </c>
      <c r="H162">
        <v>41552.120000541348</v>
      </c>
      <c r="I162">
        <v>398</v>
      </c>
      <c r="J162" t="s">
        <v>25</v>
      </c>
      <c r="K162">
        <v>45949</v>
      </c>
      <c r="L162" t="s">
        <v>22</v>
      </c>
    </row>
    <row r="163" spans="1:12" x14ac:dyDescent="0.35">
      <c r="A163" t="s">
        <v>201</v>
      </c>
      <c r="B163">
        <v>83</v>
      </c>
      <c r="C163" t="s">
        <v>20</v>
      </c>
      <c r="D163" t="s">
        <v>12</v>
      </c>
      <c r="E163" t="s">
        <v>13</v>
      </c>
      <c r="F163">
        <v>45742</v>
      </c>
      <c r="G163" t="s">
        <v>37</v>
      </c>
      <c r="H163">
        <v>40580.751165894333</v>
      </c>
      <c r="I163">
        <v>213</v>
      </c>
      <c r="J163" t="s">
        <v>25</v>
      </c>
      <c r="K163">
        <v>45749</v>
      </c>
      <c r="L163" t="s">
        <v>27</v>
      </c>
    </row>
    <row r="164" spans="1:12" x14ac:dyDescent="0.35">
      <c r="A164" t="s">
        <v>202</v>
      </c>
      <c r="B164">
        <v>71</v>
      </c>
      <c r="C164" t="s">
        <v>20</v>
      </c>
      <c r="D164" t="s">
        <v>34</v>
      </c>
      <c r="E164" t="s">
        <v>24</v>
      </c>
      <c r="F164">
        <v>45855</v>
      </c>
      <c r="G164" t="s">
        <v>39</v>
      </c>
      <c r="H164">
        <v>43866.882683449403</v>
      </c>
      <c r="I164">
        <v>314</v>
      </c>
      <c r="J164" t="s">
        <v>25</v>
      </c>
      <c r="K164">
        <v>45868</v>
      </c>
      <c r="L164" t="s">
        <v>27</v>
      </c>
    </row>
    <row r="165" spans="1:12" x14ac:dyDescent="0.35">
      <c r="A165" t="s">
        <v>203</v>
      </c>
      <c r="B165">
        <v>73</v>
      </c>
      <c r="C165" t="s">
        <v>20</v>
      </c>
      <c r="D165" t="s">
        <v>34</v>
      </c>
      <c r="E165" t="s">
        <v>28</v>
      </c>
      <c r="F165">
        <v>45967</v>
      </c>
      <c r="G165" t="s">
        <v>36</v>
      </c>
      <c r="H165">
        <v>35451.087032809599</v>
      </c>
      <c r="I165">
        <v>128</v>
      </c>
      <c r="J165" t="s">
        <v>25</v>
      </c>
      <c r="K165">
        <v>45979</v>
      </c>
      <c r="L165" t="s">
        <v>15</v>
      </c>
    </row>
    <row r="166" spans="1:12" x14ac:dyDescent="0.35">
      <c r="A166" t="s">
        <v>204</v>
      </c>
      <c r="B166">
        <v>80</v>
      </c>
      <c r="C166" t="s">
        <v>11</v>
      </c>
      <c r="D166" t="s">
        <v>23</v>
      </c>
      <c r="E166" t="s">
        <v>30</v>
      </c>
      <c r="F166">
        <v>45683</v>
      </c>
      <c r="G166" t="s">
        <v>37</v>
      </c>
      <c r="H166">
        <v>23309.746558565668</v>
      </c>
      <c r="I166">
        <v>107</v>
      </c>
      <c r="J166" t="s">
        <v>18</v>
      </c>
      <c r="K166">
        <v>45689</v>
      </c>
      <c r="L166" t="s">
        <v>19</v>
      </c>
    </row>
    <row r="167" spans="1:12" x14ac:dyDescent="0.35">
      <c r="A167" t="s">
        <v>205</v>
      </c>
      <c r="B167">
        <v>42</v>
      </c>
      <c r="C167" t="s">
        <v>11</v>
      </c>
      <c r="D167" t="s">
        <v>12</v>
      </c>
      <c r="E167" t="s">
        <v>24</v>
      </c>
      <c r="F167">
        <v>45696</v>
      </c>
      <c r="G167" t="s">
        <v>37</v>
      </c>
      <c r="H167">
        <v>34014.462811270692</v>
      </c>
      <c r="I167">
        <v>273</v>
      </c>
      <c r="J167" t="s">
        <v>25</v>
      </c>
      <c r="K167">
        <v>45704</v>
      </c>
      <c r="L167" t="s">
        <v>22</v>
      </c>
    </row>
    <row r="168" spans="1:12" x14ac:dyDescent="0.35">
      <c r="A168" t="s">
        <v>206</v>
      </c>
      <c r="B168">
        <v>37</v>
      </c>
      <c r="C168" t="s">
        <v>11</v>
      </c>
      <c r="D168" t="s">
        <v>34</v>
      </c>
      <c r="E168" t="s">
        <v>13</v>
      </c>
      <c r="F168">
        <v>45857</v>
      </c>
      <c r="G168" t="s">
        <v>39</v>
      </c>
      <c r="H168">
        <v>9181.8052137783634</v>
      </c>
      <c r="I168">
        <v>252</v>
      </c>
      <c r="J168" t="s">
        <v>25</v>
      </c>
      <c r="K168">
        <v>45867</v>
      </c>
      <c r="L168" t="s">
        <v>27</v>
      </c>
    </row>
    <row r="169" spans="1:12" x14ac:dyDescent="0.35">
      <c r="A169" t="s">
        <v>207</v>
      </c>
      <c r="B169">
        <v>67</v>
      </c>
      <c r="C169" t="s">
        <v>11</v>
      </c>
      <c r="D169" t="s">
        <v>23</v>
      </c>
      <c r="E169" t="s">
        <v>32</v>
      </c>
      <c r="F169">
        <v>45688</v>
      </c>
      <c r="G169" t="s">
        <v>39</v>
      </c>
      <c r="H169">
        <v>25703.094811721279</v>
      </c>
      <c r="I169">
        <v>281</v>
      </c>
      <c r="J169" t="s">
        <v>18</v>
      </c>
      <c r="K169">
        <v>45699</v>
      </c>
      <c r="L169" t="s">
        <v>27</v>
      </c>
    </row>
    <row r="170" spans="1:12" x14ac:dyDescent="0.35">
      <c r="A170" t="s">
        <v>208</v>
      </c>
      <c r="B170">
        <v>28</v>
      </c>
      <c r="C170" t="s">
        <v>20</v>
      </c>
      <c r="D170" t="s">
        <v>34</v>
      </c>
      <c r="E170" t="s">
        <v>24</v>
      </c>
      <c r="F170">
        <v>45687</v>
      </c>
      <c r="G170" t="s">
        <v>37</v>
      </c>
      <c r="H170">
        <v>38849.366081997061</v>
      </c>
      <c r="I170">
        <v>220</v>
      </c>
      <c r="J170" t="s">
        <v>25</v>
      </c>
      <c r="K170">
        <v>45689</v>
      </c>
      <c r="L170" t="s">
        <v>31</v>
      </c>
    </row>
    <row r="171" spans="1:12" x14ac:dyDescent="0.35">
      <c r="A171" t="s">
        <v>209</v>
      </c>
      <c r="B171">
        <v>60</v>
      </c>
      <c r="C171" t="s">
        <v>11</v>
      </c>
      <c r="D171" t="s">
        <v>29</v>
      </c>
      <c r="E171" t="s">
        <v>13</v>
      </c>
      <c r="F171">
        <v>45725</v>
      </c>
      <c r="G171" t="s">
        <v>39</v>
      </c>
      <c r="H171">
        <v>28085.03790706952</v>
      </c>
      <c r="I171">
        <v>218</v>
      </c>
      <c r="J171" t="s">
        <v>18</v>
      </c>
      <c r="K171">
        <v>45730</v>
      </c>
      <c r="L171" t="s">
        <v>31</v>
      </c>
    </row>
    <row r="172" spans="1:12" x14ac:dyDescent="0.35">
      <c r="A172" t="s">
        <v>210</v>
      </c>
      <c r="B172">
        <v>76</v>
      </c>
      <c r="C172" t="s">
        <v>20</v>
      </c>
      <c r="D172" t="s">
        <v>16</v>
      </c>
      <c r="E172" t="s">
        <v>17</v>
      </c>
      <c r="F172">
        <v>45774</v>
      </c>
      <c r="G172" t="s">
        <v>37</v>
      </c>
      <c r="H172">
        <v>5808.0200857434884</v>
      </c>
      <c r="I172">
        <v>327</v>
      </c>
      <c r="J172" t="s">
        <v>18</v>
      </c>
      <c r="K172">
        <v>45781</v>
      </c>
      <c r="L172" t="s">
        <v>19</v>
      </c>
    </row>
    <row r="173" spans="1:12" x14ac:dyDescent="0.35">
      <c r="A173" t="s">
        <v>211</v>
      </c>
      <c r="B173">
        <v>32</v>
      </c>
      <c r="C173" t="s">
        <v>20</v>
      </c>
      <c r="D173" t="s">
        <v>33</v>
      </c>
      <c r="E173" t="s">
        <v>24</v>
      </c>
      <c r="F173">
        <v>45959</v>
      </c>
      <c r="G173" t="s">
        <v>36</v>
      </c>
      <c r="H173">
        <v>43824.209008108519</v>
      </c>
      <c r="I173">
        <v>298</v>
      </c>
      <c r="J173" t="s">
        <v>25</v>
      </c>
      <c r="K173">
        <v>45961</v>
      </c>
      <c r="L173" t="s">
        <v>19</v>
      </c>
    </row>
    <row r="174" spans="1:12" x14ac:dyDescent="0.35">
      <c r="A174" t="s">
        <v>212</v>
      </c>
      <c r="B174">
        <v>42</v>
      </c>
      <c r="C174" t="s">
        <v>20</v>
      </c>
      <c r="D174" t="s">
        <v>29</v>
      </c>
      <c r="E174" t="s">
        <v>13</v>
      </c>
      <c r="F174">
        <v>45724</v>
      </c>
      <c r="G174" t="s">
        <v>36</v>
      </c>
      <c r="H174">
        <v>34662.847580718742</v>
      </c>
      <c r="I174">
        <v>255</v>
      </c>
      <c r="J174" t="s">
        <v>25</v>
      </c>
      <c r="K174">
        <v>45732</v>
      </c>
      <c r="L174" t="s">
        <v>15</v>
      </c>
    </row>
    <row r="175" spans="1:12" x14ac:dyDescent="0.35">
      <c r="A175" t="s">
        <v>213</v>
      </c>
      <c r="B175">
        <v>46</v>
      </c>
      <c r="C175" t="s">
        <v>20</v>
      </c>
      <c r="D175" t="s">
        <v>23</v>
      </c>
      <c r="E175" t="s">
        <v>30</v>
      </c>
      <c r="F175">
        <v>45964</v>
      </c>
      <c r="G175" t="s">
        <v>39</v>
      </c>
      <c r="H175">
        <v>12614.016082537441</v>
      </c>
      <c r="I175">
        <v>426</v>
      </c>
      <c r="J175" t="s">
        <v>18</v>
      </c>
      <c r="K175">
        <v>45974</v>
      </c>
      <c r="L175" t="s">
        <v>22</v>
      </c>
    </row>
    <row r="176" spans="1:12" x14ac:dyDescent="0.35">
      <c r="A176" t="s">
        <v>214</v>
      </c>
      <c r="B176">
        <v>43</v>
      </c>
      <c r="C176" t="s">
        <v>20</v>
      </c>
      <c r="D176" t="s">
        <v>26</v>
      </c>
      <c r="E176" t="s">
        <v>17</v>
      </c>
      <c r="F176">
        <v>45795</v>
      </c>
      <c r="G176" t="s">
        <v>37</v>
      </c>
      <c r="H176">
        <v>7911.1512275112191</v>
      </c>
      <c r="I176">
        <v>202</v>
      </c>
      <c r="J176" t="s">
        <v>25</v>
      </c>
      <c r="K176">
        <v>45800</v>
      </c>
      <c r="L176" t="s">
        <v>31</v>
      </c>
    </row>
    <row r="177" spans="1:12" x14ac:dyDescent="0.35">
      <c r="A177" t="s">
        <v>215</v>
      </c>
      <c r="B177">
        <v>44</v>
      </c>
      <c r="C177" t="s">
        <v>11</v>
      </c>
      <c r="D177" t="s">
        <v>21</v>
      </c>
      <c r="E177" t="s">
        <v>30</v>
      </c>
      <c r="F177">
        <v>45754</v>
      </c>
      <c r="G177" t="s">
        <v>37</v>
      </c>
      <c r="H177">
        <v>32092.548177050379</v>
      </c>
      <c r="I177">
        <v>416</v>
      </c>
      <c r="J177" t="s">
        <v>18</v>
      </c>
      <c r="K177">
        <v>45757</v>
      </c>
      <c r="L177" t="s">
        <v>22</v>
      </c>
    </row>
    <row r="178" spans="1:12" x14ac:dyDescent="0.35">
      <c r="A178" t="s">
        <v>216</v>
      </c>
      <c r="B178">
        <v>53</v>
      </c>
      <c r="C178" t="s">
        <v>11</v>
      </c>
      <c r="D178" t="s">
        <v>34</v>
      </c>
      <c r="E178" t="s">
        <v>28</v>
      </c>
      <c r="F178">
        <v>45667</v>
      </c>
      <c r="G178" t="s">
        <v>39</v>
      </c>
      <c r="H178">
        <v>35852.726121806823</v>
      </c>
      <c r="I178">
        <v>442</v>
      </c>
      <c r="J178" t="s">
        <v>18</v>
      </c>
      <c r="K178">
        <v>45673</v>
      </c>
      <c r="L178" t="s">
        <v>31</v>
      </c>
    </row>
    <row r="179" spans="1:12" x14ac:dyDescent="0.35">
      <c r="A179" t="s">
        <v>217</v>
      </c>
      <c r="B179">
        <v>43</v>
      </c>
      <c r="C179" t="s">
        <v>20</v>
      </c>
      <c r="D179" t="s">
        <v>16</v>
      </c>
      <c r="E179" t="s">
        <v>30</v>
      </c>
      <c r="F179">
        <v>45709</v>
      </c>
      <c r="G179" t="s">
        <v>39</v>
      </c>
      <c r="H179">
        <v>11583.981532530361</v>
      </c>
      <c r="I179">
        <v>158</v>
      </c>
      <c r="J179" t="s">
        <v>18</v>
      </c>
      <c r="K179">
        <v>45716</v>
      </c>
      <c r="L179" t="s">
        <v>27</v>
      </c>
    </row>
    <row r="180" spans="1:12" x14ac:dyDescent="0.35">
      <c r="A180" t="s">
        <v>218</v>
      </c>
      <c r="B180">
        <v>58</v>
      </c>
      <c r="C180" t="s">
        <v>11</v>
      </c>
      <c r="D180" t="s">
        <v>12</v>
      </c>
      <c r="E180" t="s">
        <v>13</v>
      </c>
      <c r="F180">
        <v>45883</v>
      </c>
      <c r="G180" t="s">
        <v>39</v>
      </c>
      <c r="H180">
        <v>49375.424740498398</v>
      </c>
      <c r="I180">
        <v>464</v>
      </c>
      <c r="J180" t="s">
        <v>25</v>
      </c>
      <c r="K180">
        <v>45888</v>
      </c>
      <c r="L180" t="s">
        <v>27</v>
      </c>
    </row>
    <row r="181" spans="1:12" x14ac:dyDescent="0.35">
      <c r="A181" t="s">
        <v>219</v>
      </c>
      <c r="B181">
        <v>82</v>
      </c>
      <c r="C181" t="s">
        <v>11</v>
      </c>
      <c r="D181" t="s">
        <v>23</v>
      </c>
      <c r="E181" t="s">
        <v>13</v>
      </c>
      <c r="F181">
        <v>45926</v>
      </c>
      <c r="G181" t="s">
        <v>37</v>
      </c>
      <c r="H181">
        <v>37512.302782120831</v>
      </c>
      <c r="I181">
        <v>125</v>
      </c>
      <c r="J181" t="s">
        <v>25</v>
      </c>
      <c r="K181">
        <v>45935</v>
      </c>
      <c r="L181" t="s">
        <v>15</v>
      </c>
    </row>
    <row r="182" spans="1:12" x14ac:dyDescent="0.35">
      <c r="A182" t="s">
        <v>220</v>
      </c>
      <c r="B182">
        <v>65</v>
      </c>
      <c r="C182" t="s">
        <v>20</v>
      </c>
      <c r="D182" t="s">
        <v>23</v>
      </c>
      <c r="E182" t="s">
        <v>28</v>
      </c>
      <c r="F182">
        <v>45949</v>
      </c>
      <c r="G182" t="s">
        <v>37</v>
      </c>
      <c r="H182">
        <v>18535.912251779551</v>
      </c>
      <c r="I182">
        <v>452</v>
      </c>
      <c r="J182" t="s">
        <v>25</v>
      </c>
      <c r="K182">
        <v>45959</v>
      </c>
      <c r="L182" t="s">
        <v>31</v>
      </c>
    </row>
    <row r="183" spans="1:12" x14ac:dyDescent="0.35">
      <c r="A183" t="s">
        <v>221</v>
      </c>
      <c r="B183">
        <v>45</v>
      </c>
      <c r="C183" t="s">
        <v>11</v>
      </c>
      <c r="D183" t="s">
        <v>33</v>
      </c>
      <c r="E183" t="s">
        <v>13</v>
      </c>
      <c r="F183">
        <v>45921</v>
      </c>
      <c r="G183" t="s">
        <v>37</v>
      </c>
      <c r="H183">
        <v>31822.46418563676</v>
      </c>
      <c r="I183">
        <v>296</v>
      </c>
      <c r="J183" t="s">
        <v>25</v>
      </c>
      <c r="K183">
        <v>45932</v>
      </c>
      <c r="L183" t="s">
        <v>15</v>
      </c>
    </row>
    <row r="184" spans="1:12" x14ac:dyDescent="0.35">
      <c r="A184" t="s">
        <v>222</v>
      </c>
      <c r="B184">
        <v>26</v>
      </c>
      <c r="C184" t="s">
        <v>11</v>
      </c>
      <c r="D184" t="s">
        <v>16</v>
      </c>
      <c r="E184" t="s">
        <v>28</v>
      </c>
      <c r="F184">
        <v>45830</v>
      </c>
      <c r="G184" t="s">
        <v>39</v>
      </c>
      <c r="H184">
        <v>36980.612257696521</v>
      </c>
      <c r="I184">
        <v>476</v>
      </c>
      <c r="J184" t="s">
        <v>18</v>
      </c>
      <c r="K184">
        <v>45840</v>
      </c>
      <c r="L184" t="s">
        <v>15</v>
      </c>
    </row>
    <row r="185" spans="1:12" x14ac:dyDescent="0.35">
      <c r="A185" t="s">
        <v>223</v>
      </c>
      <c r="B185">
        <v>48</v>
      </c>
      <c r="C185" t="s">
        <v>11</v>
      </c>
      <c r="D185" t="s">
        <v>33</v>
      </c>
      <c r="E185" t="s">
        <v>13</v>
      </c>
      <c r="F185">
        <v>45667</v>
      </c>
      <c r="G185" t="s">
        <v>37</v>
      </c>
      <c r="H185">
        <v>21451.218366239911</v>
      </c>
      <c r="I185">
        <v>125</v>
      </c>
      <c r="J185" t="s">
        <v>18</v>
      </c>
      <c r="K185">
        <v>45673</v>
      </c>
      <c r="L185" t="s">
        <v>19</v>
      </c>
    </row>
    <row r="186" spans="1:12" x14ac:dyDescent="0.35">
      <c r="A186" t="s">
        <v>224</v>
      </c>
      <c r="B186">
        <v>27</v>
      </c>
      <c r="C186" t="s">
        <v>20</v>
      </c>
      <c r="D186" t="s">
        <v>21</v>
      </c>
      <c r="E186" t="s">
        <v>30</v>
      </c>
      <c r="F186">
        <v>45908</v>
      </c>
      <c r="G186" t="s">
        <v>37</v>
      </c>
      <c r="H186">
        <v>39643.56448076581</v>
      </c>
      <c r="I186">
        <v>230</v>
      </c>
      <c r="J186" t="s">
        <v>25</v>
      </c>
      <c r="K186">
        <v>45914</v>
      </c>
      <c r="L186" t="s">
        <v>15</v>
      </c>
    </row>
    <row r="187" spans="1:12" x14ac:dyDescent="0.35">
      <c r="A187" t="s">
        <v>225</v>
      </c>
      <c r="B187">
        <v>68</v>
      </c>
      <c r="C187" t="s">
        <v>20</v>
      </c>
      <c r="D187" t="s">
        <v>21</v>
      </c>
      <c r="E187" t="s">
        <v>30</v>
      </c>
      <c r="F187">
        <v>45954</v>
      </c>
      <c r="G187" t="s">
        <v>37</v>
      </c>
      <c r="H187">
        <v>37749.909643891813</v>
      </c>
      <c r="I187">
        <v>420</v>
      </c>
      <c r="J187" t="s">
        <v>18</v>
      </c>
      <c r="K187">
        <v>45966</v>
      </c>
      <c r="L187" t="s">
        <v>22</v>
      </c>
    </row>
    <row r="188" spans="1:12" x14ac:dyDescent="0.35">
      <c r="A188" t="s">
        <v>226</v>
      </c>
      <c r="B188">
        <v>72</v>
      </c>
      <c r="C188" t="s">
        <v>20</v>
      </c>
      <c r="D188" t="s">
        <v>16</v>
      </c>
      <c r="E188" t="s">
        <v>17</v>
      </c>
      <c r="F188">
        <v>46011</v>
      </c>
      <c r="G188" t="s">
        <v>37</v>
      </c>
      <c r="H188">
        <v>24722.111772600179</v>
      </c>
      <c r="I188">
        <v>115</v>
      </c>
      <c r="J188" t="s">
        <v>18</v>
      </c>
      <c r="K188">
        <v>46016</v>
      </c>
      <c r="L188" t="s">
        <v>27</v>
      </c>
    </row>
    <row r="189" spans="1:12" x14ac:dyDescent="0.35">
      <c r="A189" t="s">
        <v>227</v>
      </c>
      <c r="B189">
        <v>69</v>
      </c>
      <c r="C189" t="s">
        <v>20</v>
      </c>
      <c r="D189" t="s">
        <v>16</v>
      </c>
      <c r="E189" t="s">
        <v>30</v>
      </c>
      <c r="F189">
        <v>45677</v>
      </c>
      <c r="G189" t="s">
        <v>39</v>
      </c>
      <c r="H189">
        <v>13924.83864927232</v>
      </c>
      <c r="I189">
        <v>269</v>
      </c>
      <c r="J189" t="s">
        <v>25</v>
      </c>
      <c r="K189">
        <v>45688</v>
      </c>
      <c r="L189" t="s">
        <v>15</v>
      </c>
    </row>
    <row r="190" spans="1:12" x14ac:dyDescent="0.35">
      <c r="A190" t="s">
        <v>228</v>
      </c>
      <c r="B190">
        <v>59</v>
      </c>
      <c r="C190" t="s">
        <v>11</v>
      </c>
      <c r="D190" t="s">
        <v>34</v>
      </c>
      <c r="E190" t="s">
        <v>28</v>
      </c>
      <c r="F190">
        <v>45960</v>
      </c>
      <c r="G190" t="s">
        <v>37</v>
      </c>
      <c r="H190">
        <v>8532.934640820009</v>
      </c>
      <c r="I190">
        <v>382</v>
      </c>
      <c r="J190" t="s">
        <v>18</v>
      </c>
      <c r="K190">
        <v>45961</v>
      </c>
      <c r="L190" t="s">
        <v>15</v>
      </c>
    </row>
    <row r="191" spans="1:12" x14ac:dyDescent="0.35">
      <c r="A191" t="s">
        <v>229</v>
      </c>
      <c r="B191">
        <v>64</v>
      </c>
      <c r="C191" t="s">
        <v>11</v>
      </c>
      <c r="D191" t="s">
        <v>23</v>
      </c>
      <c r="E191" t="s">
        <v>28</v>
      </c>
      <c r="F191">
        <v>45909</v>
      </c>
      <c r="G191" t="s">
        <v>36</v>
      </c>
      <c r="H191">
        <v>19594.935743510759</v>
      </c>
      <c r="I191">
        <v>298</v>
      </c>
      <c r="J191" t="s">
        <v>25</v>
      </c>
      <c r="K191">
        <v>45913</v>
      </c>
      <c r="L191" t="s">
        <v>15</v>
      </c>
    </row>
    <row r="192" spans="1:12" x14ac:dyDescent="0.35">
      <c r="A192" t="s">
        <v>230</v>
      </c>
      <c r="B192">
        <v>49</v>
      </c>
      <c r="C192" t="s">
        <v>20</v>
      </c>
      <c r="D192" t="s">
        <v>26</v>
      </c>
      <c r="E192" t="s">
        <v>30</v>
      </c>
      <c r="F192">
        <v>45969</v>
      </c>
      <c r="G192" t="s">
        <v>37</v>
      </c>
      <c r="H192">
        <v>18532.665077670161</v>
      </c>
      <c r="I192">
        <v>204</v>
      </c>
      <c r="J192" t="s">
        <v>25</v>
      </c>
      <c r="K192">
        <v>45970</v>
      </c>
      <c r="L192" t="s">
        <v>31</v>
      </c>
    </row>
    <row r="193" spans="1:12" x14ac:dyDescent="0.35">
      <c r="A193" t="s">
        <v>231</v>
      </c>
      <c r="B193">
        <v>47</v>
      </c>
      <c r="C193" t="s">
        <v>20</v>
      </c>
      <c r="D193" t="s">
        <v>16</v>
      </c>
      <c r="E193" t="s">
        <v>30</v>
      </c>
      <c r="F193">
        <v>45870</v>
      </c>
      <c r="G193" t="s">
        <v>39</v>
      </c>
      <c r="H193">
        <v>20032.686567134358</v>
      </c>
      <c r="I193">
        <v>231</v>
      </c>
      <c r="J193" t="s">
        <v>25</v>
      </c>
      <c r="K193">
        <v>45874</v>
      </c>
      <c r="L193" t="s">
        <v>15</v>
      </c>
    </row>
    <row r="194" spans="1:12" x14ac:dyDescent="0.35">
      <c r="A194" t="s">
        <v>232</v>
      </c>
      <c r="B194">
        <v>68</v>
      </c>
      <c r="C194" t="s">
        <v>11</v>
      </c>
      <c r="D194" t="s">
        <v>26</v>
      </c>
      <c r="E194" t="s">
        <v>30</v>
      </c>
      <c r="F194">
        <v>45884</v>
      </c>
      <c r="G194" t="s">
        <v>39</v>
      </c>
      <c r="H194">
        <v>23088.082118235681</v>
      </c>
      <c r="I194">
        <v>283</v>
      </c>
      <c r="J194" t="s">
        <v>25</v>
      </c>
      <c r="K194">
        <v>45891</v>
      </c>
      <c r="L194" t="s">
        <v>27</v>
      </c>
    </row>
    <row r="195" spans="1:12" x14ac:dyDescent="0.35">
      <c r="A195" t="s">
        <v>233</v>
      </c>
      <c r="B195">
        <v>41</v>
      </c>
      <c r="C195" t="s">
        <v>11</v>
      </c>
      <c r="D195" t="s">
        <v>12</v>
      </c>
      <c r="E195" t="s">
        <v>28</v>
      </c>
      <c r="F195">
        <v>45848</v>
      </c>
      <c r="G195" t="s">
        <v>39</v>
      </c>
      <c r="H195">
        <v>6509.4034385260384</v>
      </c>
      <c r="I195">
        <v>138</v>
      </c>
      <c r="J195" t="s">
        <v>25</v>
      </c>
      <c r="K195">
        <v>45861</v>
      </c>
      <c r="L195" t="s">
        <v>22</v>
      </c>
    </row>
    <row r="196" spans="1:12" x14ac:dyDescent="0.35">
      <c r="A196" t="s">
        <v>234</v>
      </c>
      <c r="B196">
        <v>41</v>
      </c>
      <c r="C196" t="s">
        <v>11</v>
      </c>
      <c r="D196" t="s">
        <v>23</v>
      </c>
      <c r="E196" t="s">
        <v>17</v>
      </c>
      <c r="F196">
        <v>45989</v>
      </c>
      <c r="G196" t="s">
        <v>37</v>
      </c>
      <c r="H196">
        <v>41327.825678468856</v>
      </c>
      <c r="I196">
        <v>470</v>
      </c>
      <c r="J196" t="s">
        <v>25</v>
      </c>
      <c r="K196">
        <v>45997</v>
      </c>
      <c r="L196" t="s">
        <v>19</v>
      </c>
    </row>
    <row r="197" spans="1:12" x14ac:dyDescent="0.35">
      <c r="A197" t="s">
        <v>235</v>
      </c>
      <c r="B197">
        <v>41</v>
      </c>
      <c r="C197" t="s">
        <v>11</v>
      </c>
      <c r="D197" t="s">
        <v>16</v>
      </c>
      <c r="E197" t="s">
        <v>28</v>
      </c>
      <c r="F197">
        <v>46001</v>
      </c>
      <c r="G197" t="s">
        <v>36</v>
      </c>
      <c r="H197">
        <v>41015.538951833318</v>
      </c>
      <c r="I197">
        <v>405</v>
      </c>
      <c r="J197" t="s">
        <v>18</v>
      </c>
      <c r="K197">
        <v>46007</v>
      </c>
      <c r="L197" t="s">
        <v>22</v>
      </c>
    </row>
    <row r="198" spans="1:12" x14ac:dyDescent="0.35">
      <c r="A198" t="s">
        <v>236</v>
      </c>
      <c r="B198">
        <v>41</v>
      </c>
      <c r="C198" t="s">
        <v>20</v>
      </c>
      <c r="D198" t="s">
        <v>21</v>
      </c>
      <c r="E198" t="s">
        <v>24</v>
      </c>
      <c r="F198">
        <v>45961</v>
      </c>
      <c r="G198" t="s">
        <v>36</v>
      </c>
      <c r="H198">
        <v>6925.9772458037969</v>
      </c>
      <c r="I198">
        <v>270</v>
      </c>
      <c r="J198" t="s">
        <v>18</v>
      </c>
      <c r="K198">
        <v>45964</v>
      </c>
      <c r="L198" t="s">
        <v>31</v>
      </c>
    </row>
    <row r="199" spans="1:12" x14ac:dyDescent="0.35">
      <c r="A199" t="s">
        <v>237</v>
      </c>
      <c r="B199">
        <v>77</v>
      </c>
      <c r="C199" t="s">
        <v>20</v>
      </c>
      <c r="D199" t="s">
        <v>21</v>
      </c>
      <c r="E199" t="s">
        <v>17</v>
      </c>
      <c r="F199">
        <v>45779</v>
      </c>
      <c r="G199" t="s">
        <v>37</v>
      </c>
      <c r="H199">
        <v>4025.674819385139</v>
      </c>
      <c r="I199">
        <v>265</v>
      </c>
      <c r="J199" t="s">
        <v>18</v>
      </c>
      <c r="K199">
        <v>45780</v>
      </c>
      <c r="L199" t="s">
        <v>27</v>
      </c>
    </row>
    <row r="200" spans="1:12" x14ac:dyDescent="0.35">
      <c r="A200" t="s">
        <v>238</v>
      </c>
      <c r="B200">
        <v>22</v>
      </c>
      <c r="C200" t="s">
        <v>11</v>
      </c>
      <c r="D200" t="s">
        <v>16</v>
      </c>
      <c r="E200" t="s">
        <v>28</v>
      </c>
      <c r="F200">
        <v>45788</v>
      </c>
      <c r="G200" t="s">
        <v>39</v>
      </c>
      <c r="H200">
        <v>1955.36851816289</v>
      </c>
      <c r="I200">
        <v>331</v>
      </c>
      <c r="J200" t="s">
        <v>18</v>
      </c>
      <c r="K200">
        <v>45789</v>
      </c>
      <c r="L200" t="s">
        <v>31</v>
      </c>
    </row>
    <row r="201" spans="1:12" x14ac:dyDescent="0.35">
      <c r="A201" t="s">
        <v>239</v>
      </c>
      <c r="B201">
        <v>79</v>
      </c>
      <c r="C201" t="s">
        <v>11</v>
      </c>
      <c r="D201" t="s">
        <v>12</v>
      </c>
      <c r="E201" t="s">
        <v>32</v>
      </c>
      <c r="F201">
        <v>45813</v>
      </c>
      <c r="G201" t="s">
        <v>39</v>
      </c>
      <c r="H201">
        <v>6573.1326965834824</v>
      </c>
      <c r="I201">
        <v>281</v>
      </c>
      <c r="J201" t="s">
        <v>25</v>
      </c>
      <c r="K201">
        <v>45815</v>
      </c>
      <c r="L201" t="s">
        <v>19</v>
      </c>
    </row>
    <row r="202" spans="1:12" x14ac:dyDescent="0.35">
      <c r="A202" t="s">
        <v>240</v>
      </c>
      <c r="B202">
        <v>36</v>
      </c>
      <c r="C202" t="s">
        <v>11</v>
      </c>
      <c r="D202" t="s">
        <v>12</v>
      </c>
      <c r="E202" t="s">
        <v>32</v>
      </c>
      <c r="F202">
        <v>45692</v>
      </c>
      <c r="G202" t="s">
        <v>39</v>
      </c>
      <c r="H202">
        <v>21907.646610373311</v>
      </c>
      <c r="I202">
        <v>246</v>
      </c>
      <c r="J202" t="s">
        <v>18</v>
      </c>
      <c r="K202">
        <v>45698</v>
      </c>
      <c r="L202" t="s">
        <v>31</v>
      </c>
    </row>
    <row r="203" spans="1:12" x14ac:dyDescent="0.35">
      <c r="A203" t="s">
        <v>241</v>
      </c>
      <c r="B203">
        <v>57</v>
      </c>
      <c r="C203" t="s">
        <v>20</v>
      </c>
      <c r="D203" t="s">
        <v>26</v>
      </c>
      <c r="E203" t="s">
        <v>17</v>
      </c>
      <c r="F203">
        <v>45849</v>
      </c>
      <c r="G203" t="s">
        <v>39</v>
      </c>
      <c r="H203">
        <v>3827.8608580686769</v>
      </c>
      <c r="I203">
        <v>114</v>
      </c>
      <c r="J203" t="s">
        <v>18</v>
      </c>
      <c r="K203">
        <v>45857</v>
      </c>
      <c r="L203" t="s">
        <v>27</v>
      </c>
    </row>
    <row r="204" spans="1:12" x14ac:dyDescent="0.35">
      <c r="A204" t="s">
        <v>242</v>
      </c>
      <c r="B204">
        <v>55</v>
      </c>
      <c r="C204" t="s">
        <v>20</v>
      </c>
      <c r="D204" t="s">
        <v>16</v>
      </c>
      <c r="E204" t="s">
        <v>24</v>
      </c>
      <c r="F204">
        <v>45936</v>
      </c>
      <c r="G204" t="s">
        <v>39</v>
      </c>
      <c r="H204">
        <v>18422.074880086089</v>
      </c>
      <c r="I204">
        <v>401</v>
      </c>
      <c r="J204" t="s">
        <v>18</v>
      </c>
      <c r="K204">
        <v>45944</v>
      </c>
      <c r="L204" t="s">
        <v>31</v>
      </c>
    </row>
    <row r="205" spans="1:12" x14ac:dyDescent="0.35">
      <c r="A205" t="s">
        <v>243</v>
      </c>
      <c r="B205">
        <v>57</v>
      </c>
      <c r="C205" t="s">
        <v>20</v>
      </c>
      <c r="D205" t="s">
        <v>21</v>
      </c>
      <c r="E205" t="s">
        <v>13</v>
      </c>
      <c r="F205">
        <v>45893</v>
      </c>
      <c r="G205" t="s">
        <v>36</v>
      </c>
      <c r="H205">
        <v>15480.790812848159</v>
      </c>
      <c r="I205">
        <v>192</v>
      </c>
      <c r="J205" t="s">
        <v>18</v>
      </c>
      <c r="K205">
        <v>45899</v>
      </c>
      <c r="L205" t="s">
        <v>19</v>
      </c>
    </row>
    <row r="206" spans="1:12" x14ac:dyDescent="0.35">
      <c r="A206" t="s">
        <v>244</v>
      </c>
      <c r="B206">
        <v>48</v>
      </c>
      <c r="C206" t="s">
        <v>20</v>
      </c>
      <c r="D206" t="s">
        <v>23</v>
      </c>
      <c r="E206" t="s">
        <v>13</v>
      </c>
      <c r="F206">
        <v>45685</v>
      </c>
      <c r="G206" t="s">
        <v>36</v>
      </c>
      <c r="H206">
        <v>15594.83231652533</v>
      </c>
      <c r="I206">
        <v>480</v>
      </c>
      <c r="J206" t="s">
        <v>18</v>
      </c>
      <c r="K206">
        <v>45692</v>
      </c>
      <c r="L206" t="s">
        <v>19</v>
      </c>
    </row>
    <row r="207" spans="1:12" x14ac:dyDescent="0.35">
      <c r="A207" t="s">
        <v>245</v>
      </c>
      <c r="B207">
        <v>30</v>
      </c>
      <c r="C207" t="s">
        <v>20</v>
      </c>
      <c r="D207" t="s">
        <v>12</v>
      </c>
      <c r="E207" t="s">
        <v>17</v>
      </c>
      <c r="F207">
        <v>45711</v>
      </c>
      <c r="G207" t="s">
        <v>36</v>
      </c>
      <c r="H207">
        <v>38270.31489433883</v>
      </c>
      <c r="I207">
        <v>178</v>
      </c>
      <c r="J207" t="s">
        <v>25</v>
      </c>
      <c r="K207">
        <v>45721</v>
      </c>
      <c r="L207" t="s">
        <v>19</v>
      </c>
    </row>
    <row r="208" spans="1:12" x14ac:dyDescent="0.35">
      <c r="A208" t="s">
        <v>246</v>
      </c>
      <c r="B208">
        <v>84</v>
      </c>
      <c r="C208" t="s">
        <v>11</v>
      </c>
      <c r="D208" t="s">
        <v>33</v>
      </c>
      <c r="E208" t="s">
        <v>32</v>
      </c>
      <c r="F208">
        <v>45978</v>
      </c>
      <c r="G208" t="s">
        <v>39</v>
      </c>
      <c r="H208">
        <v>5358.3327903784866</v>
      </c>
      <c r="I208">
        <v>186</v>
      </c>
      <c r="J208" t="s">
        <v>18</v>
      </c>
      <c r="K208">
        <v>45987</v>
      </c>
      <c r="L208" t="s">
        <v>27</v>
      </c>
    </row>
    <row r="209" spans="1:12" x14ac:dyDescent="0.35">
      <c r="A209" t="s">
        <v>247</v>
      </c>
      <c r="B209">
        <v>18</v>
      </c>
      <c r="C209" t="s">
        <v>20</v>
      </c>
      <c r="D209" t="s">
        <v>26</v>
      </c>
      <c r="E209" t="s">
        <v>13</v>
      </c>
      <c r="F209">
        <v>45766</v>
      </c>
      <c r="G209" t="s">
        <v>37</v>
      </c>
      <c r="H209">
        <v>44798.051203568772</v>
      </c>
      <c r="I209">
        <v>105</v>
      </c>
      <c r="J209" t="s">
        <v>25</v>
      </c>
      <c r="K209">
        <v>45778</v>
      </c>
      <c r="L209" t="s">
        <v>19</v>
      </c>
    </row>
    <row r="210" spans="1:12" x14ac:dyDescent="0.35">
      <c r="A210" t="s">
        <v>248</v>
      </c>
      <c r="B210">
        <v>28</v>
      </c>
      <c r="C210" t="s">
        <v>11</v>
      </c>
      <c r="D210" t="s">
        <v>21</v>
      </c>
      <c r="E210" t="s">
        <v>17</v>
      </c>
      <c r="F210">
        <v>45862</v>
      </c>
      <c r="G210" t="s">
        <v>36</v>
      </c>
      <c r="H210">
        <v>14332.982262964309</v>
      </c>
      <c r="I210">
        <v>233</v>
      </c>
      <c r="J210" t="s">
        <v>18</v>
      </c>
      <c r="K210">
        <v>45863</v>
      </c>
      <c r="L210" t="s">
        <v>19</v>
      </c>
    </row>
    <row r="211" spans="1:12" x14ac:dyDescent="0.35">
      <c r="A211" t="s">
        <v>249</v>
      </c>
      <c r="B211">
        <v>46</v>
      </c>
      <c r="C211" t="s">
        <v>11</v>
      </c>
      <c r="D211" t="s">
        <v>29</v>
      </c>
      <c r="E211" t="s">
        <v>24</v>
      </c>
      <c r="F211">
        <v>45815</v>
      </c>
      <c r="G211" t="s">
        <v>37</v>
      </c>
      <c r="H211">
        <v>13236.430005004269</v>
      </c>
      <c r="I211">
        <v>388</v>
      </c>
      <c r="J211" t="s">
        <v>18</v>
      </c>
      <c r="K211">
        <v>45820</v>
      </c>
      <c r="L211" t="s">
        <v>31</v>
      </c>
    </row>
    <row r="212" spans="1:12" x14ac:dyDescent="0.35">
      <c r="A212" t="s">
        <v>250</v>
      </c>
      <c r="B212">
        <v>51</v>
      </c>
      <c r="C212" t="s">
        <v>20</v>
      </c>
      <c r="D212" t="s">
        <v>34</v>
      </c>
      <c r="E212" t="s">
        <v>17</v>
      </c>
      <c r="F212">
        <v>45884</v>
      </c>
      <c r="G212" t="s">
        <v>39</v>
      </c>
      <c r="H212">
        <v>39607.768279087133</v>
      </c>
      <c r="I212">
        <v>272</v>
      </c>
      <c r="J212" t="s">
        <v>25</v>
      </c>
      <c r="K212">
        <v>45892</v>
      </c>
      <c r="L212" t="s">
        <v>22</v>
      </c>
    </row>
    <row r="213" spans="1:12" x14ac:dyDescent="0.35">
      <c r="A213" t="s">
        <v>251</v>
      </c>
      <c r="B213">
        <v>35</v>
      </c>
      <c r="C213" t="s">
        <v>20</v>
      </c>
      <c r="D213" t="s">
        <v>33</v>
      </c>
      <c r="E213" t="s">
        <v>32</v>
      </c>
      <c r="F213">
        <v>45781</v>
      </c>
      <c r="G213" t="s">
        <v>39</v>
      </c>
      <c r="H213">
        <v>27684.046934404771</v>
      </c>
      <c r="I213">
        <v>283</v>
      </c>
      <c r="J213" t="s">
        <v>18</v>
      </c>
      <c r="K213">
        <v>45782</v>
      </c>
      <c r="L213" t="s">
        <v>19</v>
      </c>
    </row>
    <row r="214" spans="1:12" x14ac:dyDescent="0.35">
      <c r="A214" t="s">
        <v>252</v>
      </c>
      <c r="B214">
        <v>44</v>
      </c>
      <c r="C214" t="s">
        <v>20</v>
      </c>
      <c r="D214" t="s">
        <v>21</v>
      </c>
      <c r="E214" t="s">
        <v>24</v>
      </c>
      <c r="F214">
        <v>45972</v>
      </c>
      <c r="G214" t="s">
        <v>37</v>
      </c>
      <c r="H214">
        <v>6009.4695625819804</v>
      </c>
      <c r="I214">
        <v>104</v>
      </c>
      <c r="J214" t="s">
        <v>18</v>
      </c>
      <c r="K214">
        <v>45975</v>
      </c>
      <c r="L214" t="s">
        <v>19</v>
      </c>
    </row>
    <row r="215" spans="1:12" x14ac:dyDescent="0.35">
      <c r="A215" t="s">
        <v>253</v>
      </c>
      <c r="B215">
        <v>82</v>
      </c>
      <c r="C215" t="s">
        <v>11</v>
      </c>
      <c r="D215" t="s">
        <v>26</v>
      </c>
      <c r="E215" t="s">
        <v>28</v>
      </c>
      <c r="F215">
        <v>45838</v>
      </c>
      <c r="G215" t="s">
        <v>36</v>
      </c>
      <c r="H215">
        <v>2004.6195737182529</v>
      </c>
      <c r="I215">
        <v>192</v>
      </c>
      <c r="J215" t="s">
        <v>18</v>
      </c>
      <c r="K215">
        <v>45839</v>
      </c>
      <c r="L215" t="s">
        <v>27</v>
      </c>
    </row>
    <row r="216" spans="1:12" x14ac:dyDescent="0.35">
      <c r="A216" t="s">
        <v>254</v>
      </c>
      <c r="B216">
        <v>66</v>
      </c>
      <c r="C216" t="s">
        <v>20</v>
      </c>
      <c r="D216" t="s">
        <v>12</v>
      </c>
      <c r="E216" t="s">
        <v>24</v>
      </c>
      <c r="F216">
        <v>45868</v>
      </c>
      <c r="G216" t="s">
        <v>36</v>
      </c>
      <c r="H216">
        <v>23279.508886608401</v>
      </c>
      <c r="I216">
        <v>481</v>
      </c>
      <c r="J216" t="s">
        <v>25</v>
      </c>
      <c r="K216">
        <v>45876</v>
      </c>
      <c r="L216" t="s">
        <v>15</v>
      </c>
    </row>
    <row r="217" spans="1:12" x14ac:dyDescent="0.35">
      <c r="A217" t="s">
        <v>255</v>
      </c>
      <c r="B217">
        <v>64</v>
      </c>
      <c r="C217" t="s">
        <v>20</v>
      </c>
      <c r="D217" t="s">
        <v>23</v>
      </c>
      <c r="E217" t="s">
        <v>32</v>
      </c>
      <c r="F217">
        <v>45663</v>
      </c>
      <c r="G217" t="s">
        <v>36</v>
      </c>
      <c r="H217">
        <v>9003.4844037504099</v>
      </c>
      <c r="I217">
        <v>448</v>
      </c>
      <c r="J217" t="s">
        <v>18</v>
      </c>
      <c r="K217">
        <v>45675</v>
      </c>
      <c r="L217" t="s">
        <v>19</v>
      </c>
    </row>
    <row r="218" spans="1:12" x14ac:dyDescent="0.35">
      <c r="A218" t="s">
        <v>256</v>
      </c>
      <c r="B218">
        <v>21</v>
      </c>
      <c r="C218" t="s">
        <v>11</v>
      </c>
      <c r="D218" t="s">
        <v>23</v>
      </c>
      <c r="E218" t="s">
        <v>30</v>
      </c>
      <c r="F218">
        <v>45843</v>
      </c>
      <c r="G218" t="s">
        <v>36</v>
      </c>
      <c r="H218">
        <v>14661.67879715498</v>
      </c>
      <c r="I218">
        <v>388</v>
      </c>
      <c r="J218" t="s">
        <v>18</v>
      </c>
      <c r="K218">
        <v>45854</v>
      </c>
      <c r="L218" t="s">
        <v>19</v>
      </c>
    </row>
    <row r="219" spans="1:12" x14ac:dyDescent="0.35">
      <c r="A219" t="s">
        <v>257</v>
      </c>
      <c r="B219">
        <v>34</v>
      </c>
      <c r="C219" t="s">
        <v>11</v>
      </c>
      <c r="D219" t="s">
        <v>34</v>
      </c>
      <c r="E219" t="s">
        <v>32</v>
      </c>
      <c r="F219">
        <v>45697</v>
      </c>
      <c r="G219" t="s">
        <v>39</v>
      </c>
      <c r="H219">
        <v>40092.68952429582</v>
      </c>
      <c r="I219">
        <v>419</v>
      </c>
      <c r="J219" t="s">
        <v>18</v>
      </c>
      <c r="K219">
        <v>45699</v>
      </c>
      <c r="L219" t="s">
        <v>19</v>
      </c>
    </row>
    <row r="220" spans="1:12" x14ac:dyDescent="0.35">
      <c r="A220" t="s">
        <v>258</v>
      </c>
      <c r="B220">
        <v>33</v>
      </c>
      <c r="C220" t="s">
        <v>20</v>
      </c>
      <c r="D220" t="s">
        <v>33</v>
      </c>
      <c r="E220" t="s">
        <v>32</v>
      </c>
      <c r="F220">
        <v>45827</v>
      </c>
      <c r="G220" t="s">
        <v>39</v>
      </c>
      <c r="H220">
        <v>1681.0061836567349</v>
      </c>
      <c r="I220">
        <v>300</v>
      </c>
      <c r="J220" t="s">
        <v>25</v>
      </c>
      <c r="K220">
        <v>45830</v>
      </c>
      <c r="L220" t="s">
        <v>15</v>
      </c>
    </row>
    <row r="221" spans="1:12" x14ac:dyDescent="0.35">
      <c r="A221" t="s">
        <v>259</v>
      </c>
      <c r="B221">
        <v>72</v>
      </c>
      <c r="C221" t="s">
        <v>20</v>
      </c>
      <c r="D221" t="s">
        <v>26</v>
      </c>
      <c r="E221" t="s">
        <v>13</v>
      </c>
      <c r="F221">
        <v>45904</v>
      </c>
      <c r="G221" t="s">
        <v>36</v>
      </c>
      <c r="H221">
        <v>41397.672973311899</v>
      </c>
      <c r="I221">
        <v>246</v>
      </c>
      <c r="J221" t="s">
        <v>18</v>
      </c>
      <c r="K221">
        <v>45913</v>
      </c>
      <c r="L221" t="s">
        <v>31</v>
      </c>
    </row>
    <row r="222" spans="1:12" x14ac:dyDescent="0.35">
      <c r="A222" t="s">
        <v>260</v>
      </c>
      <c r="B222">
        <v>38</v>
      </c>
      <c r="C222" t="s">
        <v>20</v>
      </c>
      <c r="D222" t="s">
        <v>26</v>
      </c>
      <c r="E222" t="s">
        <v>28</v>
      </c>
      <c r="F222">
        <v>45801</v>
      </c>
      <c r="G222" t="s">
        <v>36</v>
      </c>
      <c r="H222">
        <v>4187.8140173778738</v>
      </c>
      <c r="I222">
        <v>196</v>
      </c>
      <c r="J222" t="s">
        <v>18</v>
      </c>
      <c r="K222">
        <v>45810</v>
      </c>
      <c r="L222" t="s">
        <v>15</v>
      </c>
    </row>
    <row r="223" spans="1:12" x14ac:dyDescent="0.35">
      <c r="A223" t="s">
        <v>261</v>
      </c>
      <c r="B223">
        <v>24</v>
      </c>
      <c r="C223" t="s">
        <v>20</v>
      </c>
      <c r="D223" t="s">
        <v>23</v>
      </c>
      <c r="E223" t="s">
        <v>13</v>
      </c>
      <c r="F223">
        <v>45725</v>
      </c>
      <c r="G223" t="s">
        <v>39</v>
      </c>
      <c r="H223">
        <v>38672.281955562648</v>
      </c>
      <c r="I223">
        <v>184</v>
      </c>
      <c r="J223" t="s">
        <v>18</v>
      </c>
      <c r="K223">
        <v>45735</v>
      </c>
      <c r="L223" t="s">
        <v>31</v>
      </c>
    </row>
    <row r="224" spans="1:12" x14ac:dyDescent="0.35">
      <c r="A224" t="s">
        <v>262</v>
      </c>
      <c r="B224">
        <v>78</v>
      </c>
      <c r="C224" t="s">
        <v>20</v>
      </c>
      <c r="D224" t="s">
        <v>34</v>
      </c>
      <c r="E224" t="s">
        <v>24</v>
      </c>
      <c r="F224">
        <v>45884</v>
      </c>
      <c r="G224" t="s">
        <v>39</v>
      </c>
      <c r="H224">
        <v>34877.75811241677</v>
      </c>
      <c r="I224">
        <v>247</v>
      </c>
      <c r="J224" t="s">
        <v>25</v>
      </c>
      <c r="K224">
        <v>45888</v>
      </c>
      <c r="L224" t="s">
        <v>22</v>
      </c>
    </row>
    <row r="225" spans="1:12" x14ac:dyDescent="0.35">
      <c r="A225" t="s">
        <v>263</v>
      </c>
      <c r="B225">
        <v>48</v>
      </c>
      <c r="C225" t="s">
        <v>11</v>
      </c>
      <c r="D225" t="s">
        <v>26</v>
      </c>
      <c r="E225" t="s">
        <v>24</v>
      </c>
      <c r="F225">
        <v>45929</v>
      </c>
      <c r="G225" t="s">
        <v>37</v>
      </c>
      <c r="H225">
        <v>1903.173657905654</v>
      </c>
      <c r="I225">
        <v>145</v>
      </c>
      <c r="J225" t="s">
        <v>18</v>
      </c>
      <c r="K225">
        <v>45940</v>
      </c>
      <c r="L225" t="s">
        <v>22</v>
      </c>
    </row>
    <row r="226" spans="1:12" x14ac:dyDescent="0.35">
      <c r="A226" t="s">
        <v>264</v>
      </c>
      <c r="B226">
        <v>71</v>
      </c>
      <c r="C226" t="s">
        <v>20</v>
      </c>
      <c r="D226" t="s">
        <v>34</v>
      </c>
      <c r="E226" t="s">
        <v>32</v>
      </c>
      <c r="F226">
        <v>45988</v>
      </c>
      <c r="G226" t="s">
        <v>37</v>
      </c>
      <c r="H226">
        <v>32445.49574622092</v>
      </c>
      <c r="I226">
        <v>497</v>
      </c>
      <c r="J226" t="s">
        <v>18</v>
      </c>
      <c r="K226">
        <v>45991</v>
      </c>
      <c r="L226" t="s">
        <v>15</v>
      </c>
    </row>
    <row r="227" spans="1:12" x14ac:dyDescent="0.35">
      <c r="A227" t="s">
        <v>265</v>
      </c>
      <c r="B227">
        <v>76</v>
      </c>
      <c r="C227" t="s">
        <v>11</v>
      </c>
      <c r="D227" t="s">
        <v>29</v>
      </c>
      <c r="E227" t="s">
        <v>24</v>
      </c>
      <c r="F227">
        <v>45677</v>
      </c>
      <c r="G227" t="s">
        <v>37</v>
      </c>
      <c r="H227">
        <v>1590.072876271553</v>
      </c>
      <c r="I227">
        <v>268</v>
      </c>
      <c r="J227" t="s">
        <v>25</v>
      </c>
      <c r="K227">
        <v>45690</v>
      </c>
      <c r="L227" t="s">
        <v>27</v>
      </c>
    </row>
    <row r="228" spans="1:12" x14ac:dyDescent="0.35">
      <c r="A228" t="s">
        <v>266</v>
      </c>
      <c r="B228">
        <v>60</v>
      </c>
      <c r="C228" t="s">
        <v>20</v>
      </c>
      <c r="D228" t="s">
        <v>12</v>
      </c>
      <c r="E228" t="s">
        <v>32</v>
      </c>
      <c r="F228">
        <v>45751</v>
      </c>
      <c r="G228" t="s">
        <v>36</v>
      </c>
      <c r="H228">
        <v>47434.193924261272</v>
      </c>
      <c r="I228">
        <v>448</v>
      </c>
      <c r="J228" t="s">
        <v>18</v>
      </c>
      <c r="K228">
        <v>45762</v>
      </c>
      <c r="L228" t="s">
        <v>15</v>
      </c>
    </row>
    <row r="229" spans="1:12" x14ac:dyDescent="0.35">
      <c r="A229" t="s">
        <v>267</v>
      </c>
      <c r="B229">
        <v>68</v>
      </c>
      <c r="C229" t="s">
        <v>11</v>
      </c>
      <c r="D229" t="s">
        <v>29</v>
      </c>
      <c r="E229" t="s">
        <v>32</v>
      </c>
      <c r="F229">
        <v>45974</v>
      </c>
      <c r="G229" t="s">
        <v>39</v>
      </c>
      <c r="H229">
        <v>17387.897948155471</v>
      </c>
      <c r="I229">
        <v>108</v>
      </c>
      <c r="J229" t="s">
        <v>18</v>
      </c>
      <c r="K229">
        <v>45986</v>
      </c>
      <c r="L229" t="s">
        <v>27</v>
      </c>
    </row>
    <row r="230" spans="1:12" x14ac:dyDescent="0.35">
      <c r="A230" t="s">
        <v>268</v>
      </c>
      <c r="B230">
        <v>61</v>
      </c>
      <c r="C230" t="s">
        <v>11</v>
      </c>
      <c r="D230" t="s">
        <v>12</v>
      </c>
      <c r="E230" t="s">
        <v>24</v>
      </c>
      <c r="F230">
        <v>45697</v>
      </c>
      <c r="G230" t="s">
        <v>39</v>
      </c>
      <c r="H230">
        <v>13410.78564748242</v>
      </c>
      <c r="I230">
        <v>484</v>
      </c>
      <c r="J230" t="s">
        <v>18</v>
      </c>
      <c r="K230">
        <v>45705</v>
      </c>
      <c r="L230" t="s">
        <v>15</v>
      </c>
    </row>
    <row r="231" spans="1:12" x14ac:dyDescent="0.35">
      <c r="A231" t="s">
        <v>269</v>
      </c>
      <c r="B231">
        <v>20</v>
      </c>
      <c r="C231" t="s">
        <v>20</v>
      </c>
      <c r="D231" t="s">
        <v>12</v>
      </c>
      <c r="E231" t="s">
        <v>24</v>
      </c>
      <c r="F231">
        <v>45767</v>
      </c>
      <c r="G231" t="s">
        <v>37</v>
      </c>
      <c r="H231">
        <v>42745.133582142364</v>
      </c>
      <c r="I231">
        <v>432</v>
      </c>
      <c r="J231" t="s">
        <v>25</v>
      </c>
      <c r="K231">
        <v>45779</v>
      </c>
      <c r="L231" t="s">
        <v>19</v>
      </c>
    </row>
    <row r="232" spans="1:12" x14ac:dyDescent="0.35">
      <c r="A232" t="s">
        <v>270</v>
      </c>
      <c r="B232">
        <v>51</v>
      </c>
      <c r="C232" t="s">
        <v>20</v>
      </c>
      <c r="D232" t="s">
        <v>26</v>
      </c>
      <c r="E232" t="s">
        <v>30</v>
      </c>
      <c r="F232">
        <v>45820</v>
      </c>
      <c r="G232" t="s">
        <v>39</v>
      </c>
      <c r="H232">
        <v>46292.147371948042</v>
      </c>
      <c r="I232">
        <v>385</v>
      </c>
      <c r="J232" t="s">
        <v>18</v>
      </c>
      <c r="K232">
        <v>45822</v>
      </c>
      <c r="L232" t="s">
        <v>22</v>
      </c>
    </row>
    <row r="233" spans="1:12" x14ac:dyDescent="0.35">
      <c r="A233" t="s">
        <v>271</v>
      </c>
      <c r="B233">
        <v>18</v>
      </c>
      <c r="C233" t="s">
        <v>20</v>
      </c>
      <c r="D233" t="s">
        <v>16</v>
      </c>
      <c r="E233" t="s">
        <v>30</v>
      </c>
      <c r="F233">
        <v>45745</v>
      </c>
      <c r="G233" t="s">
        <v>39</v>
      </c>
      <c r="H233">
        <v>45378.483888380753</v>
      </c>
      <c r="I233">
        <v>223</v>
      </c>
      <c r="J233" t="s">
        <v>18</v>
      </c>
      <c r="K233">
        <v>45747</v>
      </c>
      <c r="L233" t="s">
        <v>27</v>
      </c>
    </row>
    <row r="234" spans="1:12" x14ac:dyDescent="0.35">
      <c r="A234" t="s">
        <v>272</v>
      </c>
      <c r="B234">
        <v>70</v>
      </c>
      <c r="C234" t="s">
        <v>20</v>
      </c>
      <c r="D234" t="s">
        <v>12</v>
      </c>
      <c r="E234" t="s">
        <v>30</v>
      </c>
      <c r="F234">
        <v>45670</v>
      </c>
      <c r="G234" t="s">
        <v>37</v>
      </c>
      <c r="H234">
        <v>35319.123324266409</v>
      </c>
      <c r="I234">
        <v>419</v>
      </c>
      <c r="J234" t="s">
        <v>25</v>
      </c>
      <c r="K234">
        <v>45674</v>
      </c>
      <c r="L234" t="s">
        <v>19</v>
      </c>
    </row>
    <row r="235" spans="1:12" x14ac:dyDescent="0.35">
      <c r="A235" t="s">
        <v>273</v>
      </c>
      <c r="B235">
        <v>82</v>
      </c>
      <c r="C235" t="s">
        <v>20</v>
      </c>
      <c r="D235" t="s">
        <v>12</v>
      </c>
      <c r="E235" t="s">
        <v>32</v>
      </c>
      <c r="F235">
        <v>45985</v>
      </c>
      <c r="G235" t="s">
        <v>39</v>
      </c>
      <c r="H235">
        <v>45914.13809189805</v>
      </c>
      <c r="I235">
        <v>119</v>
      </c>
      <c r="J235" t="s">
        <v>18</v>
      </c>
      <c r="K235">
        <v>45990</v>
      </c>
      <c r="L235" t="s">
        <v>15</v>
      </c>
    </row>
    <row r="236" spans="1:12" x14ac:dyDescent="0.35">
      <c r="A236" t="s">
        <v>274</v>
      </c>
      <c r="B236">
        <v>60</v>
      </c>
      <c r="C236" t="s">
        <v>20</v>
      </c>
      <c r="D236" t="s">
        <v>29</v>
      </c>
      <c r="E236" t="s">
        <v>24</v>
      </c>
      <c r="F236">
        <v>45817</v>
      </c>
      <c r="G236" t="s">
        <v>37</v>
      </c>
      <c r="H236">
        <v>4813.3558162763802</v>
      </c>
      <c r="I236">
        <v>260</v>
      </c>
      <c r="J236" t="s">
        <v>18</v>
      </c>
      <c r="K236">
        <v>45830</v>
      </c>
      <c r="L236" t="s">
        <v>31</v>
      </c>
    </row>
    <row r="237" spans="1:12" x14ac:dyDescent="0.35">
      <c r="A237" t="s">
        <v>275</v>
      </c>
      <c r="B237">
        <v>54</v>
      </c>
      <c r="C237" t="s">
        <v>20</v>
      </c>
      <c r="D237" t="s">
        <v>12</v>
      </c>
      <c r="E237" t="s">
        <v>32</v>
      </c>
      <c r="F237">
        <v>45811</v>
      </c>
      <c r="G237" t="s">
        <v>37</v>
      </c>
      <c r="H237">
        <v>36856.204558072743</v>
      </c>
      <c r="I237">
        <v>264</v>
      </c>
      <c r="J237" t="s">
        <v>25</v>
      </c>
      <c r="K237">
        <v>45822</v>
      </c>
      <c r="L237" t="s">
        <v>22</v>
      </c>
    </row>
    <row r="238" spans="1:12" x14ac:dyDescent="0.35">
      <c r="A238" t="s">
        <v>276</v>
      </c>
      <c r="B238">
        <v>47</v>
      </c>
      <c r="C238" t="s">
        <v>20</v>
      </c>
      <c r="D238" t="s">
        <v>21</v>
      </c>
      <c r="E238" t="s">
        <v>13</v>
      </c>
      <c r="F238">
        <v>45733</v>
      </c>
      <c r="G238" t="s">
        <v>39</v>
      </c>
      <c r="H238">
        <v>-68.319620761113356</v>
      </c>
      <c r="I238">
        <v>288</v>
      </c>
      <c r="J238" t="s">
        <v>18</v>
      </c>
      <c r="K238">
        <v>45745</v>
      </c>
      <c r="L238" t="s">
        <v>19</v>
      </c>
    </row>
    <row r="239" spans="1:12" x14ac:dyDescent="0.35">
      <c r="A239" t="s">
        <v>277</v>
      </c>
      <c r="B239">
        <v>57</v>
      </c>
      <c r="C239" t="s">
        <v>11</v>
      </c>
      <c r="D239" t="s">
        <v>21</v>
      </c>
      <c r="E239" t="s">
        <v>30</v>
      </c>
      <c r="F239">
        <v>45950</v>
      </c>
      <c r="G239" t="s">
        <v>36</v>
      </c>
      <c r="H239">
        <v>1502.150642159766</v>
      </c>
      <c r="I239">
        <v>351</v>
      </c>
      <c r="J239" t="s">
        <v>25</v>
      </c>
      <c r="K239">
        <v>45958</v>
      </c>
      <c r="L239" t="s">
        <v>31</v>
      </c>
    </row>
    <row r="240" spans="1:12" x14ac:dyDescent="0.35">
      <c r="A240" t="s">
        <v>278</v>
      </c>
      <c r="B240">
        <v>52</v>
      </c>
      <c r="C240" t="s">
        <v>11</v>
      </c>
      <c r="D240" t="s">
        <v>34</v>
      </c>
      <c r="E240" t="s">
        <v>17</v>
      </c>
      <c r="F240">
        <v>45774</v>
      </c>
      <c r="G240" t="s">
        <v>37</v>
      </c>
      <c r="H240">
        <v>44150.492444979573</v>
      </c>
      <c r="I240">
        <v>370</v>
      </c>
      <c r="J240" t="s">
        <v>18</v>
      </c>
      <c r="K240">
        <v>45779</v>
      </c>
      <c r="L240" t="s">
        <v>19</v>
      </c>
    </row>
    <row r="241" spans="1:12" x14ac:dyDescent="0.35">
      <c r="A241" t="s">
        <v>279</v>
      </c>
      <c r="B241">
        <v>52</v>
      </c>
      <c r="C241" t="s">
        <v>20</v>
      </c>
      <c r="D241" t="s">
        <v>26</v>
      </c>
      <c r="E241" t="s">
        <v>28</v>
      </c>
      <c r="F241">
        <v>45689</v>
      </c>
      <c r="G241" t="s">
        <v>37</v>
      </c>
      <c r="H241">
        <v>44415.218284627997</v>
      </c>
      <c r="I241">
        <v>136</v>
      </c>
      <c r="J241" t="s">
        <v>18</v>
      </c>
      <c r="K241">
        <v>45700</v>
      </c>
      <c r="L241" t="s">
        <v>31</v>
      </c>
    </row>
    <row r="242" spans="1:12" x14ac:dyDescent="0.35">
      <c r="A242" t="s">
        <v>280</v>
      </c>
      <c r="B242">
        <v>32</v>
      </c>
      <c r="C242" t="s">
        <v>20</v>
      </c>
      <c r="D242" t="s">
        <v>23</v>
      </c>
      <c r="E242" t="s">
        <v>28</v>
      </c>
      <c r="F242">
        <v>45986</v>
      </c>
      <c r="G242" t="s">
        <v>36</v>
      </c>
      <c r="H242">
        <v>35844.142583219284</v>
      </c>
      <c r="I242">
        <v>340</v>
      </c>
      <c r="J242" t="s">
        <v>25</v>
      </c>
      <c r="K242">
        <v>45997</v>
      </c>
      <c r="L242" t="s">
        <v>22</v>
      </c>
    </row>
    <row r="243" spans="1:12" x14ac:dyDescent="0.35">
      <c r="A243" t="s">
        <v>281</v>
      </c>
      <c r="B243">
        <v>60</v>
      </c>
      <c r="C243" t="s">
        <v>11</v>
      </c>
      <c r="D243" t="s">
        <v>34</v>
      </c>
      <c r="E243" t="s">
        <v>30</v>
      </c>
      <c r="F243">
        <v>45883</v>
      </c>
      <c r="G243" t="s">
        <v>39</v>
      </c>
      <c r="H243">
        <v>48916.870957018073</v>
      </c>
      <c r="I243">
        <v>303</v>
      </c>
      <c r="J243" t="s">
        <v>18</v>
      </c>
      <c r="K243">
        <v>45893</v>
      </c>
      <c r="L243" t="s">
        <v>31</v>
      </c>
    </row>
    <row r="244" spans="1:12" x14ac:dyDescent="0.35">
      <c r="A244" t="s">
        <v>282</v>
      </c>
      <c r="B244">
        <v>64</v>
      </c>
      <c r="C244" t="s">
        <v>11</v>
      </c>
      <c r="D244" t="s">
        <v>21</v>
      </c>
      <c r="E244" t="s">
        <v>30</v>
      </c>
      <c r="F244">
        <v>45700</v>
      </c>
      <c r="G244" t="s">
        <v>36</v>
      </c>
      <c r="H244">
        <v>16398.561572383809</v>
      </c>
      <c r="I244">
        <v>158</v>
      </c>
      <c r="J244" t="s">
        <v>18</v>
      </c>
      <c r="K244">
        <v>45712</v>
      </c>
      <c r="L244" t="s">
        <v>19</v>
      </c>
    </row>
    <row r="245" spans="1:12" x14ac:dyDescent="0.35">
      <c r="A245" t="s">
        <v>283</v>
      </c>
      <c r="B245">
        <v>46</v>
      </c>
      <c r="C245" t="s">
        <v>11</v>
      </c>
      <c r="D245" t="s">
        <v>33</v>
      </c>
      <c r="E245" t="s">
        <v>30</v>
      </c>
      <c r="F245">
        <v>45980</v>
      </c>
      <c r="G245" t="s">
        <v>36</v>
      </c>
      <c r="H245">
        <v>37012.61499485837</v>
      </c>
      <c r="I245">
        <v>367</v>
      </c>
      <c r="J245" t="s">
        <v>25</v>
      </c>
      <c r="K245">
        <v>45984</v>
      </c>
      <c r="L245" t="s">
        <v>19</v>
      </c>
    </row>
    <row r="246" spans="1:12" x14ac:dyDescent="0.35">
      <c r="A246" t="s">
        <v>284</v>
      </c>
      <c r="B246">
        <v>79</v>
      </c>
      <c r="C246" t="s">
        <v>11</v>
      </c>
      <c r="D246" t="s">
        <v>21</v>
      </c>
      <c r="E246" t="s">
        <v>17</v>
      </c>
      <c r="F246">
        <v>45803</v>
      </c>
      <c r="G246" t="s">
        <v>37</v>
      </c>
      <c r="H246">
        <v>32498.691267998089</v>
      </c>
      <c r="I246">
        <v>481</v>
      </c>
      <c r="J246" t="s">
        <v>25</v>
      </c>
      <c r="K246">
        <v>45806</v>
      </c>
      <c r="L246" t="s">
        <v>31</v>
      </c>
    </row>
    <row r="247" spans="1:12" x14ac:dyDescent="0.35">
      <c r="A247" t="s">
        <v>285</v>
      </c>
      <c r="B247">
        <v>66</v>
      </c>
      <c r="C247" t="s">
        <v>20</v>
      </c>
      <c r="D247" t="s">
        <v>21</v>
      </c>
      <c r="E247" t="s">
        <v>13</v>
      </c>
      <c r="F247">
        <v>45902</v>
      </c>
      <c r="G247" t="s">
        <v>37</v>
      </c>
      <c r="H247">
        <v>15465.12504561622</v>
      </c>
      <c r="I247">
        <v>392</v>
      </c>
      <c r="J247" t="s">
        <v>25</v>
      </c>
      <c r="K247">
        <v>45913</v>
      </c>
      <c r="L247" t="s">
        <v>22</v>
      </c>
    </row>
    <row r="248" spans="1:12" x14ac:dyDescent="0.35">
      <c r="A248" t="s">
        <v>286</v>
      </c>
      <c r="B248">
        <v>23</v>
      </c>
      <c r="C248" t="s">
        <v>11</v>
      </c>
      <c r="D248" t="s">
        <v>16</v>
      </c>
      <c r="E248" t="s">
        <v>13</v>
      </c>
      <c r="F248">
        <v>45666</v>
      </c>
      <c r="G248" t="s">
        <v>36</v>
      </c>
      <c r="H248">
        <v>35005.753942432697</v>
      </c>
      <c r="I248">
        <v>326</v>
      </c>
      <c r="J248" t="s">
        <v>18</v>
      </c>
      <c r="K248">
        <v>45669</v>
      </c>
      <c r="L248" t="s">
        <v>31</v>
      </c>
    </row>
    <row r="249" spans="1:12" x14ac:dyDescent="0.35">
      <c r="A249" t="s">
        <v>287</v>
      </c>
      <c r="B249">
        <v>61</v>
      </c>
      <c r="C249" t="s">
        <v>20</v>
      </c>
      <c r="D249" t="s">
        <v>16</v>
      </c>
      <c r="E249" t="s">
        <v>30</v>
      </c>
      <c r="F249">
        <v>45958</v>
      </c>
      <c r="G249" t="s">
        <v>37</v>
      </c>
      <c r="H249">
        <v>20372.19047269196</v>
      </c>
      <c r="I249">
        <v>379</v>
      </c>
      <c r="J249" t="s">
        <v>25</v>
      </c>
      <c r="K249">
        <v>45970</v>
      </c>
      <c r="L249" t="s">
        <v>31</v>
      </c>
    </row>
    <row r="250" spans="1:12" x14ac:dyDescent="0.35">
      <c r="A250" t="s">
        <v>288</v>
      </c>
      <c r="B250">
        <v>63</v>
      </c>
      <c r="C250" t="s">
        <v>11</v>
      </c>
      <c r="D250" t="s">
        <v>26</v>
      </c>
      <c r="E250" t="s">
        <v>32</v>
      </c>
      <c r="F250">
        <v>46004</v>
      </c>
      <c r="G250" t="s">
        <v>37</v>
      </c>
      <c r="H250">
        <v>36260.227756632477</v>
      </c>
      <c r="I250">
        <v>463</v>
      </c>
      <c r="J250" t="s">
        <v>18</v>
      </c>
      <c r="K250">
        <v>46018</v>
      </c>
      <c r="L250" t="s">
        <v>19</v>
      </c>
    </row>
    <row r="251" spans="1:12" x14ac:dyDescent="0.35">
      <c r="A251" t="s">
        <v>289</v>
      </c>
      <c r="B251">
        <v>28</v>
      </c>
      <c r="C251" t="s">
        <v>11</v>
      </c>
      <c r="D251" t="s">
        <v>33</v>
      </c>
      <c r="E251" t="s">
        <v>13</v>
      </c>
      <c r="F251">
        <v>45826</v>
      </c>
      <c r="G251" t="s">
        <v>39</v>
      </c>
      <c r="H251">
        <v>6802.0976449092777</v>
      </c>
      <c r="I251">
        <v>209</v>
      </c>
      <c r="J251" t="s">
        <v>25</v>
      </c>
      <c r="K251">
        <v>45837</v>
      </c>
      <c r="L251" t="s">
        <v>31</v>
      </c>
    </row>
    <row r="252" spans="1:12" x14ac:dyDescent="0.35">
      <c r="A252" t="s">
        <v>290</v>
      </c>
      <c r="B252">
        <v>57</v>
      </c>
      <c r="C252" t="s">
        <v>20</v>
      </c>
      <c r="D252" t="s">
        <v>29</v>
      </c>
      <c r="E252" t="s">
        <v>30</v>
      </c>
      <c r="F252">
        <v>45950</v>
      </c>
      <c r="G252" t="s">
        <v>37</v>
      </c>
      <c r="H252">
        <v>11898.809555485161</v>
      </c>
      <c r="I252">
        <v>177</v>
      </c>
      <c r="J252" t="s">
        <v>18</v>
      </c>
      <c r="K252">
        <v>45954</v>
      </c>
      <c r="L252" t="s">
        <v>22</v>
      </c>
    </row>
    <row r="253" spans="1:12" x14ac:dyDescent="0.35">
      <c r="A253" t="s">
        <v>291</v>
      </c>
      <c r="B253">
        <v>20</v>
      </c>
      <c r="C253" t="s">
        <v>20</v>
      </c>
      <c r="D253" t="s">
        <v>26</v>
      </c>
      <c r="E253" t="s">
        <v>28</v>
      </c>
      <c r="F253">
        <v>45979</v>
      </c>
      <c r="G253" t="s">
        <v>39</v>
      </c>
      <c r="H253">
        <v>44073.679816247837</v>
      </c>
      <c r="I253">
        <v>257</v>
      </c>
      <c r="J253" t="s">
        <v>25</v>
      </c>
      <c r="K253">
        <v>45990</v>
      </c>
      <c r="L253" t="s">
        <v>15</v>
      </c>
    </row>
    <row r="254" spans="1:12" x14ac:dyDescent="0.35">
      <c r="A254" t="s">
        <v>292</v>
      </c>
      <c r="B254">
        <v>48</v>
      </c>
      <c r="C254" t="s">
        <v>11</v>
      </c>
      <c r="D254" t="s">
        <v>16</v>
      </c>
      <c r="E254" t="s">
        <v>17</v>
      </c>
      <c r="F254">
        <v>45753</v>
      </c>
      <c r="G254" t="s">
        <v>37</v>
      </c>
      <c r="H254">
        <v>9809.1879612655321</v>
      </c>
      <c r="I254">
        <v>148</v>
      </c>
      <c r="J254" t="s">
        <v>25</v>
      </c>
      <c r="K254">
        <v>45760</v>
      </c>
      <c r="L254" t="s">
        <v>31</v>
      </c>
    </row>
    <row r="255" spans="1:12" x14ac:dyDescent="0.35">
      <c r="A255" t="s">
        <v>293</v>
      </c>
      <c r="B255">
        <v>47</v>
      </c>
      <c r="C255" t="s">
        <v>11</v>
      </c>
      <c r="D255" t="s">
        <v>34</v>
      </c>
      <c r="E255" t="s">
        <v>13</v>
      </c>
      <c r="F255">
        <v>45752</v>
      </c>
      <c r="G255" t="s">
        <v>37</v>
      </c>
      <c r="H255">
        <v>24227.504396388249</v>
      </c>
      <c r="I255">
        <v>486</v>
      </c>
      <c r="J255" t="s">
        <v>25</v>
      </c>
      <c r="K255">
        <v>45765</v>
      </c>
      <c r="L255" t="s">
        <v>31</v>
      </c>
    </row>
    <row r="256" spans="1:12" x14ac:dyDescent="0.35">
      <c r="A256" t="s">
        <v>294</v>
      </c>
      <c r="B256">
        <v>68</v>
      </c>
      <c r="C256" t="s">
        <v>20</v>
      </c>
      <c r="D256" t="s">
        <v>21</v>
      </c>
      <c r="E256" t="s">
        <v>13</v>
      </c>
      <c r="F256">
        <v>45709</v>
      </c>
      <c r="G256" t="s">
        <v>36</v>
      </c>
      <c r="H256">
        <v>26546.076911096439</v>
      </c>
      <c r="I256">
        <v>101</v>
      </c>
      <c r="J256" t="s">
        <v>25</v>
      </c>
      <c r="K256">
        <v>45719</v>
      </c>
      <c r="L256" t="s">
        <v>19</v>
      </c>
    </row>
    <row r="257" spans="1:12" x14ac:dyDescent="0.35">
      <c r="A257" t="s">
        <v>295</v>
      </c>
      <c r="B257">
        <v>33</v>
      </c>
      <c r="C257" t="s">
        <v>20</v>
      </c>
      <c r="D257" t="s">
        <v>16</v>
      </c>
      <c r="E257" t="s">
        <v>24</v>
      </c>
      <c r="F257">
        <v>45676</v>
      </c>
      <c r="G257" t="s">
        <v>37</v>
      </c>
      <c r="H257">
        <v>49277.839359361613</v>
      </c>
      <c r="I257">
        <v>260</v>
      </c>
      <c r="J257" t="s">
        <v>25</v>
      </c>
      <c r="K257">
        <v>45678</v>
      </c>
      <c r="L257" t="s">
        <v>15</v>
      </c>
    </row>
    <row r="258" spans="1:12" x14ac:dyDescent="0.35">
      <c r="A258" t="s">
        <v>296</v>
      </c>
      <c r="B258">
        <v>25</v>
      </c>
      <c r="C258" t="s">
        <v>20</v>
      </c>
      <c r="D258" t="s">
        <v>33</v>
      </c>
      <c r="E258" t="s">
        <v>13</v>
      </c>
      <c r="F258">
        <v>45660</v>
      </c>
      <c r="G258" t="s">
        <v>39</v>
      </c>
      <c r="H258">
        <v>37362.728019042581</v>
      </c>
      <c r="I258">
        <v>440</v>
      </c>
      <c r="J258" t="s">
        <v>25</v>
      </c>
      <c r="K258">
        <v>45665</v>
      </c>
      <c r="L258" t="s">
        <v>27</v>
      </c>
    </row>
    <row r="259" spans="1:12" x14ac:dyDescent="0.35">
      <c r="A259" t="s">
        <v>297</v>
      </c>
      <c r="B259">
        <v>63</v>
      </c>
      <c r="C259" t="s">
        <v>11</v>
      </c>
      <c r="D259" t="s">
        <v>21</v>
      </c>
      <c r="E259" t="s">
        <v>17</v>
      </c>
      <c r="F259">
        <v>45822</v>
      </c>
      <c r="G259" t="s">
        <v>39</v>
      </c>
      <c r="H259">
        <v>19307.568465508219</v>
      </c>
      <c r="I259">
        <v>403</v>
      </c>
      <c r="J259" t="s">
        <v>18</v>
      </c>
      <c r="K259">
        <v>45836</v>
      </c>
      <c r="L259" t="s">
        <v>19</v>
      </c>
    </row>
    <row r="260" spans="1:12" x14ac:dyDescent="0.35">
      <c r="A260" t="s">
        <v>298</v>
      </c>
      <c r="B260">
        <v>41</v>
      </c>
      <c r="C260" t="s">
        <v>20</v>
      </c>
      <c r="D260" t="s">
        <v>26</v>
      </c>
      <c r="E260" t="s">
        <v>13</v>
      </c>
      <c r="F260">
        <v>45988</v>
      </c>
      <c r="G260" t="s">
        <v>39</v>
      </c>
      <c r="H260">
        <v>7518.7657046318081</v>
      </c>
      <c r="I260">
        <v>176</v>
      </c>
      <c r="J260" t="s">
        <v>18</v>
      </c>
      <c r="K260">
        <v>45989</v>
      </c>
      <c r="L260" t="s">
        <v>19</v>
      </c>
    </row>
    <row r="261" spans="1:12" x14ac:dyDescent="0.35">
      <c r="A261" t="s">
        <v>299</v>
      </c>
      <c r="B261">
        <v>36</v>
      </c>
      <c r="C261" t="s">
        <v>20</v>
      </c>
      <c r="D261" t="s">
        <v>34</v>
      </c>
      <c r="E261" t="s">
        <v>24</v>
      </c>
      <c r="F261">
        <v>45786</v>
      </c>
      <c r="G261" t="s">
        <v>36</v>
      </c>
      <c r="H261">
        <v>9400.3344645859161</v>
      </c>
      <c r="I261">
        <v>222</v>
      </c>
      <c r="J261" t="s">
        <v>18</v>
      </c>
      <c r="K261">
        <v>45790</v>
      </c>
      <c r="L261" t="s">
        <v>19</v>
      </c>
    </row>
    <row r="262" spans="1:12" x14ac:dyDescent="0.35">
      <c r="A262" t="s">
        <v>300</v>
      </c>
      <c r="B262">
        <v>30</v>
      </c>
      <c r="C262" t="s">
        <v>11</v>
      </c>
      <c r="D262" t="s">
        <v>34</v>
      </c>
      <c r="E262" t="s">
        <v>32</v>
      </c>
      <c r="F262">
        <v>45865</v>
      </c>
      <c r="G262" t="s">
        <v>39</v>
      </c>
      <c r="H262">
        <v>31270.684820988368</v>
      </c>
      <c r="I262">
        <v>458</v>
      </c>
      <c r="J262" t="s">
        <v>25</v>
      </c>
      <c r="K262">
        <v>45872</v>
      </c>
      <c r="L262" t="s">
        <v>27</v>
      </c>
    </row>
    <row r="263" spans="1:12" x14ac:dyDescent="0.35">
      <c r="A263" t="s">
        <v>301</v>
      </c>
      <c r="B263">
        <v>34</v>
      </c>
      <c r="C263" t="s">
        <v>20</v>
      </c>
      <c r="D263" t="s">
        <v>29</v>
      </c>
      <c r="E263" t="s">
        <v>13</v>
      </c>
      <c r="F263">
        <v>45714</v>
      </c>
      <c r="G263" t="s">
        <v>37</v>
      </c>
      <c r="H263">
        <v>38636.517201554103</v>
      </c>
      <c r="I263">
        <v>324</v>
      </c>
      <c r="J263" t="s">
        <v>25</v>
      </c>
      <c r="K263">
        <v>45721</v>
      </c>
      <c r="L263" t="s">
        <v>27</v>
      </c>
    </row>
    <row r="264" spans="1:12" x14ac:dyDescent="0.35">
      <c r="A264" t="s">
        <v>302</v>
      </c>
      <c r="B264">
        <v>53</v>
      </c>
      <c r="C264" t="s">
        <v>11</v>
      </c>
      <c r="D264" t="s">
        <v>12</v>
      </c>
      <c r="E264" t="s">
        <v>28</v>
      </c>
      <c r="F264">
        <v>45907</v>
      </c>
      <c r="G264" t="s">
        <v>39</v>
      </c>
      <c r="H264">
        <v>18221.30001628229</v>
      </c>
      <c r="I264">
        <v>116</v>
      </c>
      <c r="J264" t="s">
        <v>25</v>
      </c>
      <c r="K264">
        <v>45920</v>
      </c>
      <c r="L264" t="s">
        <v>15</v>
      </c>
    </row>
    <row r="265" spans="1:12" x14ac:dyDescent="0.35">
      <c r="A265" t="s">
        <v>303</v>
      </c>
      <c r="B265">
        <v>50</v>
      </c>
      <c r="C265" t="s">
        <v>20</v>
      </c>
      <c r="D265" t="s">
        <v>12</v>
      </c>
      <c r="E265" t="s">
        <v>32</v>
      </c>
      <c r="F265">
        <v>45728</v>
      </c>
      <c r="G265" t="s">
        <v>39</v>
      </c>
      <c r="H265">
        <v>49112.824113704017</v>
      </c>
      <c r="I265">
        <v>143</v>
      </c>
      <c r="J265" t="s">
        <v>25</v>
      </c>
      <c r="K265">
        <v>45740</v>
      </c>
      <c r="L265" t="s">
        <v>15</v>
      </c>
    </row>
    <row r="266" spans="1:12" x14ac:dyDescent="0.35">
      <c r="A266" t="s">
        <v>304</v>
      </c>
      <c r="B266">
        <v>37</v>
      </c>
      <c r="C266" t="s">
        <v>11</v>
      </c>
      <c r="D266" t="s">
        <v>16</v>
      </c>
      <c r="E266" t="s">
        <v>30</v>
      </c>
      <c r="F266">
        <v>45771</v>
      </c>
      <c r="G266" t="s">
        <v>37</v>
      </c>
      <c r="H266">
        <v>48615.662096945467</v>
      </c>
      <c r="I266">
        <v>154</v>
      </c>
      <c r="J266" t="s">
        <v>18</v>
      </c>
      <c r="K266">
        <v>45773</v>
      </c>
      <c r="L266" t="s">
        <v>15</v>
      </c>
    </row>
    <row r="267" spans="1:12" x14ac:dyDescent="0.35">
      <c r="A267" t="s">
        <v>305</v>
      </c>
      <c r="B267">
        <v>29</v>
      </c>
      <c r="C267" t="s">
        <v>20</v>
      </c>
      <c r="D267" t="s">
        <v>26</v>
      </c>
      <c r="E267" t="s">
        <v>17</v>
      </c>
      <c r="F267">
        <v>46019</v>
      </c>
      <c r="G267" t="s">
        <v>37</v>
      </c>
      <c r="H267">
        <v>6603.0979711016907</v>
      </c>
      <c r="I267">
        <v>495</v>
      </c>
      <c r="J267" t="s">
        <v>18</v>
      </c>
      <c r="K267">
        <v>46021</v>
      </c>
      <c r="L267" t="s">
        <v>15</v>
      </c>
    </row>
    <row r="268" spans="1:12" x14ac:dyDescent="0.35">
      <c r="A268" t="s">
        <v>306</v>
      </c>
      <c r="B268">
        <v>62</v>
      </c>
      <c r="C268" t="s">
        <v>11</v>
      </c>
      <c r="D268" t="s">
        <v>23</v>
      </c>
      <c r="E268" t="s">
        <v>24</v>
      </c>
      <c r="F268">
        <v>45745</v>
      </c>
      <c r="G268" t="s">
        <v>37</v>
      </c>
      <c r="H268">
        <v>37288.546771709742</v>
      </c>
      <c r="I268">
        <v>408</v>
      </c>
      <c r="J268" t="s">
        <v>18</v>
      </c>
      <c r="K268">
        <v>45757</v>
      </c>
      <c r="L268" t="s">
        <v>22</v>
      </c>
    </row>
    <row r="269" spans="1:12" x14ac:dyDescent="0.35">
      <c r="A269" t="s">
        <v>307</v>
      </c>
      <c r="B269">
        <v>25</v>
      </c>
      <c r="C269" t="s">
        <v>11</v>
      </c>
      <c r="D269" t="s">
        <v>26</v>
      </c>
      <c r="E269" t="s">
        <v>28</v>
      </c>
      <c r="F269">
        <v>45726</v>
      </c>
      <c r="G269" t="s">
        <v>36</v>
      </c>
      <c r="H269">
        <v>552.47113145317439</v>
      </c>
      <c r="I269">
        <v>173</v>
      </c>
      <c r="J269" t="s">
        <v>25</v>
      </c>
      <c r="K269">
        <v>45731</v>
      </c>
      <c r="L269" t="s">
        <v>15</v>
      </c>
    </row>
    <row r="270" spans="1:12" x14ac:dyDescent="0.35">
      <c r="A270" t="s">
        <v>308</v>
      </c>
      <c r="B270">
        <v>61</v>
      </c>
      <c r="C270" t="s">
        <v>11</v>
      </c>
      <c r="D270" t="s">
        <v>16</v>
      </c>
      <c r="E270" t="s">
        <v>13</v>
      </c>
      <c r="F270">
        <v>45947</v>
      </c>
      <c r="G270" t="s">
        <v>39</v>
      </c>
      <c r="H270">
        <v>4528.0775657350168</v>
      </c>
      <c r="I270">
        <v>494</v>
      </c>
      <c r="J270" t="s">
        <v>18</v>
      </c>
      <c r="K270">
        <v>45957</v>
      </c>
      <c r="L270" t="s">
        <v>15</v>
      </c>
    </row>
    <row r="271" spans="1:12" x14ac:dyDescent="0.35">
      <c r="A271" t="s">
        <v>309</v>
      </c>
      <c r="B271">
        <v>79</v>
      </c>
      <c r="C271" t="s">
        <v>11</v>
      </c>
      <c r="D271" t="s">
        <v>12</v>
      </c>
      <c r="E271" t="s">
        <v>32</v>
      </c>
      <c r="F271">
        <v>45665</v>
      </c>
      <c r="G271" t="s">
        <v>37</v>
      </c>
      <c r="H271">
        <v>37114.740802724838</v>
      </c>
      <c r="I271">
        <v>147</v>
      </c>
      <c r="J271" t="s">
        <v>18</v>
      </c>
      <c r="K271">
        <v>45666</v>
      </c>
      <c r="L271" t="s">
        <v>19</v>
      </c>
    </row>
    <row r="272" spans="1:12" x14ac:dyDescent="0.35">
      <c r="A272" t="s">
        <v>310</v>
      </c>
      <c r="B272">
        <v>28</v>
      </c>
      <c r="C272" t="s">
        <v>20</v>
      </c>
      <c r="D272" t="s">
        <v>16</v>
      </c>
      <c r="E272" t="s">
        <v>32</v>
      </c>
      <c r="F272">
        <v>45821</v>
      </c>
      <c r="G272" t="s">
        <v>36</v>
      </c>
      <c r="H272">
        <v>29452.243295981931</v>
      </c>
      <c r="I272">
        <v>208</v>
      </c>
      <c r="J272" t="s">
        <v>25</v>
      </c>
      <c r="K272">
        <v>45829</v>
      </c>
      <c r="L272" t="s">
        <v>22</v>
      </c>
    </row>
    <row r="273" spans="1:12" x14ac:dyDescent="0.35">
      <c r="A273" t="s">
        <v>311</v>
      </c>
      <c r="B273">
        <v>80</v>
      </c>
      <c r="C273" t="s">
        <v>20</v>
      </c>
      <c r="D273" t="s">
        <v>34</v>
      </c>
      <c r="E273" t="s">
        <v>24</v>
      </c>
      <c r="F273">
        <v>45791</v>
      </c>
      <c r="G273" t="s">
        <v>37</v>
      </c>
      <c r="H273">
        <v>45853.230988562733</v>
      </c>
      <c r="I273">
        <v>194</v>
      </c>
      <c r="J273" t="s">
        <v>18</v>
      </c>
      <c r="K273">
        <v>45792</v>
      </c>
      <c r="L273" t="s">
        <v>27</v>
      </c>
    </row>
    <row r="274" spans="1:12" x14ac:dyDescent="0.35">
      <c r="A274" t="s">
        <v>312</v>
      </c>
      <c r="B274">
        <v>22</v>
      </c>
      <c r="C274" t="s">
        <v>20</v>
      </c>
      <c r="D274" t="s">
        <v>23</v>
      </c>
      <c r="E274" t="s">
        <v>30</v>
      </c>
      <c r="F274">
        <v>46014</v>
      </c>
      <c r="G274" t="s">
        <v>37</v>
      </c>
      <c r="H274">
        <v>5798.3774833590096</v>
      </c>
      <c r="I274">
        <v>338</v>
      </c>
      <c r="J274" t="s">
        <v>25</v>
      </c>
      <c r="K274">
        <v>46016</v>
      </c>
      <c r="L274" t="s">
        <v>27</v>
      </c>
    </row>
    <row r="275" spans="1:12" x14ac:dyDescent="0.35">
      <c r="A275" t="s">
        <v>313</v>
      </c>
      <c r="B275">
        <v>75</v>
      </c>
      <c r="C275" t="s">
        <v>11</v>
      </c>
      <c r="D275" t="s">
        <v>12</v>
      </c>
      <c r="E275" t="s">
        <v>28</v>
      </c>
      <c r="F275">
        <v>45891</v>
      </c>
      <c r="G275" t="s">
        <v>39</v>
      </c>
      <c r="H275">
        <v>45898.334385357572</v>
      </c>
      <c r="I275">
        <v>464</v>
      </c>
      <c r="J275" t="s">
        <v>25</v>
      </c>
      <c r="K275">
        <v>45905</v>
      </c>
      <c r="L275" t="s">
        <v>19</v>
      </c>
    </row>
    <row r="276" spans="1:12" x14ac:dyDescent="0.35">
      <c r="A276" t="s">
        <v>314</v>
      </c>
      <c r="B276">
        <v>58</v>
      </c>
      <c r="C276" t="s">
        <v>20</v>
      </c>
      <c r="D276" t="s">
        <v>34</v>
      </c>
      <c r="E276" t="s">
        <v>17</v>
      </c>
      <c r="F276">
        <v>45817</v>
      </c>
      <c r="G276" t="s">
        <v>37</v>
      </c>
      <c r="H276">
        <v>44607.341294051468</v>
      </c>
      <c r="I276">
        <v>476</v>
      </c>
      <c r="J276" t="s">
        <v>25</v>
      </c>
      <c r="K276">
        <v>45818</v>
      </c>
      <c r="L276" t="s">
        <v>27</v>
      </c>
    </row>
    <row r="277" spans="1:12" x14ac:dyDescent="0.35">
      <c r="A277" t="s">
        <v>315</v>
      </c>
      <c r="B277">
        <v>42</v>
      </c>
      <c r="C277" t="s">
        <v>11</v>
      </c>
      <c r="D277" t="s">
        <v>33</v>
      </c>
      <c r="E277" t="s">
        <v>13</v>
      </c>
      <c r="F277">
        <v>45905</v>
      </c>
      <c r="G277" t="s">
        <v>36</v>
      </c>
      <c r="H277">
        <v>48639.30239751943</v>
      </c>
      <c r="I277">
        <v>141</v>
      </c>
      <c r="J277" t="s">
        <v>18</v>
      </c>
      <c r="K277">
        <v>45912</v>
      </c>
      <c r="L277" t="s">
        <v>22</v>
      </c>
    </row>
    <row r="278" spans="1:12" x14ac:dyDescent="0.35">
      <c r="A278" t="s">
        <v>316</v>
      </c>
      <c r="B278">
        <v>46</v>
      </c>
      <c r="C278" t="s">
        <v>20</v>
      </c>
      <c r="D278" t="s">
        <v>34</v>
      </c>
      <c r="E278" t="s">
        <v>28</v>
      </c>
      <c r="F278">
        <v>45678</v>
      </c>
      <c r="G278" t="s">
        <v>39</v>
      </c>
      <c r="H278">
        <v>17107.631339002721</v>
      </c>
      <c r="I278">
        <v>138</v>
      </c>
      <c r="J278" t="s">
        <v>18</v>
      </c>
      <c r="K278">
        <v>45687</v>
      </c>
      <c r="L278" t="s">
        <v>22</v>
      </c>
    </row>
    <row r="279" spans="1:12" x14ac:dyDescent="0.35">
      <c r="A279" t="s">
        <v>317</v>
      </c>
      <c r="B279">
        <v>65</v>
      </c>
      <c r="C279" t="s">
        <v>20</v>
      </c>
      <c r="D279" t="s">
        <v>33</v>
      </c>
      <c r="E279" t="s">
        <v>13</v>
      </c>
      <c r="F279">
        <v>45700</v>
      </c>
      <c r="G279" t="s">
        <v>37</v>
      </c>
      <c r="H279">
        <v>23435.933207455069</v>
      </c>
      <c r="I279">
        <v>325</v>
      </c>
      <c r="J279" t="s">
        <v>18</v>
      </c>
      <c r="K279">
        <v>45705</v>
      </c>
      <c r="L279" t="s">
        <v>15</v>
      </c>
    </row>
    <row r="280" spans="1:12" x14ac:dyDescent="0.35">
      <c r="A280" t="s">
        <v>318</v>
      </c>
      <c r="B280">
        <v>47</v>
      </c>
      <c r="C280" t="s">
        <v>11</v>
      </c>
      <c r="D280" t="s">
        <v>23</v>
      </c>
      <c r="E280" t="s">
        <v>28</v>
      </c>
      <c r="F280">
        <v>45974</v>
      </c>
      <c r="G280" t="s">
        <v>39</v>
      </c>
      <c r="H280">
        <v>38896.791016608622</v>
      </c>
      <c r="I280">
        <v>437</v>
      </c>
      <c r="J280" t="s">
        <v>18</v>
      </c>
      <c r="K280">
        <v>45987</v>
      </c>
      <c r="L280" t="s">
        <v>27</v>
      </c>
    </row>
    <row r="281" spans="1:12" x14ac:dyDescent="0.35">
      <c r="A281" t="s">
        <v>319</v>
      </c>
      <c r="B281">
        <v>66</v>
      </c>
      <c r="C281" t="s">
        <v>11</v>
      </c>
      <c r="D281" t="s">
        <v>21</v>
      </c>
      <c r="E281" t="s">
        <v>17</v>
      </c>
      <c r="F281">
        <v>45714</v>
      </c>
      <c r="G281" t="s">
        <v>37</v>
      </c>
      <c r="H281">
        <v>43001.222429068293</v>
      </c>
      <c r="I281">
        <v>231</v>
      </c>
      <c r="J281" t="s">
        <v>18</v>
      </c>
      <c r="K281">
        <v>45716</v>
      </c>
      <c r="L281" t="s">
        <v>15</v>
      </c>
    </row>
    <row r="282" spans="1:12" x14ac:dyDescent="0.35">
      <c r="A282" t="s">
        <v>320</v>
      </c>
      <c r="B282">
        <v>74</v>
      </c>
      <c r="C282" t="s">
        <v>20</v>
      </c>
      <c r="D282" t="s">
        <v>16</v>
      </c>
      <c r="E282" t="s">
        <v>30</v>
      </c>
      <c r="F282">
        <v>45901</v>
      </c>
      <c r="G282" t="s">
        <v>39</v>
      </c>
      <c r="H282">
        <v>43646.964459925191</v>
      </c>
      <c r="I282">
        <v>494</v>
      </c>
      <c r="J282" t="s">
        <v>18</v>
      </c>
      <c r="K282">
        <v>45902</v>
      </c>
      <c r="L282" t="s">
        <v>31</v>
      </c>
    </row>
    <row r="283" spans="1:12" x14ac:dyDescent="0.35">
      <c r="A283" t="s">
        <v>321</v>
      </c>
      <c r="B283">
        <v>85</v>
      </c>
      <c r="C283" t="s">
        <v>20</v>
      </c>
      <c r="D283" t="s">
        <v>34</v>
      </c>
      <c r="E283" t="s">
        <v>30</v>
      </c>
      <c r="F283">
        <v>45779</v>
      </c>
      <c r="G283" t="s">
        <v>37</v>
      </c>
      <c r="H283">
        <v>32784.881528278027</v>
      </c>
      <c r="I283">
        <v>192</v>
      </c>
      <c r="J283" t="s">
        <v>18</v>
      </c>
      <c r="K283">
        <v>45781</v>
      </c>
      <c r="L283" t="s">
        <v>31</v>
      </c>
    </row>
    <row r="284" spans="1:12" x14ac:dyDescent="0.35">
      <c r="A284" t="s">
        <v>322</v>
      </c>
      <c r="B284">
        <v>24</v>
      </c>
      <c r="C284" t="s">
        <v>11</v>
      </c>
      <c r="D284" t="s">
        <v>29</v>
      </c>
      <c r="E284" t="s">
        <v>28</v>
      </c>
      <c r="F284">
        <v>45774</v>
      </c>
      <c r="G284" t="s">
        <v>37</v>
      </c>
      <c r="H284">
        <v>47226.355718550709</v>
      </c>
      <c r="I284">
        <v>268</v>
      </c>
      <c r="J284" t="s">
        <v>25</v>
      </c>
      <c r="K284">
        <v>45776</v>
      </c>
      <c r="L284" t="s">
        <v>27</v>
      </c>
    </row>
    <row r="285" spans="1:12" x14ac:dyDescent="0.35">
      <c r="A285" t="s">
        <v>323</v>
      </c>
      <c r="B285">
        <v>19</v>
      </c>
      <c r="C285" t="s">
        <v>11</v>
      </c>
      <c r="D285" t="s">
        <v>33</v>
      </c>
      <c r="E285" t="s">
        <v>17</v>
      </c>
      <c r="F285">
        <v>45744</v>
      </c>
      <c r="G285" t="s">
        <v>36</v>
      </c>
      <c r="H285">
        <v>24251.869526322051</v>
      </c>
      <c r="I285">
        <v>170</v>
      </c>
      <c r="J285" t="s">
        <v>25</v>
      </c>
      <c r="K285">
        <v>45751</v>
      </c>
      <c r="L285" t="s">
        <v>31</v>
      </c>
    </row>
    <row r="286" spans="1:12" x14ac:dyDescent="0.35">
      <c r="A286" t="s">
        <v>324</v>
      </c>
      <c r="B286">
        <v>33</v>
      </c>
      <c r="C286" t="s">
        <v>11</v>
      </c>
      <c r="D286" t="s">
        <v>16</v>
      </c>
      <c r="E286" t="s">
        <v>30</v>
      </c>
      <c r="F286">
        <v>45917</v>
      </c>
      <c r="G286" t="s">
        <v>37</v>
      </c>
      <c r="H286">
        <v>6139.0386793870066</v>
      </c>
      <c r="I286">
        <v>199</v>
      </c>
      <c r="J286" t="s">
        <v>18</v>
      </c>
      <c r="K286">
        <v>45928</v>
      </c>
      <c r="L286" t="s">
        <v>27</v>
      </c>
    </row>
    <row r="287" spans="1:12" x14ac:dyDescent="0.35">
      <c r="A287" t="s">
        <v>325</v>
      </c>
      <c r="B287">
        <v>19</v>
      </c>
      <c r="C287" t="s">
        <v>11</v>
      </c>
      <c r="D287" t="s">
        <v>26</v>
      </c>
      <c r="E287" t="s">
        <v>30</v>
      </c>
      <c r="F287">
        <v>45995</v>
      </c>
      <c r="G287" t="s">
        <v>36</v>
      </c>
      <c r="H287">
        <v>2635.0093102148221</v>
      </c>
      <c r="I287">
        <v>236</v>
      </c>
      <c r="J287" t="s">
        <v>18</v>
      </c>
      <c r="K287">
        <v>46005</v>
      </c>
      <c r="L287" t="s">
        <v>27</v>
      </c>
    </row>
    <row r="288" spans="1:12" x14ac:dyDescent="0.35">
      <c r="A288" t="s">
        <v>326</v>
      </c>
      <c r="B288">
        <v>20</v>
      </c>
      <c r="C288" t="s">
        <v>20</v>
      </c>
      <c r="D288" t="s">
        <v>34</v>
      </c>
      <c r="E288" t="s">
        <v>17</v>
      </c>
      <c r="F288">
        <v>45659</v>
      </c>
      <c r="G288" t="s">
        <v>36</v>
      </c>
      <c r="H288">
        <v>11150.563686100681</v>
      </c>
      <c r="I288">
        <v>134</v>
      </c>
      <c r="J288" t="s">
        <v>18</v>
      </c>
      <c r="K288">
        <v>45660</v>
      </c>
      <c r="L288" t="s">
        <v>31</v>
      </c>
    </row>
    <row r="289" spans="1:12" x14ac:dyDescent="0.35">
      <c r="A289" t="s">
        <v>327</v>
      </c>
      <c r="B289">
        <v>84</v>
      </c>
      <c r="C289" t="s">
        <v>11</v>
      </c>
      <c r="D289" t="s">
        <v>21</v>
      </c>
      <c r="E289" t="s">
        <v>32</v>
      </c>
      <c r="F289">
        <v>45933</v>
      </c>
      <c r="G289" t="s">
        <v>39</v>
      </c>
      <c r="H289">
        <v>39776.67135155655</v>
      </c>
      <c r="I289">
        <v>194</v>
      </c>
      <c r="J289" t="s">
        <v>25</v>
      </c>
      <c r="K289">
        <v>45935</v>
      </c>
      <c r="L289" t="s">
        <v>15</v>
      </c>
    </row>
    <row r="290" spans="1:12" x14ac:dyDescent="0.35">
      <c r="A290" t="s">
        <v>328</v>
      </c>
      <c r="B290">
        <v>20</v>
      </c>
      <c r="C290" t="s">
        <v>11</v>
      </c>
      <c r="D290" t="s">
        <v>16</v>
      </c>
      <c r="E290" t="s">
        <v>30</v>
      </c>
      <c r="F290">
        <v>45665</v>
      </c>
      <c r="G290" t="s">
        <v>36</v>
      </c>
      <c r="H290">
        <v>38649.409857675171</v>
      </c>
      <c r="I290">
        <v>277</v>
      </c>
      <c r="J290" t="s">
        <v>25</v>
      </c>
      <c r="K290">
        <v>45667</v>
      </c>
      <c r="L290" t="s">
        <v>15</v>
      </c>
    </row>
    <row r="291" spans="1:12" x14ac:dyDescent="0.35">
      <c r="A291" t="s">
        <v>329</v>
      </c>
      <c r="B291">
        <v>82</v>
      </c>
      <c r="C291" t="s">
        <v>11</v>
      </c>
      <c r="D291" t="s">
        <v>23</v>
      </c>
      <c r="E291" t="s">
        <v>24</v>
      </c>
      <c r="F291">
        <v>45825</v>
      </c>
      <c r="G291" t="s">
        <v>37</v>
      </c>
      <c r="H291">
        <v>42135.895928237856</v>
      </c>
      <c r="I291">
        <v>370</v>
      </c>
      <c r="J291" t="s">
        <v>25</v>
      </c>
      <c r="K291">
        <v>45833</v>
      </c>
      <c r="L291" t="s">
        <v>19</v>
      </c>
    </row>
    <row r="292" spans="1:12" x14ac:dyDescent="0.35">
      <c r="A292" t="s">
        <v>330</v>
      </c>
      <c r="B292">
        <v>22</v>
      </c>
      <c r="C292" t="s">
        <v>20</v>
      </c>
      <c r="D292" t="s">
        <v>23</v>
      </c>
      <c r="E292" t="s">
        <v>28</v>
      </c>
      <c r="F292">
        <v>45718</v>
      </c>
      <c r="G292" t="s">
        <v>36</v>
      </c>
      <c r="H292">
        <v>25889.10014762872</v>
      </c>
      <c r="I292">
        <v>445</v>
      </c>
      <c r="J292" t="s">
        <v>25</v>
      </c>
      <c r="K292">
        <v>45728</v>
      </c>
      <c r="L292" t="s">
        <v>27</v>
      </c>
    </row>
    <row r="293" spans="1:12" x14ac:dyDescent="0.35">
      <c r="A293" t="s">
        <v>331</v>
      </c>
      <c r="B293">
        <v>68</v>
      </c>
      <c r="C293" t="s">
        <v>11</v>
      </c>
      <c r="D293" t="s">
        <v>16</v>
      </c>
      <c r="E293" t="s">
        <v>24</v>
      </c>
      <c r="F293">
        <v>45819</v>
      </c>
      <c r="G293" t="s">
        <v>37</v>
      </c>
      <c r="H293">
        <v>30988.775982701001</v>
      </c>
      <c r="I293">
        <v>146</v>
      </c>
      <c r="J293" t="s">
        <v>25</v>
      </c>
      <c r="K293">
        <v>45822</v>
      </c>
      <c r="L293" t="s">
        <v>27</v>
      </c>
    </row>
    <row r="294" spans="1:12" x14ac:dyDescent="0.35">
      <c r="A294" t="s">
        <v>332</v>
      </c>
      <c r="B294">
        <v>21</v>
      </c>
      <c r="C294" t="s">
        <v>11</v>
      </c>
      <c r="D294" t="s">
        <v>26</v>
      </c>
      <c r="E294" t="s">
        <v>17</v>
      </c>
      <c r="F294">
        <v>45945</v>
      </c>
      <c r="G294" t="s">
        <v>37</v>
      </c>
      <c r="H294">
        <v>32032.764032635019</v>
      </c>
      <c r="I294">
        <v>408</v>
      </c>
      <c r="J294" t="s">
        <v>18</v>
      </c>
      <c r="K294">
        <v>45958</v>
      </c>
      <c r="L294" t="s">
        <v>27</v>
      </c>
    </row>
    <row r="295" spans="1:12" x14ac:dyDescent="0.35">
      <c r="A295" t="s">
        <v>333</v>
      </c>
      <c r="B295">
        <v>52</v>
      </c>
      <c r="C295" t="s">
        <v>20</v>
      </c>
      <c r="D295" t="s">
        <v>34</v>
      </c>
      <c r="E295" t="s">
        <v>17</v>
      </c>
      <c r="F295">
        <v>45879</v>
      </c>
      <c r="G295" t="s">
        <v>39</v>
      </c>
      <c r="H295">
        <v>22695.732990980359</v>
      </c>
      <c r="I295">
        <v>404</v>
      </c>
      <c r="J295" t="s">
        <v>25</v>
      </c>
      <c r="K295">
        <v>45889</v>
      </c>
      <c r="L295" t="s">
        <v>19</v>
      </c>
    </row>
    <row r="296" spans="1:12" x14ac:dyDescent="0.35">
      <c r="A296" t="s">
        <v>334</v>
      </c>
      <c r="B296">
        <v>24</v>
      </c>
      <c r="C296" t="s">
        <v>20</v>
      </c>
      <c r="D296" t="s">
        <v>34</v>
      </c>
      <c r="E296" t="s">
        <v>28</v>
      </c>
      <c r="F296">
        <v>45694</v>
      </c>
      <c r="G296" t="s">
        <v>36</v>
      </c>
      <c r="H296">
        <v>14683.1068093924</v>
      </c>
      <c r="I296">
        <v>151</v>
      </c>
      <c r="J296" t="s">
        <v>25</v>
      </c>
      <c r="K296">
        <v>45698</v>
      </c>
      <c r="L296" t="s">
        <v>22</v>
      </c>
    </row>
    <row r="297" spans="1:12" x14ac:dyDescent="0.35">
      <c r="A297" t="s">
        <v>335</v>
      </c>
      <c r="B297">
        <v>55</v>
      </c>
      <c r="C297" t="s">
        <v>20</v>
      </c>
      <c r="D297" t="s">
        <v>12</v>
      </c>
      <c r="E297" t="s">
        <v>17</v>
      </c>
      <c r="F297">
        <v>45701</v>
      </c>
      <c r="G297" t="s">
        <v>39</v>
      </c>
      <c r="H297">
        <v>16663.221949700612</v>
      </c>
      <c r="I297">
        <v>399</v>
      </c>
      <c r="J297" t="s">
        <v>18</v>
      </c>
      <c r="K297">
        <v>45708</v>
      </c>
      <c r="L297" t="s">
        <v>19</v>
      </c>
    </row>
    <row r="298" spans="1:12" x14ac:dyDescent="0.35">
      <c r="A298" t="s">
        <v>336</v>
      </c>
      <c r="B298">
        <v>68</v>
      </c>
      <c r="C298" t="s">
        <v>11</v>
      </c>
      <c r="D298" t="s">
        <v>26</v>
      </c>
      <c r="E298" t="s">
        <v>32</v>
      </c>
      <c r="F298">
        <v>45886</v>
      </c>
      <c r="G298" t="s">
        <v>36</v>
      </c>
      <c r="H298">
        <v>29693.33339983421</v>
      </c>
      <c r="I298">
        <v>434</v>
      </c>
      <c r="J298" t="s">
        <v>18</v>
      </c>
      <c r="K298">
        <v>45888</v>
      </c>
      <c r="L298" t="s">
        <v>22</v>
      </c>
    </row>
    <row r="299" spans="1:12" x14ac:dyDescent="0.35">
      <c r="A299" t="s">
        <v>337</v>
      </c>
      <c r="B299">
        <v>41</v>
      </c>
      <c r="C299" t="s">
        <v>11</v>
      </c>
      <c r="D299" t="s">
        <v>16</v>
      </c>
      <c r="E299" t="s">
        <v>32</v>
      </c>
      <c r="F299">
        <v>45808</v>
      </c>
      <c r="G299" t="s">
        <v>37</v>
      </c>
      <c r="H299">
        <v>28436.20900544136</v>
      </c>
      <c r="I299">
        <v>443</v>
      </c>
      <c r="J299" t="s">
        <v>25</v>
      </c>
      <c r="K299">
        <v>45810</v>
      </c>
      <c r="L299" t="s">
        <v>27</v>
      </c>
    </row>
    <row r="300" spans="1:12" x14ac:dyDescent="0.35">
      <c r="A300" t="s">
        <v>338</v>
      </c>
      <c r="B300">
        <v>37</v>
      </c>
      <c r="C300" t="s">
        <v>20</v>
      </c>
      <c r="D300" t="s">
        <v>16</v>
      </c>
      <c r="E300" t="s">
        <v>13</v>
      </c>
      <c r="F300">
        <v>45962</v>
      </c>
      <c r="G300" t="s">
        <v>37</v>
      </c>
      <c r="H300">
        <v>37033.843591424084</v>
      </c>
      <c r="I300">
        <v>237</v>
      </c>
      <c r="J300" t="s">
        <v>18</v>
      </c>
      <c r="K300">
        <v>45975</v>
      </c>
      <c r="L300" t="s">
        <v>15</v>
      </c>
    </row>
    <row r="301" spans="1:12" x14ac:dyDescent="0.35">
      <c r="A301" t="s">
        <v>339</v>
      </c>
      <c r="B301">
        <v>61</v>
      </c>
      <c r="C301" t="s">
        <v>11</v>
      </c>
      <c r="D301" t="s">
        <v>29</v>
      </c>
      <c r="E301" t="s">
        <v>30</v>
      </c>
      <c r="F301">
        <v>45755</v>
      </c>
      <c r="G301" t="s">
        <v>39</v>
      </c>
      <c r="H301">
        <v>17054.481978924741</v>
      </c>
      <c r="I301">
        <v>124</v>
      </c>
      <c r="J301" t="s">
        <v>18</v>
      </c>
      <c r="K301">
        <v>45757</v>
      </c>
      <c r="L301" t="s">
        <v>15</v>
      </c>
    </row>
    <row r="302" spans="1:12" x14ac:dyDescent="0.35">
      <c r="A302" t="s">
        <v>340</v>
      </c>
      <c r="B302">
        <v>81</v>
      </c>
      <c r="C302" t="s">
        <v>20</v>
      </c>
      <c r="D302" t="s">
        <v>34</v>
      </c>
      <c r="E302" t="s">
        <v>24</v>
      </c>
      <c r="F302">
        <v>45809</v>
      </c>
      <c r="G302" t="s">
        <v>36</v>
      </c>
      <c r="H302">
        <v>29683.307513197211</v>
      </c>
      <c r="I302">
        <v>168</v>
      </c>
      <c r="J302" t="s">
        <v>25</v>
      </c>
      <c r="K302">
        <v>45820</v>
      </c>
      <c r="L302" t="s">
        <v>15</v>
      </c>
    </row>
    <row r="303" spans="1:12" x14ac:dyDescent="0.35">
      <c r="A303" t="s">
        <v>341</v>
      </c>
      <c r="B303">
        <v>58</v>
      </c>
      <c r="C303" t="s">
        <v>11</v>
      </c>
      <c r="D303" t="s">
        <v>33</v>
      </c>
      <c r="E303" t="s">
        <v>32</v>
      </c>
      <c r="F303">
        <v>45847</v>
      </c>
      <c r="G303" t="s">
        <v>39</v>
      </c>
      <c r="H303">
        <v>47340.747449676513</v>
      </c>
      <c r="I303">
        <v>455</v>
      </c>
      <c r="J303" t="s">
        <v>18</v>
      </c>
      <c r="K303">
        <v>45855</v>
      </c>
      <c r="L303" t="s">
        <v>31</v>
      </c>
    </row>
    <row r="304" spans="1:12" x14ac:dyDescent="0.35">
      <c r="A304" t="s">
        <v>342</v>
      </c>
      <c r="B304">
        <v>84</v>
      </c>
      <c r="C304" t="s">
        <v>20</v>
      </c>
      <c r="D304" t="s">
        <v>33</v>
      </c>
      <c r="E304" t="s">
        <v>17</v>
      </c>
      <c r="F304">
        <v>45754</v>
      </c>
      <c r="G304" t="s">
        <v>36</v>
      </c>
      <c r="H304">
        <v>27984.930289228181</v>
      </c>
      <c r="I304">
        <v>240</v>
      </c>
      <c r="J304" t="s">
        <v>25</v>
      </c>
      <c r="K304">
        <v>45756</v>
      </c>
      <c r="L304" t="s">
        <v>22</v>
      </c>
    </row>
    <row r="305" spans="1:12" x14ac:dyDescent="0.35">
      <c r="A305" t="s">
        <v>343</v>
      </c>
      <c r="B305">
        <v>23</v>
      </c>
      <c r="C305" t="s">
        <v>11</v>
      </c>
      <c r="D305" t="s">
        <v>33</v>
      </c>
      <c r="E305" t="s">
        <v>17</v>
      </c>
      <c r="F305">
        <v>45996</v>
      </c>
      <c r="G305" t="s">
        <v>37</v>
      </c>
      <c r="H305">
        <v>25686.523119858099</v>
      </c>
      <c r="I305">
        <v>271</v>
      </c>
      <c r="J305" t="s">
        <v>25</v>
      </c>
      <c r="K305">
        <v>46005</v>
      </c>
      <c r="L305" t="s">
        <v>15</v>
      </c>
    </row>
    <row r="306" spans="1:12" x14ac:dyDescent="0.35">
      <c r="A306" t="s">
        <v>344</v>
      </c>
      <c r="B306">
        <v>68</v>
      </c>
      <c r="C306" t="s">
        <v>20</v>
      </c>
      <c r="D306" t="s">
        <v>21</v>
      </c>
      <c r="E306" t="s">
        <v>28</v>
      </c>
      <c r="F306">
        <v>45977</v>
      </c>
      <c r="G306" t="s">
        <v>36</v>
      </c>
      <c r="H306">
        <v>19551.246225975388</v>
      </c>
      <c r="I306">
        <v>152</v>
      </c>
      <c r="J306" t="s">
        <v>25</v>
      </c>
      <c r="K306">
        <v>45986</v>
      </c>
      <c r="L306" t="s">
        <v>27</v>
      </c>
    </row>
    <row r="307" spans="1:12" x14ac:dyDescent="0.35">
      <c r="A307" t="s">
        <v>345</v>
      </c>
      <c r="B307">
        <v>55</v>
      </c>
      <c r="C307" t="s">
        <v>11</v>
      </c>
      <c r="D307" t="s">
        <v>12</v>
      </c>
      <c r="E307" t="s">
        <v>32</v>
      </c>
      <c r="F307">
        <v>46007</v>
      </c>
      <c r="G307" t="s">
        <v>36</v>
      </c>
      <c r="H307">
        <v>24975.924520232049</v>
      </c>
      <c r="I307">
        <v>499</v>
      </c>
      <c r="J307" t="s">
        <v>18</v>
      </c>
      <c r="K307">
        <v>46013</v>
      </c>
      <c r="L307" t="s">
        <v>31</v>
      </c>
    </row>
    <row r="308" spans="1:12" x14ac:dyDescent="0.35">
      <c r="A308" t="s">
        <v>346</v>
      </c>
      <c r="B308">
        <v>84</v>
      </c>
      <c r="C308" t="s">
        <v>11</v>
      </c>
      <c r="D308" t="s">
        <v>16</v>
      </c>
      <c r="E308" t="s">
        <v>24</v>
      </c>
      <c r="F308">
        <v>45772</v>
      </c>
      <c r="G308" t="s">
        <v>39</v>
      </c>
      <c r="H308">
        <v>4030.4499497178522</v>
      </c>
      <c r="I308">
        <v>161</v>
      </c>
      <c r="J308" t="s">
        <v>18</v>
      </c>
      <c r="K308">
        <v>45786</v>
      </c>
      <c r="L308" t="s">
        <v>19</v>
      </c>
    </row>
    <row r="309" spans="1:12" x14ac:dyDescent="0.35">
      <c r="A309" t="s">
        <v>347</v>
      </c>
      <c r="B309">
        <v>63</v>
      </c>
      <c r="C309" t="s">
        <v>11</v>
      </c>
      <c r="D309" t="s">
        <v>21</v>
      </c>
      <c r="E309" t="s">
        <v>24</v>
      </c>
      <c r="F309">
        <v>45766</v>
      </c>
      <c r="G309" t="s">
        <v>37</v>
      </c>
      <c r="H309">
        <v>31452.824927833492</v>
      </c>
      <c r="I309">
        <v>306</v>
      </c>
      <c r="J309" t="s">
        <v>25</v>
      </c>
      <c r="K309">
        <v>45778</v>
      </c>
      <c r="L309" t="s">
        <v>31</v>
      </c>
    </row>
    <row r="310" spans="1:12" x14ac:dyDescent="0.35">
      <c r="A310" t="s">
        <v>348</v>
      </c>
      <c r="B310">
        <v>44</v>
      </c>
      <c r="C310" t="s">
        <v>20</v>
      </c>
      <c r="D310" t="s">
        <v>34</v>
      </c>
      <c r="E310" t="s">
        <v>17</v>
      </c>
      <c r="F310">
        <v>45831</v>
      </c>
      <c r="G310" t="s">
        <v>37</v>
      </c>
      <c r="H310">
        <v>5805.9611122889837</v>
      </c>
      <c r="I310">
        <v>429</v>
      </c>
      <c r="J310" t="s">
        <v>18</v>
      </c>
      <c r="K310">
        <v>45832</v>
      </c>
      <c r="L310" t="s">
        <v>22</v>
      </c>
    </row>
    <row r="311" spans="1:12" x14ac:dyDescent="0.35">
      <c r="A311" t="s">
        <v>349</v>
      </c>
      <c r="B311">
        <v>76</v>
      </c>
      <c r="C311" t="s">
        <v>11</v>
      </c>
      <c r="D311" t="s">
        <v>23</v>
      </c>
      <c r="E311" t="s">
        <v>24</v>
      </c>
      <c r="F311">
        <v>45872</v>
      </c>
      <c r="G311" t="s">
        <v>37</v>
      </c>
      <c r="H311">
        <v>43107.023150004832</v>
      </c>
      <c r="I311">
        <v>471</v>
      </c>
      <c r="J311" t="s">
        <v>18</v>
      </c>
      <c r="K311">
        <v>45880</v>
      </c>
      <c r="L311" t="s">
        <v>15</v>
      </c>
    </row>
    <row r="312" spans="1:12" x14ac:dyDescent="0.35">
      <c r="A312" t="s">
        <v>350</v>
      </c>
      <c r="B312">
        <v>54</v>
      </c>
      <c r="C312" t="s">
        <v>11</v>
      </c>
      <c r="D312" t="s">
        <v>34</v>
      </c>
      <c r="E312" t="s">
        <v>13</v>
      </c>
      <c r="F312">
        <v>45952</v>
      </c>
      <c r="G312" t="s">
        <v>36</v>
      </c>
      <c r="H312">
        <v>11442.886155289751</v>
      </c>
      <c r="I312">
        <v>135</v>
      </c>
      <c r="J312" t="s">
        <v>25</v>
      </c>
      <c r="K312">
        <v>45963</v>
      </c>
      <c r="L312" t="s">
        <v>15</v>
      </c>
    </row>
    <row r="313" spans="1:12" x14ac:dyDescent="0.35">
      <c r="A313" t="s">
        <v>351</v>
      </c>
      <c r="B313">
        <v>43</v>
      </c>
      <c r="C313" t="s">
        <v>20</v>
      </c>
      <c r="D313" t="s">
        <v>34</v>
      </c>
      <c r="E313" t="s">
        <v>32</v>
      </c>
      <c r="F313">
        <v>45843</v>
      </c>
      <c r="G313" t="s">
        <v>37</v>
      </c>
      <c r="H313">
        <v>5918.0363643174678</v>
      </c>
      <c r="I313">
        <v>317</v>
      </c>
      <c r="J313" t="s">
        <v>25</v>
      </c>
      <c r="K313">
        <v>45847</v>
      </c>
      <c r="L313" t="s">
        <v>22</v>
      </c>
    </row>
    <row r="314" spans="1:12" x14ac:dyDescent="0.35">
      <c r="A314" t="s">
        <v>352</v>
      </c>
      <c r="B314">
        <v>26</v>
      </c>
      <c r="C314" t="s">
        <v>20</v>
      </c>
      <c r="D314" t="s">
        <v>16</v>
      </c>
      <c r="E314" t="s">
        <v>13</v>
      </c>
      <c r="F314">
        <v>45785</v>
      </c>
      <c r="G314" t="s">
        <v>37</v>
      </c>
      <c r="H314">
        <v>44165.503936088076</v>
      </c>
      <c r="I314">
        <v>303</v>
      </c>
      <c r="J314" t="s">
        <v>18</v>
      </c>
      <c r="K314">
        <v>45788</v>
      </c>
      <c r="L314" t="s">
        <v>27</v>
      </c>
    </row>
    <row r="315" spans="1:12" x14ac:dyDescent="0.35">
      <c r="A315" t="s">
        <v>353</v>
      </c>
      <c r="B315">
        <v>38</v>
      </c>
      <c r="C315" t="s">
        <v>11</v>
      </c>
      <c r="D315" t="s">
        <v>23</v>
      </c>
      <c r="E315" t="s">
        <v>32</v>
      </c>
      <c r="F315">
        <v>45818</v>
      </c>
      <c r="G315" t="s">
        <v>39</v>
      </c>
      <c r="H315">
        <v>12769.088463860269</v>
      </c>
      <c r="I315">
        <v>383</v>
      </c>
      <c r="J315" t="s">
        <v>25</v>
      </c>
      <c r="K315">
        <v>45822</v>
      </c>
      <c r="L315" t="s">
        <v>19</v>
      </c>
    </row>
    <row r="316" spans="1:12" x14ac:dyDescent="0.35">
      <c r="A316" t="s">
        <v>354</v>
      </c>
      <c r="B316">
        <v>82</v>
      </c>
      <c r="C316" t="s">
        <v>20</v>
      </c>
      <c r="D316" t="s">
        <v>21</v>
      </c>
      <c r="E316" t="s">
        <v>13</v>
      </c>
      <c r="F316">
        <v>45893</v>
      </c>
      <c r="G316" t="s">
        <v>37</v>
      </c>
      <c r="H316">
        <v>8506.4036580812717</v>
      </c>
      <c r="I316">
        <v>159</v>
      </c>
      <c r="J316" t="s">
        <v>25</v>
      </c>
      <c r="K316">
        <v>45904</v>
      </c>
      <c r="L316" t="s">
        <v>31</v>
      </c>
    </row>
    <row r="317" spans="1:12" x14ac:dyDescent="0.35">
      <c r="A317" t="s">
        <v>355</v>
      </c>
      <c r="B317">
        <v>84</v>
      </c>
      <c r="C317" t="s">
        <v>11</v>
      </c>
      <c r="D317" t="s">
        <v>23</v>
      </c>
      <c r="E317" t="s">
        <v>28</v>
      </c>
      <c r="F317">
        <v>45734</v>
      </c>
      <c r="G317" t="s">
        <v>36</v>
      </c>
      <c r="H317">
        <v>1754.178464631902</v>
      </c>
      <c r="I317">
        <v>293</v>
      </c>
      <c r="J317" t="s">
        <v>25</v>
      </c>
      <c r="K317">
        <v>45743</v>
      </c>
      <c r="L317" t="s">
        <v>15</v>
      </c>
    </row>
    <row r="318" spans="1:12" x14ac:dyDescent="0.35">
      <c r="A318" t="s">
        <v>356</v>
      </c>
      <c r="B318">
        <v>44</v>
      </c>
      <c r="C318" t="s">
        <v>20</v>
      </c>
      <c r="D318" t="s">
        <v>21</v>
      </c>
      <c r="E318" t="s">
        <v>24</v>
      </c>
      <c r="F318">
        <v>46015</v>
      </c>
      <c r="G318" t="s">
        <v>36</v>
      </c>
      <c r="H318">
        <v>31692.243956599152</v>
      </c>
      <c r="I318">
        <v>422</v>
      </c>
      <c r="J318" t="s">
        <v>18</v>
      </c>
      <c r="K318">
        <v>46019</v>
      </c>
      <c r="L318" t="s">
        <v>31</v>
      </c>
    </row>
    <row r="319" spans="1:12" x14ac:dyDescent="0.35">
      <c r="A319" t="s">
        <v>357</v>
      </c>
      <c r="B319">
        <v>51</v>
      </c>
      <c r="C319" t="s">
        <v>11</v>
      </c>
      <c r="D319" t="s">
        <v>23</v>
      </c>
      <c r="E319" t="s">
        <v>30</v>
      </c>
      <c r="F319">
        <v>45670</v>
      </c>
      <c r="G319" t="s">
        <v>39</v>
      </c>
      <c r="H319">
        <v>21438.06223106389</v>
      </c>
      <c r="I319">
        <v>139</v>
      </c>
      <c r="J319" t="s">
        <v>25</v>
      </c>
      <c r="K319">
        <v>45680</v>
      </c>
      <c r="L319" t="s">
        <v>15</v>
      </c>
    </row>
    <row r="320" spans="1:12" x14ac:dyDescent="0.35">
      <c r="A320" t="s">
        <v>358</v>
      </c>
      <c r="B320">
        <v>75</v>
      </c>
      <c r="C320" t="s">
        <v>11</v>
      </c>
      <c r="D320" t="s">
        <v>12</v>
      </c>
      <c r="E320" t="s">
        <v>32</v>
      </c>
      <c r="F320">
        <v>45799</v>
      </c>
      <c r="G320" t="s">
        <v>39</v>
      </c>
      <c r="H320">
        <v>2511.4796992707838</v>
      </c>
      <c r="I320">
        <v>104</v>
      </c>
      <c r="J320" t="s">
        <v>18</v>
      </c>
      <c r="K320">
        <v>45801</v>
      </c>
      <c r="L320" t="s">
        <v>27</v>
      </c>
    </row>
    <row r="321" spans="1:12" x14ac:dyDescent="0.35">
      <c r="A321" t="s">
        <v>359</v>
      </c>
      <c r="B321">
        <v>43</v>
      </c>
      <c r="C321" t="s">
        <v>20</v>
      </c>
      <c r="D321" t="s">
        <v>12</v>
      </c>
      <c r="E321" t="s">
        <v>13</v>
      </c>
      <c r="F321">
        <v>45867</v>
      </c>
      <c r="G321" t="s">
        <v>36</v>
      </c>
      <c r="H321">
        <v>40505.069077889289</v>
      </c>
      <c r="I321">
        <v>432</v>
      </c>
      <c r="J321" t="s">
        <v>18</v>
      </c>
      <c r="K321">
        <v>45869</v>
      </c>
      <c r="L321" t="s">
        <v>27</v>
      </c>
    </row>
    <row r="322" spans="1:12" x14ac:dyDescent="0.35">
      <c r="A322" t="s">
        <v>360</v>
      </c>
      <c r="B322">
        <v>45</v>
      </c>
      <c r="C322" t="s">
        <v>20</v>
      </c>
      <c r="D322" t="s">
        <v>16</v>
      </c>
      <c r="E322" t="s">
        <v>13</v>
      </c>
      <c r="F322">
        <v>45854</v>
      </c>
      <c r="G322" t="s">
        <v>36</v>
      </c>
      <c r="H322">
        <v>4767.9853310218896</v>
      </c>
      <c r="I322">
        <v>262</v>
      </c>
      <c r="J322" t="s">
        <v>25</v>
      </c>
      <c r="K322">
        <v>45861</v>
      </c>
      <c r="L322" t="s">
        <v>31</v>
      </c>
    </row>
    <row r="323" spans="1:12" x14ac:dyDescent="0.35">
      <c r="A323" t="s">
        <v>361</v>
      </c>
      <c r="B323">
        <v>20</v>
      </c>
      <c r="C323" t="s">
        <v>20</v>
      </c>
      <c r="D323" t="s">
        <v>23</v>
      </c>
      <c r="E323" t="s">
        <v>32</v>
      </c>
      <c r="F323">
        <v>45771</v>
      </c>
      <c r="G323" t="s">
        <v>37</v>
      </c>
      <c r="H323">
        <v>31694.778949560139</v>
      </c>
      <c r="I323">
        <v>399</v>
      </c>
      <c r="J323" t="s">
        <v>18</v>
      </c>
      <c r="K323">
        <v>45773</v>
      </c>
      <c r="L323" t="s">
        <v>27</v>
      </c>
    </row>
    <row r="324" spans="1:12" x14ac:dyDescent="0.35">
      <c r="A324" t="s">
        <v>362</v>
      </c>
      <c r="B324">
        <v>61</v>
      </c>
      <c r="C324" t="s">
        <v>11</v>
      </c>
      <c r="D324" t="s">
        <v>21</v>
      </c>
      <c r="E324" t="s">
        <v>17</v>
      </c>
      <c r="F324">
        <v>45832</v>
      </c>
      <c r="G324" t="s">
        <v>36</v>
      </c>
      <c r="H324">
        <v>769.95581761944209</v>
      </c>
      <c r="I324">
        <v>388</v>
      </c>
      <c r="J324" t="s">
        <v>25</v>
      </c>
      <c r="K324">
        <v>45842</v>
      </c>
      <c r="L324" t="s">
        <v>22</v>
      </c>
    </row>
    <row r="325" spans="1:12" x14ac:dyDescent="0.35">
      <c r="A325" t="s">
        <v>363</v>
      </c>
      <c r="B325">
        <v>63</v>
      </c>
      <c r="C325" t="s">
        <v>20</v>
      </c>
      <c r="D325" t="s">
        <v>12</v>
      </c>
      <c r="E325" t="s">
        <v>17</v>
      </c>
      <c r="F325">
        <v>45920</v>
      </c>
      <c r="G325" t="s">
        <v>37</v>
      </c>
      <c r="H325">
        <v>7078.1702306756988</v>
      </c>
      <c r="I325">
        <v>427</v>
      </c>
      <c r="J325" t="s">
        <v>18</v>
      </c>
      <c r="K325">
        <v>45926</v>
      </c>
      <c r="L325" t="s">
        <v>22</v>
      </c>
    </row>
    <row r="326" spans="1:12" x14ac:dyDescent="0.35">
      <c r="A326" t="s">
        <v>364</v>
      </c>
      <c r="B326">
        <v>84</v>
      </c>
      <c r="C326" t="s">
        <v>20</v>
      </c>
      <c r="D326" t="s">
        <v>33</v>
      </c>
      <c r="E326" t="s">
        <v>17</v>
      </c>
      <c r="F326">
        <v>45725</v>
      </c>
      <c r="G326" t="s">
        <v>36</v>
      </c>
      <c r="H326">
        <v>16631.1972326828</v>
      </c>
      <c r="I326">
        <v>484</v>
      </c>
      <c r="J326" t="s">
        <v>25</v>
      </c>
      <c r="K326">
        <v>45728</v>
      </c>
      <c r="L326" t="s">
        <v>31</v>
      </c>
    </row>
    <row r="327" spans="1:12" x14ac:dyDescent="0.35">
      <c r="A327" t="s">
        <v>365</v>
      </c>
      <c r="B327">
        <v>27</v>
      </c>
      <c r="C327" t="s">
        <v>11</v>
      </c>
      <c r="D327" t="s">
        <v>16</v>
      </c>
      <c r="E327" t="s">
        <v>13</v>
      </c>
      <c r="F327">
        <v>45829</v>
      </c>
      <c r="G327" t="s">
        <v>37</v>
      </c>
      <c r="H327">
        <v>39492.951406644701</v>
      </c>
      <c r="I327">
        <v>469</v>
      </c>
      <c r="J327" t="s">
        <v>25</v>
      </c>
      <c r="K327">
        <v>45838</v>
      </c>
      <c r="L327" t="s">
        <v>27</v>
      </c>
    </row>
    <row r="328" spans="1:12" x14ac:dyDescent="0.35">
      <c r="A328" t="s">
        <v>366</v>
      </c>
      <c r="B328">
        <v>35</v>
      </c>
      <c r="C328" t="s">
        <v>20</v>
      </c>
      <c r="D328" t="s">
        <v>16</v>
      </c>
      <c r="E328" t="s">
        <v>32</v>
      </c>
      <c r="F328">
        <v>45985</v>
      </c>
      <c r="G328" t="s">
        <v>37</v>
      </c>
      <c r="H328">
        <v>44400.354792576378</v>
      </c>
      <c r="I328">
        <v>153</v>
      </c>
      <c r="J328" t="s">
        <v>25</v>
      </c>
      <c r="K328">
        <v>45986</v>
      </c>
      <c r="L328" t="s">
        <v>19</v>
      </c>
    </row>
    <row r="329" spans="1:12" x14ac:dyDescent="0.35">
      <c r="A329" t="s">
        <v>367</v>
      </c>
      <c r="B329">
        <v>45</v>
      </c>
      <c r="C329" t="s">
        <v>20</v>
      </c>
      <c r="D329" t="s">
        <v>23</v>
      </c>
      <c r="E329" t="s">
        <v>28</v>
      </c>
      <c r="F329">
        <v>45671</v>
      </c>
      <c r="G329" t="s">
        <v>36</v>
      </c>
      <c r="H329">
        <v>39855.08428787921</v>
      </c>
      <c r="I329">
        <v>131</v>
      </c>
      <c r="J329" t="s">
        <v>18</v>
      </c>
      <c r="K329">
        <v>45683</v>
      </c>
      <c r="L329" t="s">
        <v>15</v>
      </c>
    </row>
    <row r="330" spans="1:12" x14ac:dyDescent="0.35">
      <c r="A330" t="s">
        <v>368</v>
      </c>
      <c r="B330">
        <v>20</v>
      </c>
      <c r="C330" t="s">
        <v>20</v>
      </c>
      <c r="D330" t="s">
        <v>16</v>
      </c>
      <c r="E330" t="s">
        <v>17</v>
      </c>
      <c r="F330">
        <v>45952</v>
      </c>
      <c r="G330" t="s">
        <v>36</v>
      </c>
      <c r="H330">
        <v>21597.760192668731</v>
      </c>
      <c r="I330">
        <v>373</v>
      </c>
      <c r="J330" t="s">
        <v>18</v>
      </c>
      <c r="K330">
        <v>45954</v>
      </c>
      <c r="L330" t="s">
        <v>27</v>
      </c>
    </row>
    <row r="331" spans="1:12" x14ac:dyDescent="0.35">
      <c r="A331" t="s">
        <v>369</v>
      </c>
      <c r="B331">
        <v>64</v>
      </c>
      <c r="C331" t="s">
        <v>11</v>
      </c>
      <c r="D331" t="s">
        <v>34</v>
      </c>
      <c r="E331" t="s">
        <v>17</v>
      </c>
      <c r="F331">
        <v>45689</v>
      </c>
      <c r="G331" t="s">
        <v>39</v>
      </c>
      <c r="H331">
        <v>29951.073732757039</v>
      </c>
      <c r="I331">
        <v>464</v>
      </c>
      <c r="J331" t="s">
        <v>25</v>
      </c>
      <c r="K331">
        <v>45690</v>
      </c>
      <c r="L331" t="s">
        <v>31</v>
      </c>
    </row>
    <row r="332" spans="1:12" x14ac:dyDescent="0.35">
      <c r="A332" t="s">
        <v>370</v>
      </c>
      <c r="B332">
        <v>52</v>
      </c>
      <c r="C332" t="s">
        <v>20</v>
      </c>
      <c r="D332" t="s">
        <v>34</v>
      </c>
      <c r="E332" t="s">
        <v>17</v>
      </c>
      <c r="F332">
        <v>45924</v>
      </c>
      <c r="G332" t="s">
        <v>36</v>
      </c>
      <c r="H332">
        <v>29923.569658216002</v>
      </c>
      <c r="I332">
        <v>114</v>
      </c>
      <c r="J332" t="s">
        <v>18</v>
      </c>
      <c r="K332">
        <v>45936</v>
      </c>
      <c r="L332" t="s">
        <v>15</v>
      </c>
    </row>
    <row r="333" spans="1:12" x14ac:dyDescent="0.35">
      <c r="A333" t="s">
        <v>371</v>
      </c>
      <c r="B333">
        <v>19</v>
      </c>
      <c r="C333" t="s">
        <v>11</v>
      </c>
      <c r="D333" t="s">
        <v>33</v>
      </c>
      <c r="E333" t="s">
        <v>28</v>
      </c>
      <c r="F333">
        <v>45737</v>
      </c>
      <c r="G333" t="s">
        <v>36</v>
      </c>
      <c r="H333">
        <v>8086.9417503208579</v>
      </c>
      <c r="I333">
        <v>241</v>
      </c>
      <c r="J333" t="s">
        <v>18</v>
      </c>
      <c r="K333">
        <v>45746</v>
      </c>
      <c r="L333" t="s">
        <v>19</v>
      </c>
    </row>
    <row r="334" spans="1:12" x14ac:dyDescent="0.35">
      <c r="A334" t="s">
        <v>372</v>
      </c>
      <c r="B334">
        <v>35</v>
      </c>
      <c r="C334" t="s">
        <v>20</v>
      </c>
      <c r="D334" t="s">
        <v>33</v>
      </c>
      <c r="E334" t="s">
        <v>28</v>
      </c>
      <c r="F334">
        <v>45985</v>
      </c>
      <c r="G334" t="s">
        <v>39</v>
      </c>
      <c r="H334">
        <v>25522.535459205312</v>
      </c>
      <c r="I334">
        <v>489</v>
      </c>
      <c r="J334" t="s">
        <v>18</v>
      </c>
      <c r="K334">
        <v>45999</v>
      </c>
      <c r="L334" t="s">
        <v>15</v>
      </c>
    </row>
    <row r="335" spans="1:12" x14ac:dyDescent="0.35">
      <c r="A335" t="s">
        <v>373</v>
      </c>
      <c r="B335">
        <v>34</v>
      </c>
      <c r="C335" t="s">
        <v>11</v>
      </c>
      <c r="D335" t="s">
        <v>12</v>
      </c>
      <c r="E335" t="s">
        <v>28</v>
      </c>
      <c r="F335">
        <v>45690</v>
      </c>
      <c r="G335" t="s">
        <v>39</v>
      </c>
      <c r="H335">
        <v>46504.061232192696</v>
      </c>
      <c r="I335">
        <v>433</v>
      </c>
      <c r="J335" t="s">
        <v>18</v>
      </c>
      <c r="K335">
        <v>45693</v>
      </c>
      <c r="L335" t="s">
        <v>19</v>
      </c>
    </row>
    <row r="336" spans="1:12" x14ac:dyDescent="0.35">
      <c r="A336" t="s">
        <v>374</v>
      </c>
      <c r="B336">
        <v>27</v>
      </c>
      <c r="C336" t="s">
        <v>20</v>
      </c>
      <c r="D336" t="s">
        <v>29</v>
      </c>
      <c r="E336" t="s">
        <v>17</v>
      </c>
      <c r="F336">
        <v>45710</v>
      </c>
      <c r="G336" t="s">
        <v>36</v>
      </c>
      <c r="H336">
        <v>49639.909413597517</v>
      </c>
      <c r="I336">
        <v>463</v>
      </c>
      <c r="J336" t="s">
        <v>18</v>
      </c>
      <c r="K336">
        <v>45714</v>
      </c>
      <c r="L336" t="s">
        <v>31</v>
      </c>
    </row>
    <row r="337" spans="1:12" x14ac:dyDescent="0.35">
      <c r="A337" t="s">
        <v>375</v>
      </c>
      <c r="B337">
        <v>18</v>
      </c>
      <c r="C337" t="s">
        <v>20</v>
      </c>
      <c r="D337" t="s">
        <v>16</v>
      </c>
      <c r="E337" t="s">
        <v>30</v>
      </c>
      <c r="F337">
        <v>45780</v>
      </c>
      <c r="G337" t="s">
        <v>37</v>
      </c>
      <c r="H337">
        <v>43940.01006249799</v>
      </c>
      <c r="I337">
        <v>152</v>
      </c>
      <c r="J337" t="s">
        <v>25</v>
      </c>
      <c r="K337">
        <v>45787</v>
      </c>
      <c r="L337" t="s">
        <v>22</v>
      </c>
    </row>
    <row r="338" spans="1:12" x14ac:dyDescent="0.35">
      <c r="A338" t="s">
        <v>376</v>
      </c>
      <c r="B338">
        <v>18</v>
      </c>
      <c r="C338" t="s">
        <v>20</v>
      </c>
      <c r="D338" t="s">
        <v>23</v>
      </c>
      <c r="E338" t="s">
        <v>24</v>
      </c>
      <c r="F338">
        <v>45818</v>
      </c>
      <c r="G338" t="s">
        <v>37</v>
      </c>
      <c r="H338">
        <v>34182.82490374583</v>
      </c>
      <c r="I338">
        <v>439</v>
      </c>
      <c r="J338" t="s">
        <v>25</v>
      </c>
      <c r="K338">
        <v>45830</v>
      </c>
      <c r="L338" t="s">
        <v>27</v>
      </c>
    </row>
    <row r="339" spans="1:12" x14ac:dyDescent="0.35">
      <c r="A339" t="s">
        <v>377</v>
      </c>
      <c r="B339">
        <v>48</v>
      </c>
      <c r="C339" t="s">
        <v>20</v>
      </c>
      <c r="D339" t="s">
        <v>34</v>
      </c>
      <c r="E339" t="s">
        <v>13</v>
      </c>
      <c r="F339">
        <v>45946</v>
      </c>
      <c r="G339" t="s">
        <v>39</v>
      </c>
      <c r="H339">
        <v>30041.244969777879</v>
      </c>
      <c r="I339">
        <v>286</v>
      </c>
      <c r="J339" t="s">
        <v>25</v>
      </c>
      <c r="K339">
        <v>45958</v>
      </c>
      <c r="L339" t="s">
        <v>15</v>
      </c>
    </row>
    <row r="340" spans="1:12" x14ac:dyDescent="0.35">
      <c r="A340" t="s">
        <v>378</v>
      </c>
      <c r="B340">
        <v>49</v>
      </c>
      <c r="C340" t="s">
        <v>20</v>
      </c>
      <c r="D340" t="s">
        <v>23</v>
      </c>
      <c r="E340" t="s">
        <v>32</v>
      </c>
      <c r="F340">
        <v>45818</v>
      </c>
      <c r="G340" t="s">
        <v>37</v>
      </c>
      <c r="H340">
        <v>12095.1000871658</v>
      </c>
      <c r="I340">
        <v>103</v>
      </c>
      <c r="J340" t="s">
        <v>18</v>
      </c>
      <c r="K340">
        <v>45828</v>
      </c>
      <c r="L340" t="s">
        <v>27</v>
      </c>
    </row>
    <row r="341" spans="1:12" x14ac:dyDescent="0.35">
      <c r="A341" t="s">
        <v>379</v>
      </c>
      <c r="B341">
        <v>29</v>
      </c>
      <c r="C341" t="s">
        <v>11</v>
      </c>
      <c r="D341" t="s">
        <v>16</v>
      </c>
      <c r="E341" t="s">
        <v>30</v>
      </c>
      <c r="F341">
        <v>45680</v>
      </c>
      <c r="G341" t="s">
        <v>37</v>
      </c>
      <c r="H341">
        <v>31930.467192794211</v>
      </c>
      <c r="I341">
        <v>103</v>
      </c>
      <c r="J341" t="s">
        <v>18</v>
      </c>
      <c r="K341">
        <v>45688</v>
      </c>
      <c r="L341" t="s">
        <v>31</v>
      </c>
    </row>
    <row r="342" spans="1:12" x14ac:dyDescent="0.35">
      <c r="A342" t="s">
        <v>380</v>
      </c>
      <c r="B342">
        <v>61</v>
      </c>
      <c r="C342" t="s">
        <v>20</v>
      </c>
      <c r="D342" t="s">
        <v>26</v>
      </c>
      <c r="E342" t="s">
        <v>13</v>
      </c>
      <c r="F342">
        <v>45791</v>
      </c>
      <c r="G342" t="s">
        <v>39</v>
      </c>
      <c r="H342">
        <v>36841.283471282921</v>
      </c>
      <c r="I342">
        <v>394</v>
      </c>
      <c r="J342" t="s">
        <v>18</v>
      </c>
      <c r="K342">
        <v>45796</v>
      </c>
      <c r="L342" t="s">
        <v>31</v>
      </c>
    </row>
    <row r="343" spans="1:12" x14ac:dyDescent="0.35">
      <c r="A343" t="s">
        <v>381</v>
      </c>
      <c r="B343">
        <v>67</v>
      </c>
      <c r="C343" t="s">
        <v>20</v>
      </c>
      <c r="D343" t="s">
        <v>34</v>
      </c>
      <c r="E343" t="s">
        <v>24</v>
      </c>
      <c r="F343">
        <v>45786</v>
      </c>
      <c r="G343" t="s">
        <v>36</v>
      </c>
      <c r="H343">
        <v>50992.175655011699</v>
      </c>
      <c r="I343">
        <v>127</v>
      </c>
      <c r="J343" t="s">
        <v>18</v>
      </c>
      <c r="K343">
        <v>45798</v>
      </c>
      <c r="L343" t="s">
        <v>22</v>
      </c>
    </row>
    <row r="344" spans="1:12" x14ac:dyDescent="0.35">
      <c r="A344" t="s">
        <v>382</v>
      </c>
      <c r="B344">
        <v>53</v>
      </c>
      <c r="C344" t="s">
        <v>20</v>
      </c>
      <c r="D344" t="s">
        <v>12</v>
      </c>
      <c r="E344" t="s">
        <v>32</v>
      </c>
      <c r="F344">
        <v>45898</v>
      </c>
      <c r="G344" t="s">
        <v>37</v>
      </c>
      <c r="H344">
        <v>11148.96495819823</v>
      </c>
      <c r="I344">
        <v>202</v>
      </c>
      <c r="J344" t="s">
        <v>25</v>
      </c>
      <c r="K344">
        <v>45902</v>
      </c>
      <c r="L344" t="s">
        <v>31</v>
      </c>
    </row>
    <row r="345" spans="1:12" x14ac:dyDescent="0.35">
      <c r="A345" t="s">
        <v>383</v>
      </c>
      <c r="B345">
        <v>32</v>
      </c>
      <c r="C345" t="s">
        <v>11</v>
      </c>
      <c r="D345" t="s">
        <v>16</v>
      </c>
      <c r="E345" t="s">
        <v>17</v>
      </c>
      <c r="F345">
        <v>45838</v>
      </c>
      <c r="G345" t="s">
        <v>37</v>
      </c>
      <c r="H345">
        <v>32694.2296149223</v>
      </c>
      <c r="I345">
        <v>485</v>
      </c>
      <c r="J345" t="s">
        <v>25</v>
      </c>
      <c r="K345">
        <v>45847</v>
      </c>
      <c r="L345" t="s">
        <v>19</v>
      </c>
    </row>
    <row r="346" spans="1:12" x14ac:dyDescent="0.35">
      <c r="A346" t="s">
        <v>384</v>
      </c>
      <c r="B346">
        <v>19</v>
      </c>
      <c r="C346" t="s">
        <v>20</v>
      </c>
      <c r="D346" t="s">
        <v>21</v>
      </c>
      <c r="E346" t="s">
        <v>24</v>
      </c>
      <c r="F346">
        <v>45951</v>
      </c>
      <c r="G346" t="s">
        <v>39</v>
      </c>
      <c r="H346">
        <v>31591.867102285629</v>
      </c>
      <c r="I346">
        <v>185</v>
      </c>
      <c r="J346" t="s">
        <v>18</v>
      </c>
      <c r="K346">
        <v>45965</v>
      </c>
      <c r="L346" t="s">
        <v>22</v>
      </c>
    </row>
    <row r="347" spans="1:12" x14ac:dyDescent="0.35">
      <c r="A347" t="s">
        <v>385</v>
      </c>
      <c r="B347">
        <v>58</v>
      </c>
      <c r="C347" t="s">
        <v>11</v>
      </c>
      <c r="D347" t="s">
        <v>21</v>
      </c>
      <c r="E347" t="s">
        <v>17</v>
      </c>
      <c r="F347">
        <v>45724</v>
      </c>
      <c r="G347" t="s">
        <v>37</v>
      </c>
      <c r="H347">
        <v>29837.638823315221</v>
      </c>
      <c r="I347">
        <v>295</v>
      </c>
      <c r="J347" t="s">
        <v>25</v>
      </c>
      <c r="K347">
        <v>45733</v>
      </c>
      <c r="L347" t="s">
        <v>19</v>
      </c>
    </row>
    <row r="348" spans="1:12" x14ac:dyDescent="0.35">
      <c r="A348" t="s">
        <v>386</v>
      </c>
      <c r="B348">
        <v>32</v>
      </c>
      <c r="C348" t="s">
        <v>11</v>
      </c>
      <c r="D348" t="s">
        <v>12</v>
      </c>
      <c r="E348" t="s">
        <v>28</v>
      </c>
      <c r="F348">
        <v>45841</v>
      </c>
      <c r="G348" t="s">
        <v>36</v>
      </c>
      <c r="H348">
        <v>42801.228007707847</v>
      </c>
      <c r="I348">
        <v>353</v>
      </c>
      <c r="J348" t="s">
        <v>25</v>
      </c>
      <c r="K348">
        <v>45846</v>
      </c>
      <c r="L348" t="s">
        <v>27</v>
      </c>
    </row>
    <row r="349" spans="1:12" x14ac:dyDescent="0.35">
      <c r="A349" t="s">
        <v>387</v>
      </c>
      <c r="B349">
        <v>62</v>
      </c>
      <c r="C349" t="s">
        <v>20</v>
      </c>
      <c r="D349" t="s">
        <v>34</v>
      </c>
      <c r="E349" t="s">
        <v>28</v>
      </c>
      <c r="F349">
        <v>45899</v>
      </c>
      <c r="G349" t="s">
        <v>36</v>
      </c>
      <c r="H349">
        <v>34798.711807462583</v>
      </c>
      <c r="I349">
        <v>239</v>
      </c>
      <c r="J349" t="s">
        <v>18</v>
      </c>
      <c r="K349">
        <v>45902</v>
      </c>
      <c r="L349" t="s">
        <v>19</v>
      </c>
    </row>
    <row r="350" spans="1:12" x14ac:dyDescent="0.35">
      <c r="A350" t="s">
        <v>388</v>
      </c>
      <c r="B350">
        <v>68</v>
      </c>
      <c r="C350" t="s">
        <v>20</v>
      </c>
      <c r="D350" t="s">
        <v>23</v>
      </c>
      <c r="E350" t="s">
        <v>32</v>
      </c>
      <c r="F350">
        <v>45912</v>
      </c>
      <c r="G350" t="s">
        <v>36</v>
      </c>
      <c r="H350">
        <v>30141.61805318034</v>
      </c>
      <c r="I350">
        <v>375</v>
      </c>
      <c r="J350" t="s">
        <v>18</v>
      </c>
      <c r="K350">
        <v>45917</v>
      </c>
      <c r="L350" t="s">
        <v>19</v>
      </c>
    </row>
    <row r="351" spans="1:12" x14ac:dyDescent="0.35">
      <c r="A351" t="s">
        <v>389</v>
      </c>
      <c r="B351">
        <v>80</v>
      </c>
      <c r="C351" t="s">
        <v>20</v>
      </c>
      <c r="D351" t="s">
        <v>34</v>
      </c>
      <c r="E351" t="s">
        <v>24</v>
      </c>
      <c r="F351">
        <v>45972</v>
      </c>
      <c r="G351" t="s">
        <v>39</v>
      </c>
      <c r="H351">
        <v>19452.84147472358</v>
      </c>
      <c r="I351">
        <v>406</v>
      </c>
      <c r="J351" t="s">
        <v>25</v>
      </c>
      <c r="K351">
        <v>45974</v>
      </c>
      <c r="L351" t="s">
        <v>19</v>
      </c>
    </row>
    <row r="352" spans="1:12" x14ac:dyDescent="0.35">
      <c r="A352" t="s">
        <v>390</v>
      </c>
      <c r="B352">
        <v>18</v>
      </c>
      <c r="C352" t="s">
        <v>20</v>
      </c>
      <c r="D352" t="s">
        <v>12</v>
      </c>
      <c r="E352" t="s">
        <v>32</v>
      </c>
      <c r="F352">
        <v>45731</v>
      </c>
      <c r="G352" t="s">
        <v>39</v>
      </c>
      <c r="H352">
        <v>17738.628627940299</v>
      </c>
      <c r="I352">
        <v>176</v>
      </c>
      <c r="J352" t="s">
        <v>25</v>
      </c>
      <c r="K352">
        <v>45737</v>
      </c>
      <c r="L352" t="s">
        <v>19</v>
      </c>
    </row>
    <row r="353" spans="1:12" x14ac:dyDescent="0.35">
      <c r="A353" t="s">
        <v>391</v>
      </c>
      <c r="B353">
        <v>48</v>
      </c>
      <c r="C353" t="s">
        <v>20</v>
      </c>
      <c r="D353" t="s">
        <v>12</v>
      </c>
      <c r="E353" t="s">
        <v>24</v>
      </c>
      <c r="F353">
        <v>45774</v>
      </c>
      <c r="G353" t="s">
        <v>39</v>
      </c>
      <c r="H353">
        <v>35155.63656253308</v>
      </c>
      <c r="I353">
        <v>140</v>
      </c>
      <c r="J353" t="s">
        <v>25</v>
      </c>
      <c r="K353">
        <v>45788</v>
      </c>
      <c r="L353" t="s">
        <v>15</v>
      </c>
    </row>
    <row r="354" spans="1:12" x14ac:dyDescent="0.35">
      <c r="A354" t="s">
        <v>392</v>
      </c>
      <c r="B354">
        <v>65</v>
      </c>
      <c r="C354" t="s">
        <v>20</v>
      </c>
      <c r="D354" t="s">
        <v>16</v>
      </c>
      <c r="E354" t="s">
        <v>32</v>
      </c>
      <c r="F354">
        <v>45827</v>
      </c>
      <c r="G354" t="s">
        <v>37</v>
      </c>
      <c r="H354">
        <v>41110.215340288392</v>
      </c>
      <c r="I354">
        <v>486</v>
      </c>
      <c r="J354" t="s">
        <v>25</v>
      </c>
      <c r="K354">
        <v>45839</v>
      </c>
      <c r="L354" t="s">
        <v>19</v>
      </c>
    </row>
    <row r="355" spans="1:12" x14ac:dyDescent="0.35">
      <c r="A355" t="s">
        <v>393</v>
      </c>
      <c r="B355">
        <v>34</v>
      </c>
      <c r="C355" t="s">
        <v>11</v>
      </c>
      <c r="D355" t="s">
        <v>23</v>
      </c>
      <c r="E355" t="s">
        <v>28</v>
      </c>
      <c r="F355">
        <v>45801</v>
      </c>
      <c r="G355" t="s">
        <v>39</v>
      </c>
      <c r="H355">
        <v>19017.87666199392</v>
      </c>
      <c r="I355">
        <v>233</v>
      </c>
      <c r="J355" t="s">
        <v>25</v>
      </c>
      <c r="K355">
        <v>45809</v>
      </c>
      <c r="L355" t="s">
        <v>22</v>
      </c>
    </row>
    <row r="356" spans="1:12" x14ac:dyDescent="0.35">
      <c r="A356" t="s">
        <v>394</v>
      </c>
      <c r="B356">
        <v>38</v>
      </c>
      <c r="C356" t="s">
        <v>20</v>
      </c>
      <c r="D356" t="s">
        <v>34</v>
      </c>
      <c r="E356" t="s">
        <v>28</v>
      </c>
      <c r="F356">
        <v>45902</v>
      </c>
      <c r="G356" t="s">
        <v>37</v>
      </c>
      <c r="H356">
        <v>33375.115177997301</v>
      </c>
      <c r="I356">
        <v>444</v>
      </c>
      <c r="J356" t="s">
        <v>25</v>
      </c>
      <c r="K356">
        <v>45916</v>
      </c>
      <c r="L356" t="s">
        <v>31</v>
      </c>
    </row>
    <row r="357" spans="1:12" x14ac:dyDescent="0.35">
      <c r="A357" t="s">
        <v>395</v>
      </c>
      <c r="B357">
        <v>81</v>
      </c>
      <c r="C357" t="s">
        <v>20</v>
      </c>
      <c r="D357" t="s">
        <v>23</v>
      </c>
      <c r="E357" t="s">
        <v>28</v>
      </c>
      <c r="F357">
        <v>45877</v>
      </c>
      <c r="G357" t="s">
        <v>36</v>
      </c>
      <c r="H357">
        <v>23956.517200305771</v>
      </c>
      <c r="I357">
        <v>371</v>
      </c>
      <c r="J357" t="s">
        <v>25</v>
      </c>
      <c r="K357">
        <v>45878</v>
      </c>
      <c r="L357" t="s">
        <v>22</v>
      </c>
    </row>
    <row r="358" spans="1:12" x14ac:dyDescent="0.35">
      <c r="A358" t="s">
        <v>396</v>
      </c>
      <c r="B358">
        <v>79</v>
      </c>
      <c r="C358" t="s">
        <v>11</v>
      </c>
      <c r="D358" t="s">
        <v>21</v>
      </c>
      <c r="E358" t="s">
        <v>24</v>
      </c>
      <c r="F358">
        <v>45666</v>
      </c>
      <c r="G358" t="s">
        <v>36</v>
      </c>
      <c r="H358">
        <v>34516.088462945518</v>
      </c>
      <c r="I358">
        <v>382</v>
      </c>
      <c r="J358" t="s">
        <v>18</v>
      </c>
      <c r="K358">
        <v>45680</v>
      </c>
      <c r="L358" t="s">
        <v>31</v>
      </c>
    </row>
    <row r="359" spans="1:12" x14ac:dyDescent="0.35">
      <c r="A359" t="s">
        <v>397</v>
      </c>
      <c r="B359">
        <v>63</v>
      </c>
      <c r="C359" t="s">
        <v>11</v>
      </c>
      <c r="D359" t="s">
        <v>29</v>
      </c>
      <c r="E359" t="s">
        <v>13</v>
      </c>
      <c r="F359">
        <v>45809</v>
      </c>
      <c r="G359" t="s">
        <v>36</v>
      </c>
      <c r="H359">
        <v>35250.772327574152</v>
      </c>
      <c r="I359">
        <v>477</v>
      </c>
      <c r="J359" t="s">
        <v>18</v>
      </c>
      <c r="K359">
        <v>45819</v>
      </c>
      <c r="L359" t="s">
        <v>19</v>
      </c>
    </row>
    <row r="360" spans="1:12" x14ac:dyDescent="0.35">
      <c r="A360" t="s">
        <v>398</v>
      </c>
      <c r="B360">
        <v>55</v>
      </c>
      <c r="C360" t="s">
        <v>11</v>
      </c>
      <c r="D360" t="s">
        <v>34</v>
      </c>
      <c r="E360" t="s">
        <v>17</v>
      </c>
      <c r="F360">
        <v>45876</v>
      </c>
      <c r="G360" t="s">
        <v>37</v>
      </c>
      <c r="H360">
        <v>42768.303602027889</v>
      </c>
      <c r="I360">
        <v>283</v>
      </c>
      <c r="J360" t="s">
        <v>18</v>
      </c>
      <c r="K360">
        <v>45881</v>
      </c>
      <c r="L360" t="s">
        <v>22</v>
      </c>
    </row>
    <row r="361" spans="1:12" x14ac:dyDescent="0.35">
      <c r="A361" t="s">
        <v>399</v>
      </c>
      <c r="B361">
        <v>34</v>
      </c>
      <c r="C361" t="s">
        <v>11</v>
      </c>
      <c r="D361" t="s">
        <v>26</v>
      </c>
      <c r="E361" t="s">
        <v>24</v>
      </c>
      <c r="F361">
        <v>45875</v>
      </c>
      <c r="G361" t="s">
        <v>36</v>
      </c>
      <c r="H361">
        <v>19590.977802837839</v>
      </c>
      <c r="I361">
        <v>481</v>
      </c>
      <c r="J361" t="s">
        <v>25</v>
      </c>
      <c r="K361">
        <v>45880</v>
      </c>
      <c r="L361" t="s">
        <v>27</v>
      </c>
    </row>
    <row r="362" spans="1:12" x14ac:dyDescent="0.35">
      <c r="A362" t="s">
        <v>400</v>
      </c>
      <c r="B362">
        <v>41</v>
      </c>
      <c r="C362" t="s">
        <v>20</v>
      </c>
      <c r="D362" t="s">
        <v>16</v>
      </c>
      <c r="E362" t="s">
        <v>32</v>
      </c>
      <c r="F362">
        <v>45811</v>
      </c>
      <c r="G362" t="s">
        <v>37</v>
      </c>
      <c r="H362">
        <v>13667.63805176461</v>
      </c>
      <c r="I362">
        <v>339</v>
      </c>
      <c r="J362" t="s">
        <v>25</v>
      </c>
      <c r="K362">
        <v>45816</v>
      </c>
      <c r="L362" t="s">
        <v>15</v>
      </c>
    </row>
    <row r="363" spans="1:12" x14ac:dyDescent="0.35">
      <c r="A363" t="s">
        <v>401</v>
      </c>
      <c r="B363">
        <v>66</v>
      </c>
      <c r="C363" t="s">
        <v>20</v>
      </c>
      <c r="D363" t="s">
        <v>26</v>
      </c>
      <c r="E363" t="s">
        <v>13</v>
      </c>
      <c r="F363">
        <v>45877</v>
      </c>
      <c r="G363" t="s">
        <v>39</v>
      </c>
      <c r="H363">
        <v>5060.0484911824406</v>
      </c>
      <c r="I363">
        <v>296</v>
      </c>
      <c r="J363" t="s">
        <v>18</v>
      </c>
      <c r="K363">
        <v>45878</v>
      </c>
      <c r="L363" t="s">
        <v>15</v>
      </c>
    </row>
    <row r="364" spans="1:12" x14ac:dyDescent="0.35">
      <c r="A364" t="s">
        <v>402</v>
      </c>
      <c r="B364">
        <v>21</v>
      </c>
      <c r="C364" t="s">
        <v>20</v>
      </c>
      <c r="D364" t="s">
        <v>21</v>
      </c>
      <c r="E364" t="s">
        <v>32</v>
      </c>
      <c r="F364">
        <v>45687</v>
      </c>
      <c r="G364" t="s">
        <v>36</v>
      </c>
      <c r="H364">
        <v>37591.085670777436</v>
      </c>
      <c r="I364">
        <v>336</v>
      </c>
      <c r="J364" t="s">
        <v>25</v>
      </c>
      <c r="K364">
        <v>45688</v>
      </c>
      <c r="L364" t="s">
        <v>22</v>
      </c>
    </row>
    <row r="365" spans="1:12" x14ac:dyDescent="0.35">
      <c r="A365" t="s">
        <v>403</v>
      </c>
      <c r="B365">
        <v>37</v>
      </c>
      <c r="C365" t="s">
        <v>20</v>
      </c>
      <c r="D365" t="s">
        <v>26</v>
      </c>
      <c r="E365" t="s">
        <v>30</v>
      </c>
      <c r="F365">
        <v>45715</v>
      </c>
      <c r="G365" t="s">
        <v>37</v>
      </c>
      <c r="H365">
        <v>11557.17870104</v>
      </c>
      <c r="I365">
        <v>119</v>
      </c>
      <c r="J365" t="s">
        <v>25</v>
      </c>
      <c r="K365">
        <v>45716</v>
      </c>
      <c r="L365" t="s">
        <v>15</v>
      </c>
    </row>
    <row r="366" spans="1:12" x14ac:dyDescent="0.35">
      <c r="A366" t="s">
        <v>404</v>
      </c>
      <c r="B366">
        <v>67</v>
      </c>
      <c r="C366" t="s">
        <v>11</v>
      </c>
      <c r="D366" t="s">
        <v>16</v>
      </c>
      <c r="E366" t="s">
        <v>28</v>
      </c>
      <c r="F366">
        <v>45872</v>
      </c>
      <c r="G366" t="s">
        <v>39</v>
      </c>
      <c r="H366">
        <v>4567.2953240707184</v>
      </c>
      <c r="I366">
        <v>352</v>
      </c>
      <c r="J366" t="s">
        <v>25</v>
      </c>
      <c r="K366">
        <v>45875</v>
      </c>
      <c r="L366" t="s">
        <v>31</v>
      </c>
    </row>
    <row r="367" spans="1:12" x14ac:dyDescent="0.35">
      <c r="A367" t="s">
        <v>405</v>
      </c>
      <c r="B367">
        <v>62</v>
      </c>
      <c r="C367" t="s">
        <v>11</v>
      </c>
      <c r="D367" t="s">
        <v>12</v>
      </c>
      <c r="E367" t="s">
        <v>32</v>
      </c>
      <c r="F367">
        <v>45738</v>
      </c>
      <c r="G367" t="s">
        <v>36</v>
      </c>
      <c r="H367">
        <v>16853.97640432198</v>
      </c>
      <c r="I367">
        <v>265</v>
      </c>
      <c r="J367" t="s">
        <v>18</v>
      </c>
      <c r="K367">
        <v>45739</v>
      </c>
      <c r="L367" t="s">
        <v>31</v>
      </c>
    </row>
    <row r="368" spans="1:12" x14ac:dyDescent="0.35">
      <c r="A368" t="s">
        <v>406</v>
      </c>
      <c r="B368">
        <v>45</v>
      </c>
      <c r="C368" t="s">
        <v>20</v>
      </c>
      <c r="D368" t="s">
        <v>16</v>
      </c>
      <c r="E368" t="s">
        <v>24</v>
      </c>
      <c r="F368">
        <v>45713</v>
      </c>
      <c r="G368" t="s">
        <v>39</v>
      </c>
      <c r="H368">
        <v>2699.6802290435339</v>
      </c>
      <c r="I368">
        <v>187</v>
      </c>
      <c r="J368" t="s">
        <v>18</v>
      </c>
      <c r="K368">
        <v>45714</v>
      </c>
      <c r="L368" t="s">
        <v>22</v>
      </c>
    </row>
    <row r="369" spans="1:12" x14ac:dyDescent="0.35">
      <c r="A369" t="s">
        <v>407</v>
      </c>
      <c r="B369">
        <v>37</v>
      </c>
      <c r="C369" t="s">
        <v>11</v>
      </c>
      <c r="D369" t="s">
        <v>12</v>
      </c>
      <c r="E369" t="s">
        <v>13</v>
      </c>
      <c r="F369">
        <v>45803</v>
      </c>
      <c r="G369" t="s">
        <v>36</v>
      </c>
      <c r="H369">
        <v>17448.936400215978</v>
      </c>
      <c r="I369">
        <v>109</v>
      </c>
      <c r="J369" t="s">
        <v>18</v>
      </c>
      <c r="K369">
        <v>45817</v>
      </c>
      <c r="L369" t="s">
        <v>27</v>
      </c>
    </row>
    <row r="370" spans="1:12" x14ac:dyDescent="0.35">
      <c r="A370" t="s">
        <v>408</v>
      </c>
      <c r="B370">
        <v>33</v>
      </c>
      <c r="C370" t="s">
        <v>11</v>
      </c>
      <c r="D370" t="s">
        <v>12</v>
      </c>
      <c r="E370" t="s">
        <v>17</v>
      </c>
      <c r="F370">
        <v>45765</v>
      </c>
      <c r="G370" t="s">
        <v>36</v>
      </c>
      <c r="H370">
        <v>9495.8285526264517</v>
      </c>
      <c r="I370">
        <v>309</v>
      </c>
      <c r="J370" t="s">
        <v>25</v>
      </c>
      <c r="K370">
        <v>45773</v>
      </c>
      <c r="L370" t="s">
        <v>31</v>
      </c>
    </row>
    <row r="371" spans="1:12" x14ac:dyDescent="0.35">
      <c r="A371" t="s">
        <v>409</v>
      </c>
      <c r="B371">
        <v>26</v>
      </c>
      <c r="C371" t="s">
        <v>11</v>
      </c>
      <c r="D371" t="s">
        <v>33</v>
      </c>
      <c r="E371" t="s">
        <v>13</v>
      </c>
      <c r="F371">
        <v>45756</v>
      </c>
      <c r="G371" t="s">
        <v>37</v>
      </c>
      <c r="H371">
        <v>9934.6823182864682</v>
      </c>
      <c r="I371">
        <v>120</v>
      </c>
      <c r="J371" t="s">
        <v>25</v>
      </c>
      <c r="K371">
        <v>45763</v>
      </c>
      <c r="L371" t="s">
        <v>22</v>
      </c>
    </row>
    <row r="372" spans="1:12" x14ac:dyDescent="0.35">
      <c r="A372" t="s">
        <v>410</v>
      </c>
      <c r="B372">
        <v>66</v>
      </c>
      <c r="C372" t="s">
        <v>11</v>
      </c>
      <c r="D372" t="s">
        <v>26</v>
      </c>
      <c r="E372" t="s">
        <v>13</v>
      </c>
      <c r="F372">
        <v>45733</v>
      </c>
      <c r="G372" t="s">
        <v>37</v>
      </c>
      <c r="H372">
        <v>34523.223636791903</v>
      </c>
      <c r="I372">
        <v>167</v>
      </c>
      <c r="J372" t="s">
        <v>18</v>
      </c>
      <c r="K372">
        <v>45740</v>
      </c>
      <c r="L372" t="s">
        <v>19</v>
      </c>
    </row>
    <row r="373" spans="1:12" x14ac:dyDescent="0.35">
      <c r="A373" t="s">
        <v>411</v>
      </c>
      <c r="B373">
        <v>23</v>
      </c>
      <c r="C373" t="s">
        <v>20</v>
      </c>
      <c r="D373" t="s">
        <v>16</v>
      </c>
      <c r="E373" t="s">
        <v>13</v>
      </c>
      <c r="F373">
        <v>45974</v>
      </c>
      <c r="G373" t="s">
        <v>39</v>
      </c>
      <c r="H373">
        <v>33553.581054646893</v>
      </c>
      <c r="I373">
        <v>323</v>
      </c>
      <c r="J373" t="s">
        <v>18</v>
      </c>
      <c r="K373">
        <v>45988</v>
      </c>
      <c r="L373" t="s">
        <v>27</v>
      </c>
    </row>
    <row r="374" spans="1:12" x14ac:dyDescent="0.35">
      <c r="A374" t="s">
        <v>412</v>
      </c>
      <c r="B374">
        <v>35</v>
      </c>
      <c r="C374" t="s">
        <v>20</v>
      </c>
      <c r="D374" t="s">
        <v>34</v>
      </c>
      <c r="E374" t="s">
        <v>17</v>
      </c>
      <c r="F374">
        <v>45944</v>
      </c>
      <c r="G374" t="s">
        <v>36</v>
      </c>
      <c r="H374">
        <v>14243.9745296213</v>
      </c>
      <c r="I374">
        <v>179</v>
      </c>
      <c r="J374" t="s">
        <v>18</v>
      </c>
      <c r="K374">
        <v>45953</v>
      </c>
      <c r="L374" t="s">
        <v>31</v>
      </c>
    </row>
    <row r="375" spans="1:12" x14ac:dyDescent="0.35">
      <c r="A375" t="s">
        <v>413</v>
      </c>
      <c r="B375">
        <v>30</v>
      </c>
      <c r="C375" t="s">
        <v>20</v>
      </c>
      <c r="D375" t="s">
        <v>29</v>
      </c>
      <c r="E375" t="s">
        <v>32</v>
      </c>
      <c r="F375">
        <v>45851</v>
      </c>
      <c r="G375" t="s">
        <v>36</v>
      </c>
      <c r="H375">
        <v>47905.472460575344</v>
      </c>
      <c r="I375">
        <v>106</v>
      </c>
      <c r="J375" t="s">
        <v>25</v>
      </c>
      <c r="K375">
        <v>45857</v>
      </c>
      <c r="L375" t="s">
        <v>19</v>
      </c>
    </row>
    <row r="376" spans="1:12" x14ac:dyDescent="0.35">
      <c r="A376" t="s">
        <v>414</v>
      </c>
      <c r="B376">
        <v>66</v>
      </c>
      <c r="C376" t="s">
        <v>11</v>
      </c>
      <c r="D376" t="s">
        <v>33</v>
      </c>
      <c r="E376" t="s">
        <v>13</v>
      </c>
      <c r="F376">
        <v>46000</v>
      </c>
      <c r="G376" t="s">
        <v>37</v>
      </c>
      <c r="H376">
        <v>21848.64370006735</v>
      </c>
      <c r="I376">
        <v>209</v>
      </c>
      <c r="J376" t="s">
        <v>25</v>
      </c>
      <c r="K376">
        <v>46006</v>
      </c>
      <c r="L376" t="s">
        <v>19</v>
      </c>
    </row>
    <row r="377" spans="1:12" x14ac:dyDescent="0.35">
      <c r="A377" t="s">
        <v>415</v>
      </c>
      <c r="B377">
        <v>34</v>
      </c>
      <c r="C377" t="s">
        <v>20</v>
      </c>
      <c r="D377" t="s">
        <v>29</v>
      </c>
      <c r="E377" t="s">
        <v>28</v>
      </c>
      <c r="F377">
        <v>45894</v>
      </c>
      <c r="G377" t="s">
        <v>37</v>
      </c>
      <c r="H377">
        <v>13136.392522152069</v>
      </c>
      <c r="I377">
        <v>310</v>
      </c>
      <c r="J377" t="s">
        <v>18</v>
      </c>
      <c r="K377">
        <v>45901</v>
      </c>
      <c r="L377" t="s">
        <v>27</v>
      </c>
    </row>
    <row r="378" spans="1:12" x14ac:dyDescent="0.35">
      <c r="A378" t="s">
        <v>416</v>
      </c>
      <c r="B378">
        <v>78</v>
      </c>
      <c r="C378" t="s">
        <v>20</v>
      </c>
      <c r="D378" t="s">
        <v>26</v>
      </c>
      <c r="E378" t="s">
        <v>28</v>
      </c>
      <c r="F378">
        <v>45659</v>
      </c>
      <c r="G378" t="s">
        <v>37</v>
      </c>
      <c r="H378">
        <v>34437.765067103654</v>
      </c>
      <c r="I378">
        <v>223</v>
      </c>
      <c r="J378" t="s">
        <v>25</v>
      </c>
      <c r="K378">
        <v>45670</v>
      </c>
      <c r="L378" t="s">
        <v>22</v>
      </c>
    </row>
    <row r="379" spans="1:12" x14ac:dyDescent="0.35">
      <c r="A379" t="s">
        <v>417</v>
      </c>
      <c r="B379">
        <v>63</v>
      </c>
      <c r="C379" t="s">
        <v>11</v>
      </c>
      <c r="D379" t="s">
        <v>34</v>
      </c>
      <c r="E379" t="s">
        <v>32</v>
      </c>
      <c r="F379">
        <v>45729</v>
      </c>
      <c r="G379" t="s">
        <v>39</v>
      </c>
      <c r="H379">
        <v>35149.098182446192</v>
      </c>
      <c r="I379">
        <v>231</v>
      </c>
      <c r="J379" t="s">
        <v>25</v>
      </c>
      <c r="K379">
        <v>45738</v>
      </c>
      <c r="L379" t="s">
        <v>19</v>
      </c>
    </row>
    <row r="380" spans="1:12" x14ac:dyDescent="0.35">
      <c r="A380" t="s">
        <v>418</v>
      </c>
      <c r="B380">
        <v>58</v>
      </c>
      <c r="C380" t="s">
        <v>11</v>
      </c>
      <c r="D380" t="s">
        <v>12</v>
      </c>
      <c r="E380" t="s">
        <v>13</v>
      </c>
      <c r="F380">
        <v>45726</v>
      </c>
      <c r="G380" t="s">
        <v>36</v>
      </c>
      <c r="H380">
        <v>41520.098568556677</v>
      </c>
      <c r="I380">
        <v>269</v>
      </c>
      <c r="J380" t="s">
        <v>25</v>
      </c>
      <c r="K380">
        <v>45727</v>
      </c>
      <c r="L380" t="s">
        <v>27</v>
      </c>
    </row>
    <row r="381" spans="1:12" x14ac:dyDescent="0.35">
      <c r="A381" t="s">
        <v>419</v>
      </c>
      <c r="B381">
        <v>31</v>
      </c>
      <c r="C381" t="s">
        <v>20</v>
      </c>
      <c r="D381" t="s">
        <v>26</v>
      </c>
      <c r="E381" t="s">
        <v>17</v>
      </c>
      <c r="F381">
        <v>45877</v>
      </c>
      <c r="G381" t="s">
        <v>39</v>
      </c>
      <c r="H381">
        <v>2894.124207860576</v>
      </c>
      <c r="I381">
        <v>460</v>
      </c>
      <c r="J381" t="s">
        <v>25</v>
      </c>
      <c r="K381">
        <v>45888</v>
      </c>
      <c r="L381" t="s">
        <v>31</v>
      </c>
    </row>
    <row r="382" spans="1:12" x14ac:dyDescent="0.35">
      <c r="A382" t="s">
        <v>420</v>
      </c>
      <c r="B382">
        <v>48</v>
      </c>
      <c r="C382" t="s">
        <v>20</v>
      </c>
      <c r="D382" t="s">
        <v>21</v>
      </c>
      <c r="E382" t="s">
        <v>28</v>
      </c>
      <c r="F382">
        <v>45720</v>
      </c>
      <c r="G382" t="s">
        <v>36</v>
      </c>
      <c r="H382">
        <v>22399.532791006641</v>
      </c>
      <c r="I382">
        <v>297</v>
      </c>
      <c r="J382" t="s">
        <v>25</v>
      </c>
      <c r="K382">
        <v>45724</v>
      </c>
      <c r="L382" t="s">
        <v>31</v>
      </c>
    </row>
    <row r="383" spans="1:12" x14ac:dyDescent="0.35">
      <c r="A383" t="s">
        <v>421</v>
      </c>
      <c r="B383">
        <v>47</v>
      </c>
      <c r="C383" t="s">
        <v>11</v>
      </c>
      <c r="D383" t="s">
        <v>34</v>
      </c>
      <c r="E383" t="s">
        <v>13</v>
      </c>
      <c r="F383">
        <v>45991</v>
      </c>
      <c r="G383" t="s">
        <v>36</v>
      </c>
      <c r="H383">
        <v>44777.476637747583</v>
      </c>
      <c r="I383">
        <v>478</v>
      </c>
      <c r="J383" t="s">
        <v>18</v>
      </c>
      <c r="K383">
        <v>45992</v>
      </c>
      <c r="L383" t="s">
        <v>27</v>
      </c>
    </row>
    <row r="384" spans="1:12" x14ac:dyDescent="0.35">
      <c r="A384" t="s">
        <v>422</v>
      </c>
      <c r="B384">
        <v>49</v>
      </c>
      <c r="C384" t="s">
        <v>11</v>
      </c>
      <c r="D384" t="s">
        <v>21</v>
      </c>
      <c r="E384" t="s">
        <v>28</v>
      </c>
      <c r="F384">
        <v>45681</v>
      </c>
      <c r="G384" t="s">
        <v>37</v>
      </c>
      <c r="H384">
        <v>46984.445856520018</v>
      </c>
      <c r="I384">
        <v>360</v>
      </c>
      <c r="J384" t="s">
        <v>18</v>
      </c>
      <c r="K384">
        <v>45694</v>
      </c>
      <c r="L384" t="s">
        <v>22</v>
      </c>
    </row>
    <row r="385" spans="1:12" x14ac:dyDescent="0.35">
      <c r="A385" t="s">
        <v>423</v>
      </c>
      <c r="B385">
        <v>62</v>
      </c>
      <c r="C385" t="s">
        <v>20</v>
      </c>
      <c r="D385" t="s">
        <v>26</v>
      </c>
      <c r="E385" t="s">
        <v>24</v>
      </c>
      <c r="F385">
        <v>45726</v>
      </c>
      <c r="G385" t="s">
        <v>37</v>
      </c>
      <c r="H385">
        <v>36832.964708241198</v>
      </c>
      <c r="I385">
        <v>423</v>
      </c>
      <c r="J385" t="s">
        <v>18</v>
      </c>
      <c r="K385">
        <v>45734</v>
      </c>
      <c r="L385" t="s">
        <v>19</v>
      </c>
    </row>
    <row r="386" spans="1:12" x14ac:dyDescent="0.35">
      <c r="A386" t="s">
        <v>424</v>
      </c>
      <c r="B386">
        <v>52</v>
      </c>
      <c r="C386" t="s">
        <v>11</v>
      </c>
      <c r="D386" t="s">
        <v>21</v>
      </c>
      <c r="E386" t="s">
        <v>13</v>
      </c>
      <c r="F386">
        <v>45890</v>
      </c>
      <c r="G386" t="s">
        <v>37</v>
      </c>
      <c r="H386">
        <v>27323.104277139311</v>
      </c>
      <c r="I386">
        <v>232</v>
      </c>
      <c r="J386" t="s">
        <v>18</v>
      </c>
      <c r="K386">
        <v>45896</v>
      </c>
      <c r="L386" t="s">
        <v>19</v>
      </c>
    </row>
    <row r="387" spans="1:12" x14ac:dyDescent="0.35">
      <c r="A387" t="s">
        <v>425</v>
      </c>
      <c r="B387">
        <v>38</v>
      </c>
      <c r="C387" t="s">
        <v>20</v>
      </c>
      <c r="D387" t="s">
        <v>23</v>
      </c>
      <c r="E387" t="s">
        <v>24</v>
      </c>
      <c r="F387">
        <v>45753</v>
      </c>
      <c r="G387" t="s">
        <v>36</v>
      </c>
      <c r="H387">
        <v>27260.16841969957</v>
      </c>
      <c r="I387">
        <v>154</v>
      </c>
      <c r="J387" t="s">
        <v>18</v>
      </c>
      <c r="K387">
        <v>45757</v>
      </c>
      <c r="L387" t="s">
        <v>15</v>
      </c>
    </row>
    <row r="388" spans="1:12" x14ac:dyDescent="0.35">
      <c r="A388" t="s">
        <v>426</v>
      </c>
      <c r="B388">
        <v>19</v>
      </c>
      <c r="C388" t="s">
        <v>20</v>
      </c>
      <c r="D388" t="s">
        <v>23</v>
      </c>
      <c r="E388" t="s">
        <v>30</v>
      </c>
      <c r="F388">
        <v>45881</v>
      </c>
      <c r="G388" t="s">
        <v>39</v>
      </c>
      <c r="H388">
        <v>42157.22298233107</v>
      </c>
      <c r="I388">
        <v>149</v>
      </c>
      <c r="J388" t="s">
        <v>25</v>
      </c>
      <c r="K388">
        <v>45889</v>
      </c>
      <c r="L388" t="s">
        <v>31</v>
      </c>
    </row>
    <row r="389" spans="1:12" x14ac:dyDescent="0.35">
      <c r="A389" t="s">
        <v>427</v>
      </c>
      <c r="B389">
        <v>74</v>
      </c>
      <c r="C389" t="s">
        <v>11</v>
      </c>
      <c r="D389" t="s">
        <v>23</v>
      </c>
      <c r="E389" t="s">
        <v>28</v>
      </c>
      <c r="F389">
        <v>45801</v>
      </c>
      <c r="G389" t="s">
        <v>36</v>
      </c>
      <c r="H389">
        <v>20945.369101023221</v>
      </c>
      <c r="I389">
        <v>417</v>
      </c>
      <c r="J389" t="s">
        <v>18</v>
      </c>
      <c r="K389">
        <v>45815</v>
      </c>
      <c r="L389" t="s">
        <v>27</v>
      </c>
    </row>
    <row r="390" spans="1:12" x14ac:dyDescent="0.35">
      <c r="A390" t="s">
        <v>428</v>
      </c>
      <c r="B390">
        <v>80</v>
      </c>
      <c r="C390" t="s">
        <v>20</v>
      </c>
      <c r="D390" t="s">
        <v>16</v>
      </c>
      <c r="E390" t="s">
        <v>17</v>
      </c>
      <c r="F390">
        <v>45938</v>
      </c>
      <c r="G390" t="s">
        <v>39</v>
      </c>
      <c r="H390">
        <v>10481.84109590047</v>
      </c>
      <c r="I390">
        <v>284</v>
      </c>
      <c r="J390" t="s">
        <v>18</v>
      </c>
      <c r="K390">
        <v>45947</v>
      </c>
      <c r="L390" t="s">
        <v>27</v>
      </c>
    </row>
    <row r="391" spans="1:12" x14ac:dyDescent="0.35">
      <c r="A391" t="s">
        <v>429</v>
      </c>
      <c r="B391">
        <v>20</v>
      </c>
      <c r="C391" t="s">
        <v>20</v>
      </c>
      <c r="D391" t="s">
        <v>23</v>
      </c>
      <c r="E391" t="s">
        <v>30</v>
      </c>
      <c r="F391">
        <v>45749</v>
      </c>
      <c r="G391" t="s">
        <v>39</v>
      </c>
      <c r="H391">
        <v>29504.13504027648</v>
      </c>
      <c r="I391">
        <v>428</v>
      </c>
      <c r="J391" t="s">
        <v>25</v>
      </c>
      <c r="K391">
        <v>45751</v>
      </c>
      <c r="L391" t="s">
        <v>15</v>
      </c>
    </row>
    <row r="392" spans="1:12" x14ac:dyDescent="0.35">
      <c r="A392" t="s">
        <v>430</v>
      </c>
      <c r="B392">
        <v>34</v>
      </c>
      <c r="C392" t="s">
        <v>20</v>
      </c>
      <c r="D392" t="s">
        <v>34</v>
      </c>
      <c r="E392" t="s">
        <v>13</v>
      </c>
      <c r="F392">
        <v>45855</v>
      </c>
      <c r="G392" t="s">
        <v>39</v>
      </c>
      <c r="H392">
        <v>7877.4761779105611</v>
      </c>
      <c r="I392">
        <v>286</v>
      </c>
      <c r="J392" t="s">
        <v>25</v>
      </c>
      <c r="K392">
        <v>45866</v>
      </c>
      <c r="L392" t="s">
        <v>31</v>
      </c>
    </row>
    <row r="393" spans="1:12" x14ac:dyDescent="0.35">
      <c r="A393" t="s">
        <v>431</v>
      </c>
      <c r="B393">
        <v>67</v>
      </c>
      <c r="C393" t="s">
        <v>20</v>
      </c>
      <c r="D393" t="s">
        <v>21</v>
      </c>
      <c r="E393" t="s">
        <v>30</v>
      </c>
      <c r="F393">
        <v>45716</v>
      </c>
      <c r="G393" t="s">
        <v>37</v>
      </c>
      <c r="H393">
        <v>13358.79530642829</v>
      </c>
      <c r="I393">
        <v>391</v>
      </c>
      <c r="J393" t="s">
        <v>18</v>
      </c>
      <c r="K393">
        <v>45723</v>
      </c>
      <c r="L393" t="s">
        <v>19</v>
      </c>
    </row>
    <row r="394" spans="1:12" x14ac:dyDescent="0.35">
      <c r="A394" t="s">
        <v>432</v>
      </c>
      <c r="B394">
        <v>45</v>
      </c>
      <c r="C394" t="s">
        <v>20</v>
      </c>
      <c r="D394" t="s">
        <v>26</v>
      </c>
      <c r="E394" t="s">
        <v>30</v>
      </c>
      <c r="F394">
        <v>45990</v>
      </c>
      <c r="G394" t="s">
        <v>39</v>
      </c>
      <c r="H394">
        <v>33544.367599028643</v>
      </c>
      <c r="I394">
        <v>391</v>
      </c>
      <c r="J394" t="s">
        <v>18</v>
      </c>
      <c r="K394">
        <v>45997</v>
      </c>
      <c r="L394" t="s">
        <v>31</v>
      </c>
    </row>
    <row r="395" spans="1:12" x14ac:dyDescent="0.35">
      <c r="A395" t="s">
        <v>433</v>
      </c>
      <c r="B395">
        <v>48</v>
      </c>
      <c r="C395" t="s">
        <v>11</v>
      </c>
      <c r="D395" t="s">
        <v>21</v>
      </c>
      <c r="E395" t="s">
        <v>17</v>
      </c>
      <c r="F395">
        <v>45700</v>
      </c>
      <c r="G395" t="s">
        <v>36</v>
      </c>
      <c r="H395">
        <v>50780.706852468313</v>
      </c>
      <c r="I395">
        <v>203</v>
      </c>
      <c r="J395" t="s">
        <v>18</v>
      </c>
      <c r="K395">
        <v>45712</v>
      </c>
      <c r="L395" t="s">
        <v>27</v>
      </c>
    </row>
    <row r="396" spans="1:12" x14ac:dyDescent="0.35">
      <c r="A396" t="s">
        <v>434</v>
      </c>
      <c r="B396">
        <v>20</v>
      </c>
      <c r="C396" t="s">
        <v>20</v>
      </c>
      <c r="D396" t="s">
        <v>21</v>
      </c>
      <c r="E396" t="s">
        <v>24</v>
      </c>
      <c r="F396">
        <v>45872</v>
      </c>
      <c r="G396" t="s">
        <v>39</v>
      </c>
      <c r="H396">
        <v>16151.191503532271</v>
      </c>
      <c r="I396">
        <v>155</v>
      </c>
      <c r="J396" t="s">
        <v>25</v>
      </c>
      <c r="K396">
        <v>45875</v>
      </c>
      <c r="L396" t="s">
        <v>15</v>
      </c>
    </row>
    <row r="397" spans="1:12" x14ac:dyDescent="0.35">
      <c r="A397" t="s">
        <v>435</v>
      </c>
      <c r="B397">
        <v>51</v>
      </c>
      <c r="C397" t="s">
        <v>11</v>
      </c>
      <c r="D397" t="s">
        <v>12</v>
      </c>
      <c r="E397" t="s">
        <v>13</v>
      </c>
      <c r="F397">
        <v>45772</v>
      </c>
      <c r="G397" t="s">
        <v>39</v>
      </c>
      <c r="H397">
        <v>35244.17985332766</v>
      </c>
      <c r="I397">
        <v>249</v>
      </c>
      <c r="J397" t="s">
        <v>18</v>
      </c>
      <c r="K397">
        <v>45783</v>
      </c>
      <c r="L397" t="s">
        <v>27</v>
      </c>
    </row>
    <row r="398" spans="1:12" x14ac:dyDescent="0.35">
      <c r="A398" t="s">
        <v>436</v>
      </c>
      <c r="B398">
        <v>36</v>
      </c>
      <c r="C398" t="s">
        <v>20</v>
      </c>
      <c r="D398" t="s">
        <v>34</v>
      </c>
      <c r="E398" t="s">
        <v>24</v>
      </c>
      <c r="F398">
        <v>45935</v>
      </c>
      <c r="G398" t="s">
        <v>39</v>
      </c>
      <c r="H398">
        <v>8160.8807907911541</v>
      </c>
      <c r="I398">
        <v>249</v>
      </c>
      <c r="J398" t="s">
        <v>25</v>
      </c>
      <c r="K398">
        <v>45937</v>
      </c>
      <c r="L398" t="s">
        <v>31</v>
      </c>
    </row>
    <row r="399" spans="1:12" x14ac:dyDescent="0.35">
      <c r="A399" t="s">
        <v>437</v>
      </c>
      <c r="B399">
        <v>38</v>
      </c>
      <c r="C399" t="s">
        <v>11</v>
      </c>
      <c r="D399" t="s">
        <v>16</v>
      </c>
      <c r="E399" t="s">
        <v>17</v>
      </c>
      <c r="F399">
        <v>45948</v>
      </c>
      <c r="G399" t="s">
        <v>37</v>
      </c>
      <c r="H399">
        <v>21407.341468923139</v>
      </c>
      <c r="I399">
        <v>452</v>
      </c>
      <c r="J399" t="s">
        <v>25</v>
      </c>
      <c r="K399">
        <v>45951</v>
      </c>
      <c r="L399" t="s">
        <v>22</v>
      </c>
    </row>
    <row r="400" spans="1:12" x14ac:dyDescent="0.35">
      <c r="A400" t="s">
        <v>438</v>
      </c>
      <c r="B400">
        <v>49</v>
      </c>
      <c r="C400" t="s">
        <v>11</v>
      </c>
      <c r="D400" t="s">
        <v>33</v>
      </c>
      <c r="E400" t="s">
        <v>24</v>
      </c>
      <c r="F400">
        <v>46007</v>
      </c>
      <c r="G400" t="s">
        <v>36</v>
      </c>
      <c r="H400">
        <v>39073.938103135282</v>
      </c>
      <c r="I400">
        <v>180</v>
      </c>
      <c r="J400" t="s">
        <v>18</v>
      </c>
      <c r="K400">
        <v>46015</v>
      </c>
      <c r="L400" t="s">
        <v>27</v>
      </c>
    </row>
    <row r="401" spans="1:12" x14ac:dyDescent="0.35">
      <c r="A401" t="s">
        <v>439</v>
      </c>
      <c r="B401">
        <v>82</v>
      </c>
      <c r="C401" t="s">
        <v>11</v>
      </c>
      <c r="D401" t="s">
        <v>33</v>
      </c>
      <c r="E401" t="s">
        <v>28</v>
      </c>
      <c r="F401">
        <v>45860</v>
      </c>
      <c r="G401" t="s">
        <v>36</v>
      </c>
      <c r="H401">
        <v>24885.568490234109</v>
      </c>
      <c r="I401">
        <v>436</v>
      </c>
      <c r="J401" t="s">
        <v>18</v>
      </c>
      <c r="K401">
        <v>45872</v>
      </c>
      <c r="L401" t="s">
        <v>31</v>
      </c>
    </row>
    <row r="402" spans="1:12" x14ac:dyDescent="0.35">
      <c r="A402" t="s">
        <v>440</v>
      </c>
      <c r="B402">
        <v>68</v>
      </c>
      <c r="C402" t="s">
        <v>11</v>
      </c>
      <c r="D402" t="s">
        <v>12</v>
      </c>
      <c r="E402" t="s">
        <v>17</v>
      </c>
      <c r="F402">
        <v>45994</v>
      </c>
      <c r="G402" t="s">
        <v>36</v>
      </c>
      <c r="H402">
        <v>42408.270812285613</v>
      </c>
      <c r="I402">
        <v>357</v>
      </c>
      <c r="J402" t="s">
        <v>25</v>
      </c>
      <c r="K402">
        <v>46006</v>
      </c>
      <c r="L402" t="s">
        <v>31</v>
      </c>
    </row>
    <row r="403" spans="1:12" x14ac:dyDescent="0.35">
      <c r="A403" t="s">
        <v>441</v>
      </c>
      <c r="B403">
        <v>64</v>
      </c>
      <c r="C403" t="s">
        <v>11</v>
      </c>
      <c r="D403" t="s">
        <v>33</v>
      </c>
      <c r="E403" t="s">
        <v>24</v>
      </c>
      <c r="F403">
        <v>45981</v>
      </c>
      <c r="G403" t="s">
        <v>39</v>
      </c>
      <c r="H403">
        <v>13074.056491834801</v>
      </c>
      <c r="I403">
        <v>293</v>
      </c>
      <c r="J403" t="s">
        <v>18</v>
      </c>
      <c r="K403">
        <v>45991</v>
      </c>
      <c r="L403" t="s">
        <v>22</v>
      </c>
    </row>
    <row r="404" spans="1:12" x14ac:dyDescent="0.35">
      <c r="A404" t="s">
        <v>442</v>
      </c>
      <c r="B404">
        <v>79</v>
      </c>
      <c r="C404" t="s">
        <v>11</v>
      </c>
      <c r="D404" t="s">
        <v>21</v>
      </c>
      <c r="E404" t="s">
        <v>13</v>
      </c>
      <c r="F404">
        <v>45851</v>
      </c>
      <c r="G404" t="s">
        <v>39</v>
      </c>
      <c r="H404">
        <v>43914.877994545917</v>
      </c>
      <c r="I404">
        <v>113</v>
      </c>
      <c r="J404" t="s">
        <v>18</v>
      </c>
      <c r="K404">
        <v>45865</v>
      </c>
      <c r="L404" t="s">
        <v>19</v>
      </c>
    </row>
    <row r="405" spans="1:12" x14ac:dyDescent="0.35">
      <c r="A405" t="s">
        <v>443</v>
      </c>
      <c r="B405">
        <v>36</v>
      </c>
      <c r="C405" t="s">
        <v>11</v>
      </c>
      <c r="D405" t="s">
        <v>16</v>
      </c>
      <c r="E405" t="s">
        <v>24</v>
      </c>
      <c r="F405">
        <v>45838</v>
      </c>
      <c r="G405" t="s">
        <v>39</v>
      </c>
      <c r="H405">
        <v>41056.29222756235</v>
      </c>
      <c r="I405">
        <v>319</v>
      </c>
      <c r="J405" t="s">
        <v>25</v>
      </c>
      <c r="K405">
        <v>45851</v>
      </c>
      <c r="L405" t="s">
        <v>22</v>
      </c>
    </row>
    <row r="406" spans="1:12" x14ac:dyDescent="0.35">
      <c r="A406" t="s">
        <v>444</v>
      </c>
      <c r="B406">
        <v>59</v>
      </c>
      <c r="C406" t="s">
        <v>20</v>
      </c>
      <c r="D406" t="s">
        <v>29</v>
      </c>
      <c r="E406" t="s">
        <v>17</v>
      </c>
      <c r="F406">
        <v>45968</v>
      </c>
      <c r="G406" t="s">
        <v>37</v>
      </c>
      <c r="H406">
        <v>6921.0203757044292</v>
      </c>
      <c r="I406">
        <v>179</v>
      </c>
      <c r="J406" t="s">
        <v>18</v>
      </c>
      <c r="K406">
        <v>45979</v>
      </c>
      <c r="L406" t="s">
        <v>27</v>
      </c>
    </row>
    <row r="407" spans="1:12" x14ac:dyDescent="0.35">
      <c r="A407" t="s">
        <v>445</v>
      </c>
      <c r="B407">
        <v>85</v>
      </c>
      <c r="C407" t="s">
        <v>11</v>
      </c>
      <c r="D407" t="s">
        <v>34</v>
      </c>
      <c r="E407" t="s">
        <v>24</v>
      </c>
      <c r="F407">
        <v>45673</v>
      </c>
      <c r="G407" t="s">
        <v>39</v>
      </c>
      <c r="H407">
        <v>18326.850650381581</v>
      </c>
      <c r="I407">
        <v>293</v>
      </c>
      <c r="J407" t="s">
        <v>25</v>
      </c>
      <c r="K407">
        <v>45678</v>
      </c>
      <c r="L407" t="s">
        <v>22</v>
      </c>
    </row>
    <row r="408" spans="1:12" x14ac:dyDescent="0.35">
      <c r="A408" t="s">
        <v>446</v>
      </c>
      <c r="B408">
        <v>67</v>
      </c>
      <c r="C408" t="s">
        <v>11</v>
      </c>
      <c r="D408" t="s">
        <v>21</v>
      </c>
      <c r="E408" t="s">
        <v>32</v>
      </c>
      <c r="F408">
        <v>45715</v>
      </c>
      <c r="G408" t="s">
        <v>39</v>
      </c>
      <c r="H408">
        <v>22740.130276558069</v>
      </c>
      <c r="I408">
        <v>487</v>
      </c>
      <c r="J408" t="s">
        <v>18</v>
      </c>
      <c r="K408">
        <v>45720</v>
      </c>
      <c r="L408" t="s">
        <v>31</v>
      </c>
    </row>
    <row r="409" spans="1:12" x14ac:dyDescent="0.35">
      <c r="A409" t="s">
        <v>447</v>
      </c>
      <c r="B409">
        <v>58</v>
      </c>
      <c r="C409" t="s">
        <v>11</v>
      </c>
      <c r="D409" t="s">
        <v>23</v>
      </c>
      <c r="E409" t="s">
        <v>32</v>
      </c>
      <c r="F409">
        <v>45864</v>
      </c>
      <c r="G409" t="s">
        <v>37</v>
      </c>
      <c r="H409">
        <v>44972.17289651301</v>
      </c>
      <c r="I409">
        <v>202</v>
      </c>
      <c r="J409" t="s">
        <v>25</v>
      </c>
      <c r="K409">
        <v>45869</v>
      </c>
      <c r="L409" t="s">
        <v>19</v>
      </c>
    </row>
    <row r="410" spans="1:12" x14ac:dyDescent="0.35">
      <c r="A410" t="s">
        <v>448</v>
      </c>
      <c r="B410">
        <v>66</v>
      </c>
      <c r="C410" t="s">
        <v>20</v>
      </c>
      <c r="D410" t="s">
        <v>26</v>
      </c>
      <c r="E410" t="s">
        <v>24</v>
      </c>
      <c r="F410">
        <v>46004</v>
      </c>
      <c r="G410" t="s">
        <v>39</v>
      </c>
      <c r="H410">
        <v>34254.69091297358</v>
      </c>
      <c r="I410">
        <v>411</v>
      </c>
      <c r="J410" t="s">
        <v>18</v>
      </c>
      <c r="K410">
        <v>46006</v>
      </c>
      <c r="L410" t="s">
        <v>15</v>
      </c>
    </row>
    <row r="411" spans="1:12" x14ac:dyDescent="0.35">
      <c r="A411" t="s">
        <v>449</v>
      </c>
      <c r="B411">
        <v>62</v>
      </c>
      <c r="C411" t="s">
        <v>20</v>
      </c>
      <c r="D411" t="s">
        <v>21</v>
      </c>
      <c r="E411" t="s">
        <v>28</v>
      </c>
      <c r="F411">
        <v>45977</v>
      </c>
      <c r="G411" t="s">
        <v>36</v>
      </c>
      <c r="H411">
        <v>3182.7095638784249</v>
      </c>
      <c r="I411">
        <v>150</v>
      </c>
      <c r="J411" t="s">
        <v>25</v>
      </c>
      <c r="K411">
        <v>45985</v>
      </c>
      <c r="L411" t="s">
        <v>27</v>
      </c>
    </row>
    <row r="412" spans="1:12" x14ac:dyDescent="0.35">
      <c r="A412" t="s">
        <v>450</v>
      </c>
      <c r="B412">
        <v>53</v>
      </c>
      <c r="C412" t="s">
        <v>11</v>
      </c>
      <c r="D412" t="s">
        <v>21</v>
      </c>
      <c r="E412" t="s">
        <v>32</v>
      </c>
      <c r="F412">
        <v>45680</v>
      </c>
      <c r="G412" t="s">
        <v>37</v>
      </c>
      <c r="H412">
        <v>14210.81732100748</v>
      </c>
      <c r="I412">
        <v>409</v>
      </c>
      <c r="J412" t="s">
        <v>18</v>
      </c>
      <c r="K412">
        <v>45689</v>
      </c>
      <c r="L412" t="s">
        <v>19</v>
      </c>
    </row>
    <row r="413" spans="1:12" x14ac:dyDescent="0.35">
      <c r="A413" t="s">
        <v>451</v>
      </c>
      <c r="B413">
        <v>37</v>
      </c>
      <c r="C413" t="s">
        <v>20</v>
      </c>
      <c r="D413" t="s">
        <v>26</v>
      </c>
      <c r="E413" t="s">
        <v>17</v>
      </c>
      <c r="F413">
        <v>45693</v>
      </c>
      <c r="G413" t="s">
        <v>36</v>
      </c>
      <c r="H413">
        <v>19187.916437277308</v>
      </c>
      <c r="I413">
        <v>321</v>
      </c>
      <c r="J413" t="s">
        <v>18</v>
      </c>
      <c r="K413">
        <v>45696</v>
      </c>
      <c r="L413" t="s">
        <v>31</v>
      </c>
    </row>
    <row r="414" spans="1:12" x14ac:dyDescent="0.35">
      <c r="A414" t="s">
        <v>452</v>
      </c>
      <c r="B414">
        <v>76</v>
      </c>
      <c r="C414" t="s">
        <v>20</v>
      </c>
      <c r="D414" t="s">
        <v>34</v>
      </c>
      <c r="E414" t="s">
        <v>30</v>
      </c>
      <c r="F414">
        <v>45800</v>
      </c>
      <c r="G414" t="s">
        <v>39</v>
      </c>
      <c r="H414">
        <v>45996.556668530611</v>
      </c>
      <c r="I414">
        <v>221</v>
      </c>
      <c r="J414" t="s">
        <v>25</v>
      </c>
      <c r="K414">
        <v>45808</v>
      </c>
      <c r="L414" t="s">
        <v>19</v>
      </c>
    </row>
    <row r="415" spans="1:12" x14ac:dyDescent="0.35">
      <c r="A415" t="s">
        <v>453</v>
      </c>
      <c r="B415">
        <v>73</v>
      </c>
      <c r="C415" t="s">
        <v>11</v>
      </c>
      <c r="D415" t="s">
        <v>16</v>
      </c>
      <c r="E415" t="s">
        <v>28</v>
      </c>
      <c r="F415">
        <v>45913</v>
      </c>
      <c r="G415" t="s">
        <v>36</v>
      </c>
      <c r="H415">
        <v>49464.130858971068</v>
      </c>
      <c r="I415">
        <v>410</v>
      </c>
      <c r="J415" t="s">
        <v>25</v>
      </c>
      <c r="K415">
        <v>45915</v>
      </c>
      <c r="L415" t="s">
        <v>22</v>
      </c>
    </row>
    <row r="416" spans="1:12" x14ac:dyDescent="0.35">
      <c r="A416" t="s">
        <v>454</v>
      </c>
      <c r="B416">
        <v>20</v>
      </c>
      <c r="C416" t="s">
        <v>20</v>
      </c>
      <c r="D416" t="s">
        <v>16</v>
      </c>
      <c r="E416" t="s">
        <v>13</v>
      </c>
      <c r="F416">
        <v>45918</v>
      </c>
      <c r="G416" t="s">
        <v>36</v>
      </c>
      <c r="H416">
        <v>34548.142722503311</v>
      </c>
      <c r="I416">
        <v>194</v>
      </c>
      <c r="J416" t="s">
        <v>25</v>
      </c>
      <c r="K416">
        <v>45926</v>
      </c>
      <c r="L416" t="s">
        <v>27</v>
      </c>
    </row>
    <row r="417" spans="1:12" x14ac:dyDescent="0.35">
      <c r="A417" t="s">
        <v>455</v>
      </c>
      <c r="B417">
        <v>24</v>
      </c>
      <c r="C417" t="s">
        <v>11</v>
      </c>
      <c r="D417" t="s">
        <v>12</v>
      </c>
      <c r="E417" t="s">
        <v>30</v>
      </c>
      <c r="F417">
        <v>45887</v>
      </c>
      <c r="G417" t="s">
        <v>36</v>
      </c>
      <c r="H417">
        <v>8985.0292546301807</v>
      </c>
      <c r="I417">
        <v>359</v>
      </c>
      <c r="J417" t="s">
        <v>18</v>
      </c>
      <c r="K417">
        <v>45894</v>
      </c>
      <c r="L417" t="s">
        <v>19</v>
      </c>
    </row>
    <row r="418" spans="1:12" x14ac:dyDescent="0.35">
      <c r="A418" t="s">
        <v>456</v>
      </c>
      <c r="B418">
        <v>53</v>
      </c>
      <c r="C418" t="s">
        <v>11</v>
      </c>
      <c r="D418" t="s">
        <v>12</v>
      </c>
      <c r="E418" t="s">
        <v>24</v>
      </c>
      <c r="F418">
        <v>45840</v>
      </c>
      <c r="G418" t="s">
        <v>39</v>
      </c>
      <c r="H418">
        <v>44103.391297167829</v>
      </c>
      <c r="I418">
        <v>430</v>
      </c>
      <c r="J418" t="s">
        <v>25</v>
      </c>
      <c r="K418">
        <v>45848</v>
      </c>
      <c r="L418" t="s">
        <v>27</v>
      </c>
    </row>
    <row r="419" spans="1:12" x14ac:dyDescent="0.35">
      <c r="A419" t="s">
        <v>457</v>
      </c>
      <c r="B419">
        <v>28</v>
      </c>
      <c r="C419" t="s">
        <v>20</v>
      </c>
      <c r="D419" t="s">
        <v>34</v>
      </c>
      <c r="E419" t="s">
        <v>30</v>
      </c>
      <c r="F419">
        <v>45722</v>
      </c>
      <c r="G419" t="s">
        <v>37</v>
      </c>
      <c r="H419">
        <v>43367.122493264913</v>
      </c>
      <c r="I419">
        <v>201</v>
      </c>
      <c r="J419" t="s">
        <v>25</v>
      </c>
      <c r="K419">
        <v>45726</v>
      </c>
      <c r="L419" t="s">
        <v>31</v>
      </c>
    </row>
    <row r="420" spans="1:12" x14ac:dyDescent="0.35">
      <c r="A420" t="s">
        <v>458</v>
      </c>
      <c r="B420">
        <v>69</v>
      </c>
      <c r="C420" t="s">
        <v>20</v>
      </c>
      <c r="D420" t="s">
        <v>12</v>
      </c>
      <c r="E420" t="s">
        <v>24</v>
      </c>
      <c r="F420">
        <v>45936</v>
      </c>
      <c r="G420" t="s">
        <v>36</v>
      </c>
      <c r="H420">
        <v>11610.636907342951</v>
      </c>
      <c r="I420">
        <v>114</v>
      </c>
      <c r="J420" t="s">
        <v>18</v>
      </c>
      <c r="K420">
        <v>45944</v>
      </c>
      <c r="L420" t="s">
        <v>22</v>
      </c>
    </row>
    <row r="421" spans="1:12" x14ac:dyDescent="0.35">
      <c r="A421" t="s">
        <v>459</v>
      </c>
      <c r="B421">
        <v>29</v>
      </c>
      <c r="C421" t="s">
        <v>20</v>
      </c>
      <c r="D421" t="s">
        <v>26</v>
      </c>
      <c r="E421" t="s">
        <v>17</v>
      </c>
      <c r="F421">
        <v>45977</v>
      </c>
      <c r="G421" t="s">
        <v>37</v>
      </c>
      <c r="H421">
        <v>22117.356454379391</v>
      </c>
      <c r="I421">
        <v>241</v>
      </c>
      <c r="J421" t="s">
        <v>18</v>
      </c>
      <c r="K421">
        <v>45987</v>
      </c>
      <c r="L421" t="s">
        <v>15</v>
      </c>
    </row>
    <row r="422" spans="1:12" x14ac:dyDescent="0.35">
      <c r="A422" t="s">
        <v>460</v>
      </c>
      <c r="B422">
        <v>75</v>
      </c>
      <c r="C422" t="s">
        <v>20</v>
      </c>
      <c r="D422" t="s">
        <v>23</v>
      </c>
      <c r="E422" t="s">
        <v>24</v>
      </c>
      <c r="F422">
        <v>45682</v>
      </c>
      <c r="G422" t="s">
        <v>37</v>
      </c>
      <c r="H422">
        <v>38396.924370638902</v>
      </c>
      <c r="I422">
        <v>228</v>
      </c>
      <c r="J422" t="s">
        <v>18</v>
      </c>
      <c r="K422">
        <v>45690</v>
      </c>
      <c r="L422" t="s">
        <v>22</v>
      </c>
    </row>
    <row r="423" spans="1:12" x14ac:dyDescent="0.35">
      <c r="A423" t="s">
        <v>461</v>
      </c>
      <c r="B423">
        <v>25</v>
      </c>
      <c r="C423" t="s">
        <v>20</v>
      </c>
      <c r="D423" t="s">
        <v>26</v>
      </c>
      <c r="E423" t="s">
        <v>28</v>
      </c>
      <c r="F423">
        <v>45791</v>
      </c>
      <c r="G423" t="s">
        <v>36</v>
      </c>
      <c r="H423">
        <v>36218.558928078528</v>
      </c>
      <c r="I423">
        <v>334</v>
      </c>
      <c r="J423" t="s">
        <v>25</v>
      </c>
      <c r="K423">
        <v>45794</v>
      </c>
      <c r="L423" t="s">
        <v>15</v>
      </c>
    </row>
    <row r="424" spans="1:12" x14ac:dyDescent="0.35">
      <c r="A424" t="s">
        <v>462</v>
      </c>
      <c r="B424">
        <v>65</v>
      </c>
      <c r="C424" t="s">
        <v>11</v>
      </c>
      <c r="D424" t="s">
        <v>21</v>
      </c>
      <c r="E424" t="s">
        <v>32</v>
      </c>
      <c r="F424">
        <v>45663</v>
      </c>
      <c r="G424" t="s">
        <v>37</v>
      </c>
      <c r="H424">
        <v>11230.496505544081</v>
      </c>
      <c r="I424">
        <v>150</v>
      </c>
      <c r="J424" t="s">
        <v>18</v>
      </c>
      <c r="K424">
        <v>45677</v>
      </c>
      <c r="L424" t="s">
        <v>31</v>
      </c>
    </row>
    <row r="425" spans="1:12" x14ac:dyDescent="0.35">
      <c r="A425" t="s">
        <v>463</v>
      </c>
      <c r="B425">
        <v>60</v>
      </c>
      <c r="C425" t="s">
        <v>20</v>
      </c>
      <c r="D425" t="s">
        <v>23</v>
      </c>
      <c r="E425" t="s">
        <v>17</v>
      </c>
      <c r="F425">
        <v>45681</v>
      </c>
      <c r="G425" t="s">
        <v>37</v>
      </c>
      <c r="H425">
        <v>13848.439557141481</v>
      </c>
      <c r="I425">
        <v>351</v>
      </c>
      <c r="J425" t="s">
        <v>25</v>
      </c>
      <c r="K425">
        <v>45684</v>
      </c>
      <c r="L425" t="s">
        <v>15</v>
      </c>
    </row>
    <row r="426" spans="1:12" x14ac:dyDescent="0.35">
      <c r="A426" t="s">
        <v>464</v>
      </c>
      <c r="B426">
        <v>39</v>
      </c>
      <c r="C426" t="s">
        <v>20</v>
      </c>
      <c r="D426" t="s">
        <v>33</v>
      </c>
      <c r="E426" t="s">
        <v>13</v>
      </c>
      <c r="F426">
        <v>45715</v>
      </c>
      <c r="G426" t="s">
        <v>36</v>
      </c>
      <c r="H426">
        <v>28189.51024160485</v>
      </c>
      <c r="I426">
        <v>432</v>
      </c>
      <c r="J426" t="s">
        <v>18</v>
      </c>
      <c r="K426">
        <v>45722</v>
      </c>
      <c r="L426" t="s">
        <v>15</v>
      </c>
    </row>
    <row r="427" spans="1:12" x14ac:dyDescent="0.35">
      <c r="A427" t="s">
        <v>465</v>
      </c>
      <c r="B427">
        <v>64</v>
      </c>
      <c r="C427" t="s">
        <v>11</v>
      </c>
      <c r="D427" t="s">
        <v>21</v>
      </c>
      <c r="E427" t="s">
        <v>17</v>
      </c>
      <c r="F427">
        <v>45785</v>
      </c>
      <c r="G427" t="s">
        <v>39</v>
      </c>
      <c r="H427">
        <v>12320.889095153711</v>
      </c>
      <c r="I427">
        <v>229</v>
      </c>
      <c r="J427" t="s">
        <v>25</v>
      </c>
      <c r="K427">
        <v>45799</v>
      </c>
      <c r="L427" t="s">
        <v>19</v>
      </c>
    </row>
    <row r="428" spans="1:12" x14ac:dyDescent="0.35">
      <c r="A428" t="s">
        <v>466</v>
      </c>
      <c r="B428">
        <v>69</v>
      </c>
      <c r="C428" t="s">
        <v>11</v>
      </c>
      <c r="D428" t="s">
        <v>34</v>
      </c>
      <c r="E428" t="s">
        <v>13</v>
      </c>
      <c r="F428">
        <v>45824</v>
      </c>
      <c r="G428" t="s">
        <v>36</v>
      </c>
      <c r="H428">
        <v>979.26284857347082</v>
      </c>
      <c r="I428">
        <v>431</v>
      </c>
      <c r="J428" t="s">
        <v>25</v>
      </c>
      <c r="K428">
        <v>45828</v>
      </c>
      <c r="L428" t="s">
        <v>31</v>
      </c>
    </row>
    <row r="429" spans="1:12" x14ac:dyDescent="0.35">
      <c r="A429" t="s">
        <v>467</v>
      </c>
      <c r="B429">
        <v>62</v>
      </c>
      <c r="C429" t="s">
        <v>20</v>
      </c>
      <c r="D429" t="s">
        <v>29</v>
      </c>
      <c r="E429" t="s">
        <v>28</v>
      </c>
      <c r="F429">
        <v>45957</v>
      </c>
      <c r="G429" t="s">
        <v>38</v>
      </c>
      <c r="H429">
        <v>36169.217080605224</v>
      </c>
      <c r="I429">
        <v>233</v>
      </c>
      <c r="J429" t="s">
        <v>25</v>
      </c>
      <c r="K429">
        <v>45959</v>
      </c>
      <c r="L429" t="s">
        <v>31</v>
      </c>
    </row>
    <row r="430" spans="1:12" x14ac:dyDescent="0.35">
      <c r="A430" t="s">
        <v>468</v>
      </c>
      <c r="B430">
        <v>84</v>
      </c>
      <c r="C430" t="s">
        <v>11</v>
      </c>
      <c r="D430" t="s">
        <v>34</v>
      </c>
      <c r="E430" t="s">
        <v>13</v>
      </c>
      <c r="F430">
        <v>45680</v>
      </c>
      <c r="G430" t="s">
        <v>37</v>
      </c>
      <c r="H430">
        <v>45256.486445423783</v>
      </c>
      <c r="I430">
        <v>335</v>
      </c>
      <c r="J430" t="s">
        <v>18</v>
      </c>
      <c r="K430">
        <v>45684</v>
      </c>
      <c r="L430" t="s">
        <v>22</v>
      </c>
    </row>
    <row r="431" spans="1:12" x14ac:dyDescent="0.35">
      <c r="A431" t="s">
        <v>469</v>
      </c>
      <c r="B431">
        <v>26</v>
      </c>
      <c r="C431" t="s">
        <v>11</v>
      </c>
      <c r="D431" t="s">
        <v>23</v>
      </c>
      <c r="E431" t="s">
        <v>17</v>
      </c>
      <c r="F431">
        <v>45961</v>
      </c>
      <c r="G431" t="s">
        <v>37</v>
      </c>
      <c r="H431">
        <v>8122.839903504102</v>
      </c>
      <c r="I431">
        <v>425</v>
      </c>
      <c r="J431" t="s">
        <v>18</v>
      </c>
      <c r="K431">
        <v>45964</v>
      </c>
      <c r="L431" t="s">
        <v>19</v>
      </c>
    </row>
    <row r="432" spans="1:12" x14ac:dyDescent="0.35">
      <c r="A432" t="s">
        <v>470</v>
      </c>
      <c r="B432">
        <v>52</v>
      </c>
      <c r="C432" t="s">
        <v>20</v>
      </c>
      <c r="D432" t="s">
        <v>12</v>
      </c>
      <c r="E432" t="s">
        <v>24</v>
      </c>
      <c r="F432">
        <v>45900</v>
      </c>
      <c r="G432" t="s">
        <v>39</v>
      </c>
      <c r="H432">
        <v>2725.3809771642909</v>
      </c>
      <c r="I432">
        <v>299</v>
      </c>
      <c r="J432" t="s">
        <v>25</v>
      </c>
      <c r="K432">
        <v>45907</v>
      </c>
      <c r="L432" t="s">
        <v>15</v>
      </c>
    </row>
    <row r="433" spans="1:12" x14ac:dyDescent="0.35">
      <c r="A433" t="s">
        <v>471</v>
      </c>
      <c r="B433">
        <v>35</v>
      </c>
      <c r="C433" t="s">
        <v>20</v>
      </c>
      <c r="D433" t="s">
        <v>33</v>
      </c>
      <c r="E433" t="s">
        <v>24</v>
      </c>
      <c r="F433">
        <v>45677</v>
      </c>
      <c r="G433" t="s">
        <v>38</v>
      </c>
      <c r="H433">
        <v>40250.949663900887</v>
      </c>
      <c r="I433">
        <v>329</v>
      </c>
      <c r="J433" t="s">
        <v>18</v>
      </c>
      <c r="K433">
        <v>45688</v>
      </c>
      <c r="L433" t="s">
        <v>22</v>
      </c>
    </row>
    <row r="434" spans="1:12" x14ac:dyDescent="0.35">
      <c r="A434" t="s">
        <v>472</v>
      </c>
      <c r="B434">
        <v>67</v>
      </c>
      <c r="C434" t="s">
        <v>20</v>
      </c>
      <c r="D434" t="s">
        <v>26</v>
      </c>
      <c r="E434" t="s">
        <v>17</v>
      </c>
      <c r="F434">
        <v>45818</v>
      </c>
      <c r="G434" t="s">
        <v>36</v>
      </c>
      <c r="H434">
        <v>10501.38419646004</v>
      </c>
      <c r="I434">
        <v>176</v>
      </c>
      <c r="J434" t="s">
        <v>18</v>
      </c>
      <c r="K434">
        <v>45829</v>
      </c>
      <c r="L434" t="s">
        <v>15</v>
      </c>
    </row>
    <row r="435" spans="1:12" x14ac:dyDescent="0.35">
      <c r="A435" t="s">
        <v>473</v>
      </c>
      <c r="B435">
        <v>52</v>
      </c>
      <c r="C435" t="s">
        <v>11</v>
      </c>
      <c r="D435" t="s">
        <v>26</v>
      </c>
      <c r="E435" t="s">
        <v>30</v>
      </c>
      <c r="F435">
        <v>45672</v>
      </c>
      <c r="G435" t="s">
        <v>38</v>
      </c>
      <c r="H435">
        <v>12968.321546223169</v>
      </c>
      <c r="I435">
        <v>338</v>
      </c>
      <c r="J435" t="s">
        <v>18</v>
      </c>
      <c r="K435">
        <v>45683</v>
      </c>
      <c r="L435" t="s">
        <v>19</v>
      </c>
    </row>
    <row r="436" spans="1:12" x14ac:dyDescent="0.35">
      <c r="A436" t="s">
        <v>474</v>
      </c>
      <c r="B436">
        <v>53</v>
      </c>
      <c r="C436" t="s">
        <v>20</v>
      </c>
      <c r="D436" t="s">
        <v>33</v>
      </c>
      <c r="E436" t="s">
        <v>13</v>
      </c>
      <c r="F436">
        <v>45872</v>
      </c>
      <c r="G436" t="s">
        <v>36</v>
      </c>
      <c r="H436">
        <v>27209.852533162171</v>
      </c>
      <c r="I436">
        <v>213</v>
      </c>
      <c r="J436" t="s">
        <v>25</v>
      </c>
      <c r="K436">
        <v>45873</v>
      </c>
      <c r="L436" t="s">
        <v>27</v>
      </c>
    </row>
    <row r="437" spans="1:12" x14ac:dyDescent="0.35">
      <c r="A437" t="s">
        <v>475</v>
      </c>
      <c r="B437">
        <v>54</v>
      </c>
      <c r="C437" t="s">
        <v>11</v>
      </c>
      <c r="D437" t="s">
        <v>26</v>
      </c>
      <c r="E437" t="s">
        <v>28</v>
      </c>
      <c r="F437">
        <v>45674</v>
      </c>
      <c r="G437" t="s">
        <v>38</v>
      </c>
      <c r="H437">
        <v>21650.838923354058</v>
      </c>
      <c r="I437">
        <v>151</v>
      </c>
      <c r="J437" t="s">
        <v>18</v>
      </c>
      <c r="K437">
        <v>45685</v>
      </c>
      <c r="L437" t="s">
        <v>22</v>
      </c>
    </row>
    <row r="438" spans="1:12" x14ac:dyDescent="0.35">
      <c r="A438" t="s">
        <v>476</v>
      </c>
      <c r="B438">
        <v>73</v>
      </c>
      <c r="C438" t="s">
        <v>11</v>
      </c>
      <c r="D438" t="s">
        <v>21</v>
      </c>
      <c r="E438" t="s">
        <v>30</v>
      </c>
      <c r="F438">
        <v>45758</v>
      </c>
      <c r="G438" t="s">
        <v>39</v>
      </c>
      <c r="H438">
        <v>28873.67381762862</v>
      </c>
      <c r="I438">
        <v>391</v>
      </c>
      <c r="J438" t="s">
        <v>18</v>
      </c>
      <c r="K438">
        <v>45760</v>
      </c>
      <c r="L438" t="s">
        <v>31</v>
      </c>
    </row>
    <row r="439" spans="1:12" x14ac:dyDescent="0.35">
      <c r="A439" t="s">
        <v>477</v>
      </c>
      <c r="B439">
        <v>46</v>
      </c>
      <c r="C439" t="s">
        <v>11</v>
      </c>
      <c r="D439" t="s">
        <v>26</v>
      </c>
      <c r="E439" t="s">
        <v>17</v>
      </c>
      <c r="F439">
        <v>45986</v>
      </c>
      <c r="G439" t="s">
        <v>37</v>
      </c>
      <c r="H439">
        <v>19702.951510836461</v>
      </c>
      <c r="I439">
        <v>246</v>
      </c>
      <c r="J439" t="s">
        <v>25</v>
      </c>
      <c r="K439">
        <v>45997</v>
      </c>
      <c r="L439" t="s">
        <v>15</v>
      </c>
    </row>
    <row r="440" spans="1:12" x14ac:dyDescent="0.35">
      <c r="A440" t="s">
        <v>478</v>
      </c>
      <c r="B440">
        <v>18</v>
      </c>
      <c r="C440" t="s">
        <v>20</v>
      </c>
      <c r="D440" t="s">
        <v>29</v>
      </c>
      <c r="E440" t="s">
        <v>24</v>
      </c>
      <c r="F440">
        <v>45725</v>
      </c>
      <c r="G440" t="s">
        <v>39</v>
      </c>
      <c r="H440">
        <v>17043.814514825899</v>
      </c>
      <c r="I440">
        <v>102</v>
      </c>
      <c r="J440" t="s">
        <v>18</v>
      </c>
      <c r="K440">
        <v>45732</v>
      </c>
      <c r="L440" t="s">
        <v>31</v>
      </c>
    </row>
    <row r="441" spans="1:12" x14ac:dyDescent="0.35">
      <c r="A441" t="s">
        <v>479</v>
      </c>
      <c r="B441">
        <v>83</v>
      </c>
      <c r="C441" t="s">
        <v>20</v>
      </c>
      <c r="D441" t="s">
        <v>12</v>
      </c>
      <c r="E441" t="s">
        <v>13</v>
      </c>
      <c r="F441">
        <v>45728</v>
      </c>
      <c r="G441" t="s">
        <v>36</v>
      </c>
      <c r="H441">
        <v>51899.015476957124</v>
      </c>
      <c r="I441">
        <v>125</v>
      </c>
      <c r="J441" t="s">
        <v>25</v>
      </c>
      <c r="K441">
        <v>45732</v>
      </c>
      <c r="L441" t="s">
        <v>22</v>
      </c>
    </row>
    <row r="442" spans="1:12" x14ac:dyDescent="0.35">
      <c r="A442" t="s">
        <v>480</v>
      </c>
      <c r="B442">
        <v>20</v>
      </c>
      <c r="C442" t="s">
        <v>11</v>
      </c>
      <c r="D442" t="s">
        <v>23</v>
      </c>
      <c r="E442" t="s">
        <v>32</v>
      </c>
      <c r="F442">
        <v>45719</v>
      </c>
      <c r="G442" t="s">
        <v>38</v>
      </c>
      <c r="H442">
        <v>10107.51885446999</v>
      </c>
      <c r="I442">
        <v>457</v>
      </c>
      <c r="J442" t="s">
        <v>25</v>
      </c>
      <c r="K442">
        <v>45724</v>
      </c>
      <c r="L442" t="s">
        <v>27</v>
      </c>
    </row>
    <row r="443" spans="1:12" x14ac:dyDescent="0.35">
      <c r="A443" t="s">
        <v>481</v>
      </c>
      <c r="B443">
        <v>38</v>
      </c>
      <c r="C443" t="s">
        <v>20</v>
      </c>
      <c r="D443" t="s">
        <v>29</v>
      </c>
      <c r="E443" t="s">
        <v>24</v>
      </c>
      <c r="F443">
        <v>45668</v>
      </c>
      <c r="G443" t="s">
        <v>36</v>
      </c>
      <c r="H443">
        <v>33796.715760554471</v>
      </c>
      <c r="I443">
        <v>456</v>
      </c>
      <c r="J443" t="s">
        <v>25</v>
      </c>
      <c r="K443">
        <v>45680</v>
      </c>
      <c r="L443" t="s">
        <v>19</v>
      </c>
    </row>
    <row r="444" spans="1:12" x14ac:dyDescent="0.35">
      <c r="A444" t="s">
        <v>482</v>
      </c>
      <c r="B444">
        <v>36</v>
      </c>
      <c r="C444" t="s">
        <v>11</v>
      </c>
      <c r="D444" t="s">
        <v>12</v>
      </c>
      <c r="E444" t="s">
        <v>24</v>
      </c>
      <c r="F444">
        <v>45769</v>
      </c>
      <c r="G444" t="s">
        <v>36</v>
      </c>
      <c r="H444">
        <v>21353.739445149571</v>
      </c>
      <c r="I444">
        <v>162</v>
      </c>
      <c r="J444" t="s">
        <v>18</v>
      </c>
      <c r="K444">
        <v>45776</v>
      </c>
      <c r="L444" t="s">
        <v>15</v>
      </c>
    </row>
    <row r="445" spans="1:12" x14ac:dyDescent="0.35">
      <c r="A445" t="s">
        <v>483</v>
      </c>
      <c r="B445">
        <v>67</v>
      </c>
      <c r="C445" t="s">
        <v>11</v>
      </c>
      <c r="D445" t="s">
        <v>33</v>
      </c>
      <c r="E445" t="s">
        <v>32</v>
      </c>
      <c r="F445">
        <v>45673</v>
      </c>
      <c r="G445" t="s">
        <v>38</v>
      </c>
      <c r="H445">
        <v>35906.188447406828</v>
      </c>
      <c r="I445">
        <v>121</v>
      </c>
      <c r="J445" t="s">
        <v>25</v>
      </c>
      <c r="K445">
        <v>45676</v>
      </c>
      <c r="L445" t="s">
        <v>22</v>
      </c>
    </row>
    <row r="446" spans="1:12" x14ac:dyDescent="0.35">
      <c r="A446" t="s">
        <v>484</v>
      </c>
      <c r="B446">
        <v>32</v>
      </c>
      <c r="C446" t="s">
        <v>11</v>
      </c>
      <c r="D446" t="s">
        <v>29</v>
      </c>
      <c r="E446" t="s">
        <v>24</v>
      </c>
      <c r="F446">
        <v>45832</v>
      </c>
      <c r="G446" t="s">
        <v>39</v>
      </c>
      <c r="H446">
        <v>41612.036883215733</v>
      </c>
      <c r="I446">
        <v>183</v>
      </c>
      <c r="J446" t="s">
        <v>18</v>
      </c>
      <c r="K446">
        <v>45837</v>
      </c>
      <c r="L446" t="s">
        <v>31</v>
      </c>
    </row>
    <row r="447" spans="1:12" x14ac:dyDescent="0.35">
      <c r="A447" t="s">
        <v>485</v>
      </c>
      <c r="B447">
        <v>30</v>
      </c>
      <c r="C447" t="s">
        <v>20</v>
      </c>
      <c r="D447" t="s">
        <v>12</v>
      </c>
      <c r="E447" t="s">
        <v>13</v>
      </c>
      <c r="F447">
        <v>45908</v>
      </c>
      <c r="G447" t="s">
        <v>38</v>
      </c>
      <c r="H447">
        <v>17404.502083819301</v>
      </c>
      <c r="I447">
        <v>489</v>
      </c>
      <c r="J447" t="s">
        <v>18</v>
      </c>
      <c r="K447">
        <v>45913</v>
      </c>
      <c r="L447" t="s">
        <v>31</v>
      </c>
    </row>
    <row r="448" spans="1:12" x14ac:dyDescent="0.35">
      <c r="A448" t="s">
        <v>486</v>
      </c>
      <c r="B448">
        <v>80</v>
      </c>
      <c r="C448" t="s">
        <v>11</v>
      </c>
      <c r="D448" t="s">
        <v>16</v>
      </c>
      <c r="E448" t="s">
        <v>17</v>
      </c>
      <c r="F448">
        <v>46001</v>
      </c>
      <c r="G448" t="s">
        <v>37</v>
      </c>
      <c r="H448">
        <v>12171.578028953651</v>
      </c>
      <c r="I448">
        <v>374</v>
      </c>
      <c r="J448" t="s">
        <v>18</v>
      </c>
      <c r="K448">
        <v>46013</v>
      </c>
      <c r="L448" t="s">
        <v>15</v>
      </c>
    </row>
    <row r="449" spans="1:12" x14ac:dyDescent="0.35">
      <c r="A449" t="s">
        <v>487</v>
      </c>
      <c r="B449">
        <v>24</v>
      </c>
      <c r="C449" t="s">
        <v>20</v>
      </c>
      <c r="D449" t="s">
        <v>26</v>
      </c>
      <c r="E449" t="s">
        <v>17</v>
      </c>
      <c r="F449">
        <v>45789</v>
      </c>
      <c r="G449" t="s">
        <v>38</v>
      </c>
      <c r="H449">
        <v>44846.735938410398</v>
      </c>
      <c r="I449">
        <v>297</v>
      </c>
      <c r="J449" t="s">
        <v>18</v>
      </c>
      <c r="K449">
        <v>45800</v>
      </c>
      <c r="L449" t="s">
        <v>31</v>
      </c>
    </row>
    <row r="450" spans="1:12" x14ac:dyDescent="0.35">
      <c r="A450" t="s">
        <v>488</v>
      </c>
      <c r="B450">
        <v>76</v>
      </c>
      <c r="C450" t="s">
        <v>11</v>
      </c>
      <c r="D450" t="s">
        <v>23</v>
      </c>
      <c r="E450" t="s">
        <v>28</v>
      </c>
      <c r="F450">
        <v>45798</v>
      </c>
      <c r="G450" t="s">
        <v>39</v>
      </c>
      <c r="H450">
        <v>18080.896523447471</v>
      </c>
      <c r="I450">
        <v>114</v>
      </c>
      <c r="J450" t="s">
        <v>18</v>
      </c>
      <c r="K450">
        <v>45806</v>
      </c>
      <c r="L450" t="s">
        <v>27</v>
      </c>
    </row>
    <row r="451" spans="1:12" x14ac:dyDescent="0.35">
      <c r="A451" t="s">
        <v>489</v>
      </c>
      <c r="B451">
        <v>57</v>
      </c>
      <c r="C451" t="s">
        <v>20</v>
      </c>
      <c r="D451" t="s">
        <v>34</v>
      </c>
      <c r="E451" t="s">
        <v>24</v>
      </c>
      <c r="F451">
        <v>45717</v>
      </c>
      <c r="G451" t="s">
        <v>37</v>
      </c>
      <c r="H451">
        <v>6126.7956341358367</v>
      </c>
      <c r="I451">
        <v>201</v>
      </c>
      <c r="J451" t="s">
        <v>18</v>
      </c>
      <c r="K451">
        <v>45718</v>
      </c>
      <c r="L451" t="s">
        <v>31</v>
      </c>
    </row>
    <row r="452" spans="1:12" x14ac:dyDescent="0.35">
      <c r="A452" t="s">
        <v>490</v>
      </c>
      <c r="B452">
        <v>84</v>
      </c>
      <c r="C452" t="s">
        <v>20</v>
      </c>
      <c r="D452" t="s">
        <v>23</v>
      </c>
      <c r="E452" t="s">
        <v>32</v>
      </c>
      <c r="F452">
        <v>45688</v>
      </c>
      <c r="G452" t="s">
        <v>39</v>
      </c>
      <c r="H452">
        <v>18933.077423108411</v>
      </c>
      <c r="I452">
        <v>304</v>
      </c>
      <c r="J452" t="s">
        <v>18</v>
      </c>
      <c r="K452">
        <v>45692</v>
      </c>
      <c r="L452" t="s">
        <v>15</v>
      </c>
    </row>
    <row r="453" spans="1:12" x14ac:dyDescent="0.35">
      <c r="A453" t="s">
        <v>491</v>
      </c>
      <c r="B453">
        <v>64</v>
      </c>
      <c r="C453" t="s">
        <v>20</v>
      </c>
      <c r="D453" t="s">
        <v>16</v>
      </c>
      <c r="E453" t="s">
        <v>28</v>
      </c>
      <c r="F453">
        <v>45931</v>
      </c>
      <c r="G453" t="s">
        <v>36</v>
      </c>
      <c r="H453">
        <v>7588.712520722218</v>
      </c>
      <c r="I453">
        <v>150</v>
      </c>
      <c r="J453" t="s">
        <v>18</v>
      </c>
      <c r="K453">
        <v>45938</v>
      </c>
      <c r="L453" t="s">
        <v>31</v>
      </c>
    </row>
    <row r="454" spans="1:12" x14ac:dyDescent="0.35">
      <c r="A454" t="s">
        <v>492</v>
      </c>
      <c r="B454">
        <v>26</v>
      </c>
      <c r="C454" t="s">
        <v>11</v>
      </c>
      <c r="D454" t="s">
        <v>26</v>
      </c>
      <c r="E454" t="s">
        <v>30</v>
      </c>
      <c r="F454">
        <v>45894</v>
      </c>
      <c r="G454" t="s">
        <v>36</v>
      </c>
      <c r="H454">
        <v>2352.7801412862168</v>
      </c>
      <c r="I454">
        <v>371</v>
      </c>
      <c r="J454" t="s">
        <v>25</v>
      </c>
      <c r="K454">
        <v>45898</v>
      </c>
      <c r="L454" t="s">
        <v>19</v>
      </c>
    </row>
    <row r="455" spans="1:12" x14ac:dyDescent="0.35">
      <c r="A455" t="s">
        <v>493</v>
      </c>
      <c r="B455">
        <v>23</v>
      </c>
      <c r="C455" t="s">
        <v>20</v>
      </c>
      <c r="D455" t="s">
        <v>34</v>
      </c>
      <c r="E455" t="s">
        <v>17</v>
      </c>
      <c r="F455">
        <v>45721</v>
      </c>
      <c r="G455" t="s">
        <v>39</v>
      </c>
      <c r="H455">
        <v>11986.480740122101</v>
      </c>
      <c r="I455">
        <v>282</v>
      </c>
      <c r="J455" t="s">
        <v>18</v>
      </c>
      <c r="K455">
        <v>45724</v>
      </c>
      <c r="L455" t="s">
        <v>19</v>
      </c>
    </row>
    <row r="456" spans="1:12" x14ac:dyDescent="0.35">
      <c r="A456" t="s">
        <v>494</v>
      </c>
      <c r="B456">
        <v>67</v>
      </c>
      <c r="C456" t="s">
        <v>20</v>
      </c>
      <c r="D456" t="s">
        <v>16</v>
      </c>
      <c r="E456" t="s">
        <v>24</v>
      </c>
      <c r="F456">
        <v>45869</v>
      </c>
      <c r="G456" t="s">
        <v>37</v>
      </c>
      <c r="H456">
        <v>3421.1417491810889</v>
      </c>
      <c r="I456">
        <v>319</v>
      </c>
      <c r="J456" t="s">
        <v>18</v>
      </c>
      <c r="K456">
        <v>45878</v>
      </c>
      <c r="L456" t="s">
        <v>15</v>
      </c>
    </row>
    <row r="457" spans="1:12" x14ac:dyDescent="0.35">
      <c r="A457" t="s">
        <v>495</v>
      </c>
      <c r="B457">
        <v>38</v>
      </c>
      <c r="C457" t="s">
        <v>11</v>
      </c>
      <c r="D457" t="s">
        <v>26</v>
      </c>
      <c r="E457" t="s">
        <v>32</v>
      </c>
      <c r="F457">
        <v>45820</v>
      </c>
      <c r="G457" t="s">
        <v>36</v>
      </c>
      <c r="H457">
        <v>7744.4729741370747</v>
      </c>
      <c r="I457">
        <v>205</v>
      </c>
      <c r="J457" t="s">
        <v>25</v>
      </c>
      <c r="K457">
        <v>45832</v>
      </c>
      <c r="L457" t="s">
        <v>27</v>
      </c>
    </row>
    <row r="458" spans="1:12" x14ac:dyDescent="0.35">
      <c r="A458" t="s">
        <v>496</v>
      </c>
      <c r="B458">
        <v>20</v>
      </c>
      <c r="C458" t="s">
        <v>20</v>
      </c>
      <c r="D458" t="s">
        <v>12</v>
      </c>
      <c r="E458" t="s">
        <v>28</v>
      </c>
      <c r="F458">
        <v>45933</v>
      </c>
      <c r="G458" t="s">
        <v>37</v>
      </c>
      <c r="H458">
        <v>17104.843252852679</v>
      </c>
      <c r="I458">
        <v>359</v>
      </c>
      <c r="J458" t="s">
        <v>18</v>
      </c>
      <c r="K458">
        <v>45943</v>
      </c>
      <c r="L458" t="s">
        <v>31</v>
      </c>
    </row>
    <row r="459" spans="1:12" x14ac:dyDescent="0.35">
      <c r="A459" t="s">
        <v>497</v>
      </c>
      <c r="B459">
        <v>29</v>
      </c>
      <c r="C459" t="s">
        <v>20</v>
      </c>
      <c r="D459" t="s">
        <v>16</v>
      </c>
      <c r="E459" t="s">
        <v>30</v>
      </c>
      <c r="F459">
        <v>45834</v>
      </c>
      <c r="G459" t="s">
        <v>36</v>
      </c>
      <c r="H459">
        <v>19011.442046608339</v>
      </c>
      <c r="I459">
        <v>205</v>
      </c>
      <c r="J459" t="s">
        <v>18</v>
      </c>
      <c r="K459">
        <v>45842</v>
      </c>
      <c r="L459" t="s">
        <v>27</v>
      </c>
    </row>
    <row r="460" spans="1:12" x14ac:dyDescent="0.35">
      <c r="A460" t="s">
        <v>498</v>
      </c>
      <c r="B460">
        <v>51</v>
      </c>
      <c r="C460" t="s">
        <v>11</v>
      </c>
      <c r="D460" t="s">
        <v>34</v>
      </c>
      <c r="E460" t="s">
        <v>32</v>
      </c>
      <c r="F460">
        <v>45913</v>
      </c>
      <c r="G460" t="s">
        <v>39</v>
      </c>
      <c r="H460">
        <v>15188.190391994031</v>
      </c>
      <c r="I460">
        <v>396</v>
      </c>
      <c r="J460" t="s">
        <v>18</v>
      </c>
      <c r="K460">
        <v>45914</v>
      </c>
      <c r="L460" t="s">
        <v>22</v>
      </c>
    </row>
    <row r="461" spans="1:12" x14ac:dyDescent="0.35">
      <c r="A461" t="s">
        <v>499</v>
      </c>
      <c r="B461">
        <v>23</v>
      </c>
      <c r="C461" t="s">
        <v>11</v>
      </c>
      <c r="D461" t="s">
        <v>23</v>
      </c>
      <c r="E461" t="s">
        <v>32</v>
      </c>
      <c r="F461">
        <v>45712</v>
      </c>
      <c r="G461" t="s">
        <v>37</v>
      </c>
      <c r="H461">
        <v>12052.21107360632</v>
      </c>
      <c r="I461">
        <v>360</v>
      </c>
      <c r="J461" t="s">
        <v>25</v>
      </c>
      <c r="K461">
        <v>45725</v>
      </c>
      <c r="L461" t="s">
        <v>27</v>
      </c>
    </row>
    <row r="462" spans="1:12" x14ac:dyDescent="0.35">
      <c r="A462" t="s">
        <v>500</v>
      </c>
      <c r="B462">
        <v>68</v>
      </c>
      <c r="C462" t="s">
        <v>11</v>
      </c>
      <c r="D462" t="s">
        <v>23</v>
      </c>
      <c r="E462" t="s">
        <v>24</v>
      </c>
      <c r="F462">
        <v>46011</v>
      </c>
      <c r="G462" t="s">
        <v>37</v>
      </c>
      <c r="H462">
        <v>39030.528217438281</v>
      </c>
      <c r="I462">
        <v>327</v>
      </c>
      <c r="J462" t="s">
        <v>25</v>
      </c>
      <c r="K462">
        <v>46012</v>
      </c>
      <c r="L462" t="s">
        <v>31</v>
      </c>
    </row>
    <row r="463" spans="1:12" x14ac:dyDescent="0.35">
      <c r="A463" t="s">
        <v>501</v>
      </c>
      <c r="B463">
        <v>78</v>
      </c>
      <c r="C463" t="s">
        <v>11</v>
      </c>
      <c r="D463" t="s">
        <v>23</v>
      </c>
      <c r="E463" t="s">
        <v>30</v>
      </c>
      <c r="F463">
        <v>45961</v>
      </c>
      <c r="G463" t="s">
        <v>38</v>
      </c>
      <c r="H463">
        <v>33591.224131166142</v>
      </c>
      <c r="I463">
        <v>226</v>
      </c>
      <c r="J463" t="s">
        <v>25</v>
      </c>
      <c r="K463">
        <v>45968</v>
      </c>
      <c r="L463" t="s">
        <v>31</v>
      </c>
    </row>
    <row r="464" spans="1:12" x14ac:dyDescent="0.35">
      <c r="A464" t="s">
        <v>502</v>
      </c>
      <c r="B464">
        <v>34</v>
      </c>
      <c r="C464" t="s">
        <v>20</v>
      </c>
      <c r="D464" t="s">
        <v>34</v>
      </c>
      <c r="E464" t="s">
        <v>13</v>
      </c>
      <c r="F464">
        <v>45774</v>
      </c>
      <c r="G464" t="s">
        <v>37</v>
      </c>
      <c r="H464">
        <v>20086.903608660399</v>
      </c>
      <c r="I464">
        <v>336</v>
      </c>
      <c r="J464" t="s">
        <v>25</v>
      </c>
      <c r="K464">
        <v>45785</v>
      </c>
      <c r="L464" t="s">
        <v>15</v>
      </c>
    </row>
    <row r="465" spans="1:12" x14ac:dyDescent="0.35">
      <c r="A465" t="s">
        <v>503</v>
      </c>
      <c r="B465">
        <v>61</v>
      </c>
      <c r="C465" t="s">
        <v>11</v>
      </c>
      <c r="D465" t="s">
        <v>33</v>
      </c>
      <c r="E465" t="s">
        <v>28</v>
      </c>
      <c r="F465">
        <v>45895</v>
      </c>
      <c r="G465" t="s">
        <v>39</v>
      </c>
      <c r="H465">
        <v>26749.101188101471</v>
      </c>
      <c r="I465">
        <v>422</v>
      </c>
      <c r="J465" t="s">
        <v>18</v>
      </c>
      <c r="K465">
        <v>45901</v>
      </c>
      <c r="L465" t="s">
        <v>22</v>
      </c>
    </row>
    <row r="466" spans="1:12" x14ac:dyDescent="0.35">
      <c r="A466" t="s">
        <v>504</v>
      </c>
      <c r="B466">
        <v>39</v>
      </c>
      <c r="C466" t="s">
        <v>20</v>
      </c>
      <c r="D466" t="s">
        <v>33</v>
      </c>
      <c r="E466" t="s">
        <v>30</v>
      </c>
      <c r="F466">
        <v>45780</v>
      </c>
      <c r="G466" t="s">
        <v>37</v>
      </c>
      <c r="H466">
        <v>11965.677958288539</v>
      </c>
      <c r="I466">
        <v>318</v>
      </c>
      <c r="J466" t="s">
        <v>25</v>
      </c>
      <c r="K466">
        <v>45784</v>
      </c>
      <c r="L466" t="s">
        <v>19</v>
      </c>
    </row>
    <row r="467" spans="1:12" x14ac:dyDescent="0.35">
      <c r="A467" t="s">
        <v>505</v>
      </c>
      <c r="B467">
        <v>50</v>
      </c>
      <c r="C467" t="s">
        <v>11</v>
      </c>
      <c r="D467" t="s">
        <v>12</v>
      </c>
      <c r="E467" t="s">
        <v>30</v>
      </c>
      <c r="F467">
        <v>45973</v>
      </c>
      <c r="G467" t="s">
        <v>39</v>
      </c>
      <c r="H467">
        <v>19882.384409340899</v>
      </c>
      <c r="I467">
        <v>299</v>
      </c>
      <c r="J467" t="s">
        <v>18</v>
      </c>
      <c r="K467">
        <v>45974</v>
      </c>
      <c r="L467" t="s">
        <v>15</v>
      </c>
    </row>
    <row r="468" spans="1:12" x14ac:dyDescent="0.35">
      <c r="A468" t="s">
        <v>506</v>
      </c>
      <c r="B468">
        <v>53</v>
      </c>
      <c r="C468" t="s">
        <v>11</v>
      </c>
      <c r="D468" t="s">
        <v>16</v>
      </c>
      <c r="E468" t="s">
        <v>28</v>
      </c>
      <c r="F468">
        <v>45955</v>
      </c>
      <c r="G468" t="s">
        <v>39</v>
      </c>
      <c r="H468">
        <v>46111.003762471177</v>
      </c>
      <c r="I468">
        <v>385</v>
      </c>
      <c r="J468" t="s">
        <v>25</v>
      </c>
      <c r="K468">
        <v>45969</v>
      </c>
      <c r="L468" t="s">
        <v>31</v>
      </c>
    </row>
    <row r="469" spans="1:12" x14ac:dyDescent="0.35">
      <c r="A469" t="s">
        <v>507</v>
      </c>
      <c r="B469">
        <v>71</v>
      </c>
      <c r="C469" t="s">
        <v>20</v>
      </c>
      <c r="D469" t="s">
        <v>29</v>
      </c>
      <c r="E469" t="s">
        <v>13</v>
      </c>
      <c r="F469">
        <v>45953</v>
      </c>
      <c r="G469" t="s">
        <v>39</v>
      </c>
      <c r="H469">
        <v>10915.439964741579</v>
      </c>
      <c r="I469">
        <v>455</v>
      </c>
      <c r="J469" t="s">
        <v>18</v>
      </c>
      <c r="K469">
        <v>45958</v>
      </c>
      <c r="L469" t="s">
        <v>27</v>
      </c>
    </row>
    <row r="470" spans="1:12" x14ac:dyDescent="0.35">
      <c r="A470" t="s">
        <v>508</v>
      </c>
      <c r="B470">
        <v>66</v>
      </c>
      <c r="C470" t="s">
        <v>11</v>
      </c>
      <c r="D470" t="s">
        <v>33</v>
      </c>
      <c r="E470" t="s">
        <v>32</v>
      </c>
      <c r="F470">
        <v>45805</v>
      </c>
      <c r="G470" t="s">
        <v>37</v>
      </c>
      <c r="H470">
        <v>27563.774742123769</v>
      </c>
      <c r="I470">
        <v>404</v>
      </c>
      <c r="J470" t="s">
        <v>18</v>
      </c>
      <c r="K470">
        <v>45810</v>
      </c>
      <c r="L470" t="s">
        <v>27</v>
      </c>
    </row>
    <row r="471" spans="1:12" x14ac:dyDescent="0.35">
      <c r="A471" t="s">
        <v>509</v>
      </c>
      <c r="B471">
        <v>57</v>
      </c>
      <c r="C471" t="s">
        <v>20</v>
      </c>
      <c r="D471" t="s">
        <v>16</v>
      </c>
      <c r="E471" t="s">
        <v>13</v>
      </c>
      <c r="F471">
        <v>45845</v>
      </c>
      <c r="G471" t="s">
        <v>38</v>
      </c>
      <c r="H471">
        <v>6991.6256813632099</v>
      </c>
      <c r="I471">
        <v>342</v>
      </c>
      <c r="J471" t="s">
        <v>25</v>
      </c>
      <c r="K471">
        <v>45853</v>
      </c>
      <c r="L471" t="s">
        <v>27</v>
      </c>
    </row>
    <row r="472" spans="1:12" x14ac:dyDescent="0.35">
      <c r="A472" t="s">
        <v>510</v>
      </c>
      <c r="B472">
        <v>56</v>
      </c>
      <c r="C472" t="s">
        <v>20</v>
      </c>
      <c r="D472" t="s">
        <v>33</v>
      </c>
      <c r="E472" t="s">
        <v>28</v>
      </c>
      <c r="F472">
        <v>45797</v>
      </c>
      <c r="G472" t="s">
        <v>38</v>
      </c>
      <c r="H472">
        <v>23596.551170422081</v>
      </c>
      <c r="I472">
        <v>238</v>
      </c>
      <c r="J472" t="s">
        <v>18</v>
      </c>
      <c r="K472">
        <v>45809</v>
      </c>
      <c r="L472" t="s">
        <v>27</v>
      </c>
    </row>
    <row r="473" spans="1:12" x14ac:dyDescent="0.35">
      <c r="A473" t="s">
        <v>511</v>
      </c>
      <c r="B473">
        <v>80</v>
      </c>
      <c r="C473" t="s">
        <v>11</v>
      </c>
      <c r="D473" t="s">
        <v>29</v>
      </c>
      <c r="E473" t="s">
        <v>17</v>
      </c>
      <c r="F473">
        <v>45776</v>
      </c>
      <c r="G473" t="s">
        <v>38</v>
      </c>
      <c r="H473">
        <v>38973.540605411363</v>
      </c>
      <c r="I473">
        <v>377</v>
      </c>
      <c r="J473" t="s">
        <v>25</v>
      </c>
      <c r="K473">
        <v>45784</v>
      </c>
      <c r="L473" t="s">
        <v>27</v>
      </c>
    </row>
    <row r="474" spans="1:12" x14ac:dyDescent="0.35">
      <c r="A474" t="s">
        <v>512</v>
      </c>
      <c r="B474">
        <v>19</v>
      </c>
      <c r="C474" t="s">
        <v>20</v>
      </c>
      <c r="D474" t="s">
        <v>16</v>
      </c>
      <c r="E474" t="s">
        <v>32</v>
      </c>
      <c r="F474">
        <v>45976</v>
      </c>
      <c r="G474" t="s">
        <v>37</v>
      </c>
      <c r="H474">
        <v>28782.907491009151</v>
      </c>
      <c r="I474">
        <v>164</v>
      </c>
      <c r="J474" t="s">
        <v>25</v>
      </c>
      <c r="K474">
        <v>45985</v>
      </c>
      <c r="L474" t="s">
        <v>19</v>
      </c>
    </row>
    <row r="475" spans="1:12" x14ac:dyDescent="0.35">
      <c r="A475" t="s">
        <v>513</v>
      </c>
      <c r="B475">
        <v>69</v>
      </c>
      <c r="C475" t="s">
        <v>11</v>
      </c>
      <c r="D475" t="s">
        <v>33</v>
      </c>
      <c r="E475" t="s">
        <v>30</v>
      </c>
      <c r="F475">
        <v>45674</v>
      </c>
      <c r="G475" t="s">
        <v>36</v>
      </c>
      <c r="H475">
        <v>45659.081665433812</v>
      </c>
      <c r="I475">
        <v>308</v>
      </c>
      <c r="J475" t="s">
        <v>18</v>
      </c>
      <c r="K475">
        <v>45679</v>
      </c>
      <c r="L475" t="s">
        <v>19</v>
      </c>
    </row>
    <row r="476" spans="1:12" x14ac:dyDescent="0.35">
      <c r="A476" t="s">
        <v>514</v>
      </c>
      <c r="B476">
        <v>29</v>
      </c>
      <c r="C476" t="s">
        <v>20</v>
      </c>
      <c r="D476" t="s">
        <v>12</v>
      </c>
      <c r="E476" t="s">
        <v>13</v>
      </c>
      <c r="F476">
        <v>45874</v>
      </c>
      <c r="G476" t="s">
        <v>38</v>
      </c>
      <c r="H476">
        <v>25767.375180585161</v>
      </c>
      <c r="I476">
        <v>310</v>
      </c>
      <c r="J476" t="s">
        <v>18</v>
      </c>
      <c r="K476">
        <v>45880</v>
      </c>
      <c r="L476" t="s">
        <v>27</v>
      </c>
    </row>
    <row r="477" spans="1:12" x14ac:dyDescent="0.35">
      <c r="A477" t="s">
        <v>515</v>
      </c>
      <c r="B477">
        <v>44</v>
      </c>
      <c r="C477" t="s">
        <v>11</v>
      </c>
      <c r="D477" t="s">
        <v>23</v>
      </c>
      <c r="E477" t="s">
        <v>17</v>
      </c>
      <c r="F477">
        <v>45968</v>
      </c>
      <c r="G477" t="s">
        <v>36</v>
      </c>
      <c r="H477">
        <v>16460.825115253989</v>
      </c>
      <c r="I477">
        <v>410</v>
      </c>
      <c r="J477" t="s">
        <v>25</v>
      </c>
      <c r="K477">
        <v>45979</v>
      </c>
      <c r="L477" t="s">
        <v>31</v>
      </c>
    </row>
    <row r="478" spans="1:12" x14ac:dyDescent="0.35">
      <c r="A478" t="s">
        <v>516</v>
      </c>
      <c r="B478">
        <v>60</v>
      </c>
      <c r="C478" t="s">
        <v>20</v>
      </c>
      <c r="D478" t="s">
        <v>33</v>
      </c>
      <c r="E478" t="s">
        <v>17</v>
      </c>
      <c r="F478">
        <v>45969</v>
      </c>
      <c r="G478" t="s">
        <v>37</v>
      </c>
      <c r="H478">
        <v>20560.964662905881</v>
      </c>
      <c r="I478">
        <v>394</v>
      </c>
      <c r="J478" t="s">
        <v>18</v>
      </c>
      <c r="K478">
        <v>45976</v>
      </c>
      <c r="L478" t="s">
        <v>19</v>
      </c>
    </row>
    <row r="479" spans="1:12" x14ac:dyDescent="0.35">
      <c r="A479" t="s">
        <v>517</v>
      </c>
      <c r="B479">
        <v>43</v>
      </c>
      <c r="C479" t="s">
        <v>20</v>
      </c>
      <c r="D479" t="s">
        <v>12</v>
      </c>
      <c r="E479" t="s">
        <v>28</v>
      </c>
      <c r="F479">
        <v>45705</v>
      </c>
      <c r="G479" t="s">
        <v>39</v>
      </c>
      <c r="H479">
        <v>41792.053540283319</v>
      </c>
      <c r="I479">
        <v>357</v>
      </c>
      <c r="J479" t="s">
        <v>18</v>
      </c>
      <c r="K479">
        <v>45718</v>
      </c>
      <c r="L479" t="s">
        <v>15</v>
      </c>
    </row>
    <row r="480" spans="1:12" x14ac:dyDescent="0.35">
      <c r="A480" t="s">
        <v>518</v>
      </c>
      <c r="B480">
        <v>35</v>
      </c>
      <c r="C480" t="s">
        <v>11</v>
      </c>
      <c r="D480" t="s">
        <v>26</v>
      </c>
      <c r="E480" t="s">
        <v>32</v>
      </c>
      <c r="F480">
        <v>45949</v>
      </c>
      <c r="G480" t="s">
        <v>36</v>
      </c>
      <c r="H480">
        <v>27396.265745891869</v>
      </c>
      <c r="I480">
        <v>420</v>
      </c>
      <c r="J480" t="s">
        <v>18</v>
      </c>
      <c r="K480">
        <v>45963</v>
      </c>
      <c r="L480" t="s">
        <v>27</v>
      </c>
    </row>
    <row r="481" spans="1:12" x14ac:dyDescent="0.35">
      <c r="A481" t="s">
        <v>519</v>
      </c>
      <c r="B481">
        <v>74</v>
      </c>
      <c r="C481" t="s">
        <v>11</v>
      </c>
      <c r="D481" t="s">
        <v>21</v>
      </c>
      <c r="E481" t="s">
        <v>30</v>
      </c>
      <c r="F481">
        <v>46004</v>
      </c>
      <c r="G481" t="s">
        <v>37</v>
      </c>
      <c r="H481">
        <v>9342.4932701384369</v>
      </c>
      <c r="I481">
        <v>379</v>
      </c>
      <c r="J481" t="s">
        <v>18</v>
      </c>
      <c r="K481">
        <v>46014</v>
      </c>
      <c r="L481" t="s">
        <v>31</v>
      </c>
    </row>
    <row r="482" spans="1:12" x14ac:dyDescent="0.35">
      <c r="A482" t="s">
        <v>520</v>
      </c>
      <c r="B482">
        <v>19</v>
      </c>
      <c r="C482" t="s">
        <v>20</v>
      </c>
      <c r="D482" t="s">
        <v>33</v>
      </c>
      <c r="E482" t="s">
        <v>17</v>
      </c>
      <c r="F482">
        <v>45953</v>
      </c>
      <c r="G482" t="s">
        <v>39</v>
      </c>
      <c r="H482">
        <v>29487.108459668761</v>
      </c>
      <c r="I482">
        <v>479</v>
      </c>
      <c r="J482" t="s">
        <v>18</v>
      </c>
      <c r="K482">
        <v>45964</v>
      </c>
      <c r="L482" t="s">
        <v>15</v>
      </c>
    </row>
    <row r="483" spans="1:12" x14ac:dyDescent="0.35">
      <c r="A483" t="s">
        <v>521</v>
      </c>
      <c r="B483">
        <v>64</v>
      </c>
      <c r="C483" t="s">
        <v>20</v>
      </c>
      <c r="D483" t="s">
        <v>12</v>
      </c>
      <c r="E483" t="s">
        <v>28</v>
      </c>
      <c r="F483">
        <v>45723</v>
      </c>
      <c r="G483" t="s">
        <v>39</v>
      </c>
      <c r="H483">
        <v>47243.07353682386</v>
      </c>
      <c r="I483">
        <v>479</v>
      </c>
      <c r="J483" t="s">
        <v>18</v>
      </c>
      <c r="K483">
        <v>45733</v>
      </c>
      <c r="L483" t="s">
        <v>19</v>
      </c>
    </row>
    <row r="484" spans="1:12" x14ac:dyDescent="0.35">
      <c r="A484" t="s">
        <v>522</v>
      </c>
      <c r="B484">
        <v>33</v>
      </c>
      <c r="C484" t="s">
        <v>11</v>
      </c>
      <c r="D484" t="s">
        <v>33</v>
      </c>
      <c r="E484" t="s">
        <v>17</v>
      </c>
      <c r="F484">
        <v>45707</v>
      </c>
      <c r="G484" t="s">
        <v>37</v>
      </c>
      <c r="H484">
        <v>12961.37254976216</v>
      </c>
      <c r="I484">
        <v>403</v>
      </c>
      <c r="J484" t="s">
        <v>18</v>
      </c>
      <c r="K484">
        <v>45715</v>
      </c>
      <c r="L484" t="s">
        <v>31</v>
      </c>
    </row>
    <row r="485" spans="1:12" x14ac:dyDescent="0.35">
      <c r="A485" t="s">
        <v>523</v>
      </c>
      <c r="B485">
        <v>44</v>
      </c>
      <c r="C485" t="s">
        <v>20</v>
      </c>
      <c r="D485" t="s">
        <v>23</v>
      </c>
      <c r="E485" t="s">
        <v>32</v>
      </c>
      <c r="F485">
        <v>45916</v>
      </c>
      <c r="G485" t="s">
        <v>37</v>
      </c>
      <c r="H485">
        <v>38955.555431980727</v>
      </c>
      <c r="I485">
        <v>158</v>
      </c>
      <c r="J485" t="s">
        <v>25</v>
      </c>
      <c r="K485">
        <v>45925</v>
      </c>
      <c r="L485" t="s">
        <v>31</v>
      </c>
    </row>
    <row r="486" spans="1:12" x14ac:dyDescent="0.35">
      <c r="A486" t="s">
        <v>524</v>
      </c>
      <c r="B486">
        <v>50</v>
      </c>
      <c r="C486" t="s">
        <v>20</v>
      </c>
      <c r="D486" t="s">
        <v>26</v>
      </c>
      <c r="E486" t="s">
        <v>28</v>
      </c>
      <c r="F486">
        <v>45824</v>
      </c>
      <c r="G486" t="s">
        <v>37</v>
      </c>
      <c r="H486">
        <v>31669.933419492991</v>
      </c>
      <c r="I486">
        <v>198</v>
      </c>
      <c r="J486" t="s">
        <v>25</v>
      </c>
      <c r="K486">
        <v>45830</v>
      </c>
      <c r="L486" t="s">
        <v>22</v>
      </c>
    </row>
    <row r="487" spans="1:12" x14ac:dyDescent="0.35">
      <c r="A487" t="s">
        <v>525</v>
      </c>
      <c r="B487">
        <v>52</v>
      </c>
      <c r="C487" t="s">
        <v>20</v>
      </c>
      <c r="D487" t="s">
        <v>34</v>
      </c>
      <c r="E487" t="s">
        <v>17</v>
      </c>
      <c r="F487">
        <v>45844</v>
      </c>
      <c r="G487" t="s">
        <v>36</v>
      </c>
      <c r="H487">
        <v>38683.446827763008</v>
      </c>
      <c r="I487">
        <v>418</v>
      </c>
      <c r="J487" t="s">
        <v>25</v>
      </c>
      <c r="K487">
        <v>45854</v>
      </c>
      <c r="L487" t="s">
        <v>15</v>
      </c>
    </row>
    <row r="488" spans="1:12" x14ac:dyDescent="0.35">
      <c r="A488" t="s">
        <v>526</v>
      </c>
      <c r="B488">
        <v>83</v>
      </c>
      <c r="C488" t="s">
        <v>20</v>
      </c>
      <c r="D488" t="s">
        <v>34</v>
      </c>
      <c r="E488" t="s">
        <v>13</v>
      </c>
      <c r="F488">
        <v>45946</v>
      </c>
      <c r="G488" t="s">
        <v>39</v>
      </c>
      <c r="H488">
        <v>24836.307731728681</v>
      </c>
      <c r="I488">
        <v>380</v>
      </c>
      <c r="J488" t="s">
        <v>25</v>
      </c>
      <c r="K488">
        <v>45960</v>
      </c>
      <c r="L488" t="s">
        <v>27</v>
      </c>
    </row>
    <row r="489" spans="1:12" x14ac:dyDescent="0.35">
      <c r="A489" t="s">
        <v>527</v>
      </c>
      <c r="B489">
        <v>72</v>
      </c>
      <c r="C489" t="s">
        <v>20</v>
      </c>
      <c r="D489" t="s">
        <v>23</v>
      </c>
      <c r="E489" t="s">
        <v>24</v>
      </c>
      <c r="F489">
        <v>45983</v>
      </c>
      <c r="G489" t="s">
        <v>39</v>
      </c>
      <c r="H489">
        <v>19860.590223399751</v>
      </c>
      <c r="I489">
        <v>466</v>
      </c>
      <c r="J489" t="s">
        <v>18</v>
      </c>
      <c r="K489">
        <v>45984</v>
      </c>
      <c r="L489" t="s">
        <v>22</v>
      </c>
    </row>
    <row r="490" spans="1:12" x14ac:dyDescent="0.35">
      <c r="A490" t="s">
        <v>528</v>
      </c>
      <c r="B490">
        <v>37</v>
      </c>
      <c r="C490" t="s">
        <v>11</v>
      </c>
      <c r="D490" t="s">
        <v>33</v>
      </c>
      <c r="E490" t="s">
        <v>32</v>
      </c>
      <c r="F490">
        <v>45749</v>
      </c>
      <c r="G490" t="s">
        <v>38</v>
      </c>
      <c r="H490">
        <v>9447.8462138127197</v>
      </c>
      <c r="I490">
        <v>159</v>
      </c>
      <c r="J490" t="s">
        <v>18</v>
      </c>
      <c r="K490">
        <v>45751</v>
      </c>
      <c r="L490" t="s">
        <v>22</v>
      </c>
    </row>
    <row r="491" spans="1:12" x14ac:dyDescent="0.35">
      <c r="A491" t="s">
        <v>529</v>
      </c>
      <c r="B491">
        <v>44</v>
      </c>
      <c r="C491" t="s">
        <v>11</v>
      </c>
      <c r="D491" t="s">
        <v>16</v>
      </c>
      <c r="E491" t="s">
        <v>24</v>
      </c>
      <c r="F491">
        <v>45969</v>
      </c>
      <c r="G491" t="s">
        <v>37</v>
      </c>
      <c r="H491">
        <v>41131.014179550708</v>
      </c>
      <c r="I491">
        <v>432</v>
      </c>
      <c r="J491" t="s">
        <v>18</v>
      </c>
      <c r="K491">
        <v>45981</v>
      </c>
      <c r="L491" t="s">
        <v>19</v>
      </c>
    </row>
    <row r="492" spans="1:12" x14ac:dyDescent="0.35">
      <c r="A492" t="s">
        <v>530</v>
      </c>
      <c r="B492">
        <v>22</v>
      </c>
      <c r="C492" t="s">
        <v>20</v>
      </c>
      <c r="D492" t="s">
        <v>21</v>
      </c>
      <c r="E492" t="s">
        <v>28</v>
      </c>
      <c r="F492">
        <v>45735</v>
      </c>
      <c r="G492" t="s">
        <v>36</v>
      </c>
      <c r="H492">
        <v>28907.31963848351</v>
      </c>
      <c r="I492">
        <v>284</v>
      </c>
      <c r="J492" t="s">
        <v>25</v>
      </c>
      <c r="K492">
        <v>45745</v>
      </c>
      <c r="L492" t="s">
        <v>19</v>
      </c>
    </row>
    <row r="493" spans="1:12" x14ac:dyDescent="0.35">
      <c r="A493" t="s">
        <v>531</v>
      </c>
      <c r="B493">
        <v>66</v>
      </c>
      <c r="C493" t="s">
        <v>11</v>
      </c>
      <c r="D493" t="s">
        <v>33</v>
      </c>
      <c r="E493" t="s">
        <v>32</v>
      </c>
      <c r="F493">
        <v>45814</v>
      </c>
      <c r="G493" t="s">
        <v>39</v>
      </c>
      <c r="H493">
        <v>10980.53923666976</v>
      </c>
      <c r="I493">
        <v>113</v>
      </c>
      <c r="J493" t="s">
        <v>25</v>
      </c>
      <c r="K493">
        <v>45819</v>
      </c>
      <c r="L493" t="s">
        <v>31</v>
      </c>
    </row>
    <row r="494" spans="1:12" x14ac:dyDescent="0.35">
      <c r="A494" t="s">
        <v>532</v>
      </c>
      <c r="B494">
        <v>77</v>
      </c>
      <c r="C494" t="s">
        <v>20</v>
      </c>
      <c r="D494" t="s">
        <v>16</v>
      </c>
      <c r="E494" t="s">
        <v>30</v>
      </c>
      <c r="F494">
        <v>45991</v>
      </c>
      <c r="G494" t="s">
        <v>38</v>
      </c>
      <c r="H494">
        <v>19855.109035933499</v>
      </c>
      <c r="I494">
        <v>440</v>
      </c>
      <c r="J494" t="s">
        <v>25</v>
      </c>
      <c r="K494">
        <v>45992</v>
      </c>
      <c r="L494" t="s">
        <v>22</v>
      </c>
    </row>
    <row r="495" spans="1:12" x14ac:dyDescent="0.35">
      <c r="A495" t="s">
        <v>533</v>
      </c>
      <c r="B495">
        <v>65</v>
      </c>
      <c r="C495" t="s">
        <v>20</v>
      </c>
      <c r="D495" t="s">
        <v>21</v>
      </c>
      <c r="E495" t="s">
        <v>28</v>
      </c>
      <c r="F495">
        <v>45729</v>
      </c>
      <c r="G495" t="s">
        <v>36</v>
      </c>
      <c r="H495">
        <v>43477.755524406602</v>
      </c>
      <c r="I495">
        <v>442</v>
      </c>
      <c r="J495" t="s">
        <v>18</v>
      </c>
      <c r="K495">
        <v>45740</v>
      </c>
      <c r="L495" t="s">
        <v>27</v>
      </c>
    </row>
    <row r="496" spans="1:12" x14ac:dyDescent="0.35">
      <c r="A496" t="s">
        <v>534</v>
      </c>
      <c r="B496">
        <v>26</v>
      </c>
      <c r="C496" t="s">
        <v>11</v>
      </c>
      <c r="D496" t="s">
        <v>23</v>
      </c>
      <c r="E496" t="s">
        <v>13</v>
      </c>
      <c r="F496">
        <v>45818</v>
      </c>
      <c r="G496" t="s">
        <v>38</v>
      </c>
      <c r="H496">
        <v>6654.6343902702883</v>
      </c>
      <c r="I496">
        <v>145</v>
      </c>
      <c r="J496" t="s">
        <v>18</v>
      </c>
      <c r="K496">
        <v>45829</v>
      </c>
      <c r="L496" t="s">
        <v>22</v>
      </c>
    </row>
    <row r="497" spans="1:12" x14ac:dyDescent="0.35">
      <c r="A497" t="s">
        <v>535</v>
      </c>
      <c r="B497">
        <v>69</v>
      </c>
      <c r="C497" t="s">
        <v>11</v>
      </c>
      <c r="D497" t="s">
        <v>21</v>
      </c>
      <c r="E497" t="s">
        <v>32</v>
      </c>
      <c r="F497">
        <v>45696</v>
      </c>
      <c r="G497" t="s">
        <v>38</v>
      </c>
      <c r="H497">
        <v>7702.4675388246442</v>
      </c>
      <c r="I497">
        <v>287</v>
      </c>
      <c r="J497" t="s">
        <v>25</v>
      </c>
      <c r="K497">
        <v>45706</v>
      </c>
      <c r="L497" t="s">
        <v>19</v>
      </c>
    </row>
    <row r="498" spans="1:12" x14ac:dyDescent="0.35">
      <c r="A498" t="s">
        <v>536</v>
      </c>
      <c r="B498">
        <v>85</v>
      </c>
      <c r="C498" t="s">
        <v>11</v>
      </c>
      <c r="D498" t="s">
        <v>21</v>
      </c>
      <c r="E498" t="s">
        <v>28</v>
      </c>
      <c r="F498">
        <v>45776</v>
      </c>
      <c r="G498" t="s">
        <v>38</v>
      </c>
      <c r="H498">
        <v>44129.30844666365</v>
      </c>
      <c r="I498">
        <v>309</v>
      </c>
      <c r="J498" t="s">
        <v>25</v>
      </c>
      <c r="K498">
        <v>45780</v>
      </c>
      <c r="L498" t="s">
        <v>15</v>
      </c>
    </row>
    <row r="499" spans="1:12" x14ac:dyDescent="0.35">
      <c r="A499" t="s">
        <v>537</v>
      </c>
      <c r="B499">
        <v>33</v>
      </c>
      <c r="C499" t="s">
        <v>20</v>
      </c>
      <c r="D499" t="s">
        <v>12</v>
      </c>
      <c r="E499" t="s">
        <v>13</v>
      </c>
      <c r="F499">
        <v>45878</v>
      </c>
      <c r="G499" t="s">
        <v>37</v>
      </c>
      <c r="H499">
        <v>14372.737637807601</v>
      </c>
      <c r="I499">
        <v>135</v>
      </c>
      <c r="J499" t="s">
        <v>25</v>
      </c>
      <c r="K499">
        <v>45885</v>
      </c>
      <c r="L499" t="s">
        <v>15</v>
      </c>
    </row>
    <row r="500" spans="1:12" x14ac:dyDescent="0.35">
      <c r="A500" t="s">
        <v>538</v>
      </c>
      <c r="B500">
        <v>53</v>
      </c>
      <c r="C500" t="s">
        <v>20</v>
      </c>
      <c r="D500" t="s">
        <v>23</v>
      </c>
      <c r="E500" t="s">
        <v>13</v>
      </c>
      <c r="F500">
        <v>45843</v>
      </c>
      <c r="G500" t="s">
        <v>39</v>
      </c>
      <c r="H500">
        <v>9024.0923011812956</v>
      </c>
      <c r="I500">
        <v>178</v>
      </c>
      <c r="J500" t="s">
        <v>25</v>
      </c>
      <c r="K500">
        <v>45857</v>
      </c>
      <c r="L500" t="s">
        <v>27</v>
      </c>
    </row>
    <row r="501" spans="1:12" x14ac:dyDescent="0.35">
      <c r="A501" t="s">
        <v>539</v>
      </c>
      <c r="B501">
        <v>22</v>
      </c>
      <c r="C501" t="s">
        <v>11</v>
      </c>
      <c r="D501" t="s">
        <v>34</v>
      </c>
      <c r="E501" t="s">
        <v>17</v>
      </c>
      <c r="F501">
        <v>45970</v>
      </c>
      <c r="G501" t="s">
        <v>39</v>
      </c>
      <c r="H501">
        <v>37216.706496772647</v>
      </c>
      <c r="I501">
        <v>345</v>
      </c>
      <c r="J501" t="s">
        <v>25</v>
      </c>
      <c r="K501">
        <v>45977</v>
      </c>
      <c r="L501" t="s">
        <v>19</v>
      </c>
    </row>
    <row r="502" spans="1:12" x14ac:dyDescent="0.35">
      <c r="A502" t="s">
        <v>540</v>
      </c>
      <c r="B502">
        <v>81</v>
      </c>
      <c r="C502" t="s">
        <v>11</v>
      </c>
      <c r="D502" t="s">
        <v>26</v>
      </c>
      <c r="E502" t="s">
        <v>28</v>
      </c>
      <c r="F502">
        <v>45886</v>
      </c>
      <c r="G502" t="s">
        <v>36</v>
      </c>
      <c r="H502">
        <v>18283.38967311088</v>
      </c>
      <c r="I502">
        <v>153</v>
      </c>
      <c r="J502" t="s">
        <v>25</v>
      </c>
      <c r="K502">
        <v>45894</v>
      </c>
      <c r="L502" t="s">
        <v>15</v>
      </c>
    </row>
    <row r="503" spans="1:12" x14ac:dyDescent="0.35">
      <c r="A503" t="s">
        <v>541</v>
      </c>
      <c r="B503">
        <v>70</v>
      </c>
      <c r="C503" t="s">
        <v>11</v>
      </c>
      <c r="D503" t="s">
        <v>16</v>
      </c>
      <c r="E503" t="s">
        <v>28</v>
      </c>
      <c r="F503">
        <v>45944</v>
      </c>
      <c r="G503" t="s">
        <v>37</v>
      </c>
      <c r="H503">
        <v>11838.8651860794</v>
      </c>
      <c r="I503">
        <v>389</v>
      </c>
      <c r="J503" t="s">
        <v>25</v>
      </c>
      <c r="K503">
        <v>45948</v>
      </c>
      <c r="L503" t="s">
        <v>31</v>
      </c>
    </row>
    <row r="504" spans="1:12" x14ac:dyDescent="0.35">
      <c r="A504" t="s">
        <v>542</v>
      </c>
      <c r="B504">
        <v>41</v>
      </c>
      <c r="C504" t="s">
        <v>20</v>
      </c>
      <c r="D504" t="s">
        <v>12</v>
      </c>
      <c r="E504" t="s">
        <v>13</v>
      </c>
      <c r="F504">
        <v>45985</v>
      </c>
      <c r="G504" t="s">
        <v>37</v>
      </c>
      <c r="H504">
        <v>37685.2743238283</v>
      </c>
      <c r="I504">
        <v>390</v>
      </c>
      <c r="J504" t="s">
        <v>18</v>
      </c>
      <c r="K504">
        <v>45991</v>
      </c>
      <c r="L504" t="s">
        <v>19</v>
      </c>
    </row>
    <row r="505" spans="1:12" x14ac:dyDescent="0.35">
      <c r="A505" t="s">
        <v>543</v>
      </c>
      <c r="B505">
        <v>65</v>
      </c>
      <c r="C505" t="s">
        <v>20</v>
      </c>
      <c r="D505" t="s">
        <v>16</v>
      </c>
      <c r="E505" t="s">
        <v>24</v>
      </c>
      <c r="F505">
        <v>45739</v>
      </c>
      <c r="G505" t="s">
        <v>37</v>
      </c>
      <c r="H505">
        <v>19547.240509988969</v>
      </c>
      <c r="I505">
        <v>368</v>
      </c>
      <c r="J505" t="s">
        <v>18</v>
      </c>
      <c r="K505">
        <v>45741</v>
      </c>
      <c r="L505" t="s">
        <v>22</v>
      </c>
    </row>
    <row r="506" spans="1:12" x14ac:dyDescent="0.35">
      <c r="A506" t="s">
        <v>544</v>
      </c>
      <c r="B506">
        <v>76</v>
      </c>
      <c r="C506" t="s">
        <v>11</v>
      </c>
      <c r="D506" t="s">
        <v>12</v>
      </c>
      <c r="E506" t="s">
        <v>28</v>
      </c>
      <c r="F506">
        <v>45742</v>
      </c>
      <c r="G506" t="s">
        <v>36</v>
      </c>
      <c r="H506">
        <v>39557.888444639721</v>
      </c>
      <c r="I506">
        <v>179</v>
      </c>
      <c r="J506" t="s">
        <v>25</v>
      </c>
      <c r="K506">
        <v>45745</v>
      </c>
      <c r="L506" t="s">
        <v>22</v>
      </c>
    </row>
    <row r="507" spans="1:12" x14ac:dyDescent="0.35">
      <c r="A507" t="s">
        <v>545</v>
      </c>
      <c r="B507">
        <v>40</v>
      </c>
      <c r="C507" t="s">
        <v>20</v>
      </c>
      <c r="D507" t="s">
        <v>26</v>
      </c>
      <c r="E507" t="s">
        <v>24</v>
      </c>
      <c r="F507">
        <v>45668</v>
      </c>
      <c r="G507" t="s">
        <v>36</v>
      </c>
      <c r="H507">
        <v>5289.0850208270422</v>
      </c>
      <c r="I507">
        <v>310</v>
      </c>
      <c r="J507" t="s">
        <v>25</v>
      </c>
      <c r="K507">
        <v>45678</v>
      </c>
      <c r="L507" t="s">
        <v>27</v>
      </c>
    </row>
    <row r="508" spans="1:12" x14ac:dyDescent="0.35">
      <c r="A508" t="s">
        <v>546</v>
      </c>
      <c r="B508">
        <v>29</v>
      </c>
      <c r="C508" t="s">
        <v>11</v>
      </c>
      <c r="D508" t="s">
        <v>26</v>
      </c>
      <c r="E508" t="s">
        <v>28</v>
      </c>
      <c r="F508">
        <v>45721</v>
      </c>
      <c r="G508" t="s">
        <v>38</v>
      </c>
      <c r="H508">
        <v>34620.964345653912</v>
      </c>
      <c r="I508">
        <v>236</v>
      </c>
      <c r="J508" t="s">
        <v>25</v>
      </c>
      <c r="K508">
        <v>45725</v>
      </c>
      <c r="L508" t="s">
        <v>19</v>
      </c>
    </row>
    <row r="509" spans="1:12" x14ac:dyDescent="0.35">
      <c r="A509" t="s">
        <v>547</v>
      </c>
      <c r="B509">
        <v>74</v>
      </c>
      <c r="C509" t="s">
        <v>11</v>
      </c>
      <c r="D509" t="s">
        <v>16</v>
      </c>
      <c r="E509" t="s">
        <v>30</v>
      </c>
      <c r="F509">
        <v>45923</v>
      </c>
      <c r="G509" t="s">
        <v>37</v>
      </c>
      <c r="H509">
        <v>33943.91691076228</v>
      </c>
      <c r="I509">
        <v>235</v>
      </c>
      <c r="J509" t="s">
        <v>25</v>
      </c>
      <c r="K509">
        <v>45929</v>
      </c>
      <c r="L509" t="s">
        <v>15</v>
      </c>
    </row>
    <row r="510" spans="1:12" x14ac:dyDescent="0.35">
      <c r="A510" t="s">
        <v>548</v>
      </c>
      <c r="B510">
        <v>24</v>
      </c>
      <c r="C510" t="s">
        <v>20</v>
      </c>
      <c r="D510" t="s">
        <v>26</v>
      </c>
      <c r="E510" t="s">
        <v>32</v>
      </c>
      <c r="F510">
        <v>46001</v>
      </c>
      <c r="G510" t="s">
        <v>36</v>
      </c>
      <c r="H510">
        <v>18953.795430566559</v>
      </c>
      <c r="I510">
        <v>387</v>
      </c>
      <c r="J510" t="s">
        <v>25</v>
      </c>
      <c r="K510">
        <v>46010</v>
      </c>
      <c r="L510" t="s">
        <v>15</v>
      </c>
    </row>
    <row r="511" spans="1:12" x14ac:dyDescent="0.35">
      <c r="A511" t="s">
        <v>549</v>
      </c>
      <c r="B511">
        <v>77</v>
      </c>
      <c r="C511" t="s">
        <v>20</v>
      </c>
      <c r="D511" t="s">
        <v>21</v>
      </c>
      <c r="E511" t="s">
        <v>17</v>
      </c>
      <c r="F511">
        <v>45785</v>
      </c>
      <c r="G511" t="s">
        <v>37</v>
      </c>
      <c r="H511">
        <v>19342.070888497139</v>
      </c>
      <c r="I511">
        <v>202</v>
      </c>
      <c r="J511" t="s">
        <v>18</v>
      </c>
      <c r="K511">
        <v>45790</v>
      </c>
      <c r="L511" t="s">
        <v>22</v>
      </c>
    </row>
    <row r="512" spans="1:12" x14ac:dyDescent="0.35">
      <c r="A512" t="s">
        <v>550</v>
      </c>
      <c r="B512">
        <v>61</v>
      </c>
      <c r="C512" t="s">
        <v>20</v>
      </c>
      <c r="D512" t="s">
        <v>21</v>
      </c>
      <c r="E512" t="s">
        <v>24</v>
      </c>
      <c r="F512">
        <v>45932</v>
      </c>
      <c r="G512" t="s">
        <v>37</v>
      </c>
      <c r="H512">
        <v>48736.150361556472</v>
      </c>
      <c r="I512">
        <v>191</v>
      </c>
      <c r="J512" t="s">
        <v>18</v>
      </c>
      <c r="K512">
        <v>45934</v>
      </c>
      <c r="L512" t="s">
        <v>27</v>
      </c>
    </row>
    <row r="513" spans="1:12" x14ac:dyDescent="0.35">
      <c r="A513" t="s">
        <v>551</v>
      </c>
      <c r="B513">
        <v>80</v>
      </c>
      <c r="C513" t="s">
        <v>20</v>
      </c>
      <c r="D513" t="s">
        <v>33</v>
      </c>
      <c r="E513" t="s">
        <v>24</v>
      </c>
      <c r="F513">
        <v>45865</v>
      </c>
      <c r="G513" t="s">
        <v>38</v>
      </c>
      <c r="H513">
        <v>48000.228030288097</v>
      </c>
      <c r="I513">
        <v>427</v>
      </c>
      <c r="J513" t="s">
        <v>18</v>
      </c>
      <c r="K513">
        <v>45869</v>
      </c>
      <c r="L513" t="s">
        <v>27</v>
      </c>
    </row>
    <row r="514" spans="1:12" x14ac:dyDescent="0.35">
      <c r="A514" t="s">
        <v>552</v>
      </c>
      <c r="B514">
        <v>71</v>
      </c>
      <c r="C514" t="s">
        <v>11</v>
      </c>
      <c r="D514" t="s">
        <v>34</v>
      </c>
      <c r="E514" t="s">
        <v>30</v>
      </c>
      <c r="F514">
        <v>45769</v>
      </c>
      <c r="G514" t="s">
        <v>38</v>
      </c>
      <c r="H514">
        <v>10755.694254043219</v>
      </c>
      <c r="I514">
        <v>190</v>
      </c>
      <c r="J514" t="s">
        <v>18</v>
      </c>
      <c r="K514">
        <v>45770</v>
      </c>
      <c r="L514" t="s">
        <v>22</v>
      </c>
    </row>
    <row r="515" spans="1:12" x14ac:dyDescent="0.35">
      <c r="A515" t="s">
        <v>553</v>
      </c>
      <c r="B515">
        <v>23</v>
      </c>
      <c r="C515" t="s">
        <v>20</v>
      </c>
      <c r="D515" t="s">
        <v>34</v>
      </c>
      <c r="E515" t="s">
        <v>30</v>
      </c>
      <c r="F515">
        <v>45809</v>
      </c>
      <c r="G515" t="s">
        <v>39</v>
      </c>
      <c r="H515">
        <v>14231.06502369</v>
      </c>
      <c r="I515">
        <v>295</v>
      </c>
      <c r="J515" t="s">
        <v>25</v>
      </c>
      <c r="K515">
        <v>45810</v>
      </c>
      <c r="L515" t="s">
        <v>19</v>
      </c>
    </row>
    <row r="516" spans="1:12" x14ac:dyDescent="0.35">
      <c r="A516" t="s">
        <v>554</v>
      </c>
      <c r="B516">
        <v>46</v>
      </c>
      <c r="C516" t="s">
        <v>20</v>
      </c>
      <c r="D516" t="s">
        <v>33</v>
      </c>
      <c r="E516" t="s">
        <v>28</v>
      </c>
      <c r="F516">
        <v>45845</v>
      </c>
      <c r="G516" t="s">
        <v>36</v>
      </c>
      <c r="H516">
        <v>19046.741220692809</v>
      </c>
      <c r="I516">
        <v>160</v>
      </c>
      <c r="J516" t="s">
        <v>25</v>
      </c>
      <c r="K516">
        <v>45854</v>
      </c>
      <c r="L516" t="s">
        <v>27</v>
      </c>
    </row>
    <row r="517" spans="1:12" x14ac:dyDescent="0.35">
      <c r="A517" t="s">
        <v>555</v>
      </c>
      <c r="B517">
        <v>35</v>
      </c>
      <c r="C517" t="s">
        <v>11</v>
      </c>
      <c r="D517" t="s">
        <v>34</v>
      </c>
      <c r="E517" t="s">
        <v>13</v>
      </c>
      <c r="F517">
        <v>45952</v>
      </c>
      <c r="G517" t="s">
        <v>38</v>
      </c>
      <c r="H517">
        <v>12892.54632248917</v>
      </c>
      <c r="I517">
        <v>134</v>
      </c>
      <c r="J517" t="s">
        <v>25</v>
      </c>
      <c r="K517">
        <v>45960</v>
      </c>
      <c r="L517" t="s">
        <v>31</v>
      </c>
    </row>
    <row r="518" spans="1:12" x14ac:dyDescent="0.35">
      <c r="A518" t="s">
        <v>556</v>
      </c>
      <c r="B518">
        <v>23</v>
      </c>
      <c r="C518" t="s">
        <v>20</v>
      </c>
      <c r="D518" t="s">
        <v>26</v>
      </c>
      <c r="E518" t="s">
        <v>28</v>
      </c>
      <c r="F518">
        <v>45688</v>
      </c>
      <c r="G518" t="s">
        <v>37</v>
      </c>
      <c r="H518">
        <v>2495.8063392700892</v>
      </c>
      <c r="I518">
        <v>152</v>
      </c>
      <c r="J518" t="s">
        <v>18</v>
      </c>
      <c r="K518">
        <v>45702</v>
      </c>
      <c r="L518" t="s">
        <v>19</v>
      </c>
    </row>
    <row r="519" spans="1:12" x14ac:dyDescent="0.35">
      <c r="A519" t="s">
        <v>557</v>
      </c>
      <c r="B519">
        <v>69</v>
      </c>
      <c r="C519" t="s">
        <v>11</v>
      </c>
      <c r="D519" t="s">
        <v>12</v>
      </c>
      <c r="E519" t="s">
        <v>28</v>
      </c>
      <c r="F519">
        <v>45759</v>
      </c>
      <c r="G519" t="s">
        <v>36</v>
      </c>
      <c r="H519">
        <v>45401.047898034172</v>
      </c>
      <c r="I519">
        <v>472</v>
      </c>
      <c r="J519" t="s">
        <v>18</v>
      </c>
      <c r="K519">
        <v>45763</v>
      </c>
      <c r="L519" t="s">
        <v>31</v>
      </c>
    </row>
    <row r="520" spans="1:12" x14ac:dyDescent="0.35">
      <c r="A520" t="s">
        <v>558</v>
      </c>
      <c r="B520">
        <v>47</v>
      </c>
      <c r="C520" t="s">
        <v>11</v>
      </c>
      <c r="D520" t="s">
        <v>29</v>
      </c>
      <c r="E520" t="s">
        <v>32</v>
      </c>
      <c r="F520">
        <v>45700</v>
      </c>
      <c r="G520" t="s">
        <v>39</v>
      </c>
      <c r="H520">
        <v>31701.70498771557</v>
      </c>
      <c r="I520">
        <v>284</v>
      </c>
      <c r="J520" t="s">
        <v>18</v>
      </c>
      <c r="K520">
        <v>45712</v>
      </c>
      <c r="L520" t="s">
        <v>19</v>
      </c>
    </row>
    <row r="521" spans="1:12" x14ac:dyDescent="0.35">
      <c r="A521" t="s">
        <v>559</v>
      </c>
      <c r="B521">
        <v>81</v>
      </c>
      <c r="C521" t="s">
        <v>20</v>
      </c>
      <c r="D521" t="s">
        <v>29</v>
      </c>
      <c r="E521" t="s">
        <v>17</v>
      </c>
      <c r="F521">
        <v>45963</v>
      </c>
      <c r="G521" t="s">
        <v>38</v>
      </c>
      <c r="H521">
        <v>29884.027060680899</v>
      </c>
      <c r="I521">
        <v>152</v>
      </c>
      <c r="J521" t="s">
        <v>25</v>
      </c>
      <c r="K521">
        <v>45968</v>
      </c>
      <c r="L521" t="s">
        <v>27</v>
      </c>
    </row>
    <row r="522" spans="1:12" x14ac:dyDescent="0.35">
      <c r="A522" t="s">
        <v>560</v>
      </c>
      <c r="B522">
        <v>51</v>
      </c>
      <c r="C522" t="s">
        <v>20</v>
      </c>
      <c r="D522" t="s">
        <v>21</v>
      </c>
      <c r="E522" t="s">
        <v>13</v>
      </c>
      <c r="F522">
        <v>45768</v>
      </c>
      <c r="G522" t="s">
        <v>37</v>
      </c>
      <c r="H522">
        <v>45283.309272957827</v>
      </c>
      <c r="I522">
        <v>434</v>
      </c>
      <c r="J522" t="s">
        <v>25</v>
      </c>
      <c r="K522">
        <v>45781</v>
      </c>
      <c r="L522" t="s">
        <v>19</v>
      </c>
    </row>
    <row r="523" spans="1:12" x14ac:dyDescent="0.35">
      <c r="A523" t="s">
        <v>561</v>
      </c>
      <c r="B523">
        <v>85</v>
      </c>
      <c r="C523" t="s">
        <v>11</v>
      </c>
      <c r="D523" t="s">
        <v>26</v>
      </c>
      <c r="E523" t="s">
        <v>13</v>
      </c>
      <c r="F523">
        <v>45857</v>
      </c>
      <c r="G523" t="s">
        <v>39</v>
      </c>
      <c r="H523">
        <v>14510.743800196589</v>
      </c>
      <c r="I523">
        <v>159</v>
      </c>
      <c r="J523" t="s">
        <v>25</v>
      </c>
      <c r="K523">
        <v>45866</v>
      </c>
      <c r="L523" t="s">
        <v>19</v>
      </c>
    </row>
    <row r="524" spans="1:12" x14ac:dyDescent="0.35">
      <c r="A524" t="s">
        <v>562</v>
      </c>
      <c r="B524">
        <v>34</v>
      </c>
      <c r="C524" t="s">
        <v>20</v>
      </c>
      <c r="D524" t="s">
        <v>26</v>
      </c>
      <c r="E524" t="s">
        <v>30</v>
      </c>
      <c r="F524">
        <v>45911</v>
      </c>
      <c r="G524" t="s">
        <v>39</v>
      </c>
      <c r="H524">
        <v>42567.943520048182</v>
      </c>
      <c r="I524">
        <v>452</v>
      </c>
      <c r="J524" t="s">
        <v>25</v>
      </c>
      <c r="K524">
        <v>45913</v>
      </c>
      <c r="L524" t="s">
        <v>27</v>
      </c>
    </row>
    <row r="525" spans="1:12" x14ac:dyDescent="0.35">
      <c r="A525" t="s">
        <v>563</v>
      </c>
      <c r="B525">
        <v>59</v>
      </c>
      <c r="C525" t="s">
        <v>11</v>
      </c>
      <c r="D525" t="s">
        <v>12</v>
      </c>
      <c r="E525" t="s">
        <v>32</v>
      </c>
      <c r="F525">
        <v>45751</v>
      </c>
      <c r="G525" t="s">
        <v>37</v>
      </c>
      <c r="H525">
        <v>32709.614939156188</v>
      </c>
      <c r="I525">
        <v>242</v>
      </c>
      <c r="J525" t="s">
        <v>18</v>
      </c>
      <c r="K525">
        <v>45752</v>
      </c>
      <c r="L525" t="s">
        <v>15</v>
      </c>
    </row>
    <row r="526" spans="1:12" x14ac:dyDescent="0.35">
      <c r="A526" t="s">
        <v>564</v>
      </c>
      <c r="B526">
        <v>25</v>
      </c>
      <c r="C526" t="s">
        <v>11</v>
      </c>
      <c r="D526" t="s">
        <v>16</v>
      </c>
      <c r="E526" t="s">
        <v>17</v>
      </c>
      <c r="F526">
        <v>45827</v>
      </c>
      <c r="G526" t="s">
        <v>38</v>
      </c>
      <c r="H526">
        <v>2743.4503859077349</v>
      </c>
      <c r="I526">
        <v>362</v>
      </c>
      <c r="J526" t="s">
        <v>18</v>
      </c>
      <c r="K526">
        <v>45836</v>
      </c>
      <c r="L526" t="s">
        <v>19</v>
      </c>
    </row>
    <row r="527" spans="1:12" x14ac:dyDescent="0.35">
      <c r="A527" t="s">
        <v>565</v>
      </c>
      <c r="B527">
        <v>29</v>
      </c>
      <c r="C527" t="s">
        <v>20</v>
      </c>
      <c r="D527" t="s">
        <v>21</v>
      </c>
      <c r="E527" t="s">
        <v>32</v>
      </c>
      <c r="F527">
        <v>45798</v>
      </c>
      <c r="G527" t="s">
        <v>37</v>
      </c>
      <c r="H527">
        <v>44993.92747759894</v>
      </c>
      <c r="I527">
        <v>220</v>
      </c>
      <c r="J527" t="s">
        <v>25</v>
      </c>
      <c r="K527">
        <v>45810</v>
      </c>
      <c r="L527" t="s">
        <v>19</v>
      </c>
    </row>
    <row r="528" spans="1:12" x14ac:dyDescent="0.35">
      <c r="A528" t="s">
        <v>566</v>
      </c>
      <c r="B528">
        <v>24</v>
      </c>
      <c r="C528" t="s">
        <v>20</v>
      </c>
      <c r="D528" t="s">
        <v>33</v>
      </c>
      <c r="E528" t="s">
        <v>28</v>
      </c>
      <c r="F528">
        <v>45899</v>
      </c>
      <c r="G528" t="s">
        <v>36</v>
      </c>
      <c r="H528">
        <v>47252.258265964563</v>
      </c>
      <c r="I528">
        <v>335</v>
      </c>
      <c r="J528" t="s">
        <v>18</v>
      </c>
      <c r="K528">
        <v>45911</v>
      </c>
      <c r="L528" t="s">
        <v>22</v>
      </c>
    </row>
    <row r="529" spans="1:12" x14ac:dyDescent="0.35">
      <c r="A529" t="s">
        <v>567</v>
      </c>
      <c r="B529">
        <v>58</v>
      </c>
      <c r="C529" t="s">
        <v>11</v>
      </c>
      <c r="D529" t="s">
        <v>34</v>
      </c>
      <c r="E529" t="s">
        <v>32</v>
      </c>
      <c r="F529">
        <v>45793</v>
      </c>
      <c r="G529" t="s">
        <v>36</v>
      </c>
      <c r="H529">
        <v>49427.876079684313</v>
      </c>
      <c r="I529">
        <v>425</v>
      </c>
      <c r="J529" t="s">
        <v>25</v>
      </c>
      <c r="K529">
        <v>45796</v>
      </c>
      <c r="L529" t="s">
        <v>31</v>
      </c>
    </row>
    <row r="530" spans="1:12" x14ac:dyDescent="0.35">
      <c r="A530" t="s">
        <v>568</v>
      </c>
      <c r="B530">
        <v>42</v>
      </c>
      <c r="C530" t="s">
        <v>20</v>
      </c>
      <c r="D530" t="s">
        <v>29</v>
      </c>
      <c r="E530" t="s">
        <v>32</v>
      </c>
      <c r="F530">
        <v>45707</v>
      </c>
      <c r="G530" t="s">
        <v>39</v>
      </c>
      <c r="H530">
        <v>44417.248286585622</v>
      </c>
      <c r="I530">
        <v>243</v>
      </c>
      <c r="J530" t="s">
        <v>18</v>
      </c>
      <c r="K530">
        <v>45716</v>
      </c>
      <c r="L530" t="s">
        <v>27</v>
      </c>
    </row>
    <row r="531" spans="1:12" x14ac:dyDescent="0.35">
      <c r="A531" t="s">
        <v>569</v>
      </c>
      <c r="B531">
        <v>37</v>
      </c>
      <c r="C531" t="s">
        <v>11</v>
      </c>
      <c r="D531" t="s">
        <v>23</v>
      </c>
      <c r="E531" t="s">
        <v>28</v>
      </c>
      <c r="F531">
        <v>45958</v>
      </c>
      <c r="G531" t="s">
        <v>38</v>
      </c>
      <c r="H531">
        <v>11654.15302417734</v>
      </c>
      <c r="I531">
        <v>180</v>
      </c>
      <c r="J531" t="s">
        <v>25</v>
      </c>
      <c r="K531">
        <v>45963</v>
      </c>
      <c r="L531" t="s">
        <v>31</v>
      </c>
    </row>
    <row r="532" spans="1:12" x14ac:dyDescent="0.35">
      <c r="A532" t="s">
        <v>570</v>
      </c>
      <c r="B532">
        <v>76</v>
      </c>
      <c r="C532" t="s">
        <v>20</v>
      </c>
      <c r="D532" t="s">
        <v>29</v>
      </c>
      <c r="E532" t="s">
        <v>17</v>
      </c>
      <c r="F532">
        <v>45720</v>
      </c>
      <c r="G532" t="s">
        <v>39</v>
      </c>
      <c r="H532">
        <v>23100.647818580728</v>
      </c>
      <c r="I532">
        <v>206</v>
      </c>
      <c r="J532" t="s">
        <v>25</v>
      </c>
      <c r="K532">
        <v>45721</v>
      </c>
      <c r="L532" t="s">
        <v>31</v>
      </c>
    </row>
    <row r="533" spans="1:12" x14ac:dyDescent="0.35">
      <c r="A533" t="s">
        <v>571</v>
      </c>
      <c r="B533">
        <v>68</v>
      </c>
      <c r="C533" t="s">
        <v>20</v>
      </c>
      <c r="D533" t="s">
        <v>26</v>
      </c>
      <c r="E533" t="s">
        <v>28</v>
      </c>
      <c r="F533">
        <v>45989</v>
      </c>
      <c r="G533" t="s">
        <v>39</v>
      </c>
      <c r="H533">
        <v>48038.814758062603</v>
      </c>
      <c r="I533">
        <v>488</v>
      </c>
      <c r="J533" t="s">
        <v>18</v>
      </c>
      <c r="K533">
        <v>45998</v>
      </c>
      <c r="L533" t="s">
        <v>19</v>
      </c>
    </row>
    <row r="534" spans="1:12" x14ac:dyDescent="0.35">
      <c r="A534" t="s">
        <v>572</v>
      </c>
      <c r="B534">
        <v>82</v>
      </c>
      <c r="C534" t="s">
        <v>20</v>
      </c>
      <c r="D534" t="s">
        <v>26</v>
      </c>
      <c r="E534" t="s">
        <v>17</v>
      </c>
      <c r="F534">
        <v>45687</v>
      </c>
      <c r="G534" t="s">
        <v>38</v>
      </c>
      <c r="H534">
        <v>29629.085786086911</v>
      </c>
      <c r="I534">
        <v>165</v>
      </c>
      <c r="J534" t="s">
        <v>18</v>
      </c>
      <c r="K534">
        <v>45700</v>
      </c>
      <c r="L534" t="s">
        <v>19</v>
      </c>
    </row>
    <row r="535" spans="1:12" x14ac:dyDescent="0.35">
      <c r="A535" t="s">
        <v>573</v>
      </c>
      <c r="B535">
        <v>70</v>
      </c>
      <c r="C535" t="s">
        <v>20</v>
      </c>
      <c r="D535" t="s">
        <v>29</v>
      </c>
      <c r="E535" t="s">
        <v>30</v>
      </c>
      <c r="F535">
        <v>45809</v>
      </c>
      <c r="G535" t="s">
        <v>37</v>
      </c>
      <c r="H535">
        <v>47372.796713348907</v>
      </c>
      <c r="I535">
        <v>373</v>
      </c>
      <c r="J535" t="s">
        <v>25</v>
      </c>
      <c r="K535">
        <v>45811</v>
      </c>
      <c r="L535" t="s">
        <v>31</v>
      </c>
    </row>
    <row r="536" spans="1:12" x14ac:dyDescent="0.35">
      <c r="A536" t="s">
        <v>574</v>
      </c>
      <c r="B536">
        <v>69</v>
      </c>
      <c r="C536" t="s">
        <v>11</v>
      </c>
      <c r="D536" t="s">
        <v>26</v>
      </c>
      <c r="E536" t="s">
        <v>13</v>
      </c>
      <c r="F536">
        <v>45873</v>
      </c>
      <c r="G536" t="s">
        <v>38</v>
      </c>
      <c r="H536">
        <v>18896.14754558813</v>
      </c>
      <c r="I536">
        <v>142</v>
      </c>
      <c r="J536" t="s">
        <v>18</v>
      </c>
      <c r="K536">
        <v>45887</v>
      </c>
      <c r="L536" t="s">
        <v>22</v>
      </c>
    </row>
    <row r="537" spans="1:12" x14ac:dyDescent="0.35">
      <c r="A537" t="s">
        <v>575</v>
      </c>
      <c r="B537">
        <v>60</v>
      </c>
      <c r="C537" t="s">
        <v>20</v>
      </c>
      <c r="D537" t="s">
        <v>33</v>
      </c>
      <c r="E537" t="s">
        <v>17</v>
      </c>
      <c r="F537">
        <v>46016</v>
      </c>
      <c r="G537" t="s">
        <v>38</v>
      </c>
      <c r="H537">
        <v>45918.942611012681</v>
      </c>
      <c r="I537">
        <v>456</v>
      </c>
      <c r="J537" t="s">
        <v>25</v>
      </c>
      <c r="K537">
        <v>46022</v>
      </c>
      <c r="L537" t="s">
        <v>22</v>
      </c>
    </row>
    <row r="538" spans="1:12" x14ac:dyDescent="0.35">
      <c r="A538" t="s">
        <v>576</v>
      </c>
      <c r="B538">
        <v>38</v>
      </c>
      <c r="C538" t="s">
        <v>20</v>
      </c>
      <c r="D538" t="s">
        <v>21</v>
      </c>
      <c r="E538" t="s">
        <v>28</v>
      </c>
      <c r="F538">
        <v>45889</v>
      </c>
      <c r="G538" t="s">
        <v>37</v>
      </c>
      <c r="H538">
        <v>41094.480242013517</v>
      </c>
      <c r="I538">
        <v>245</v>
      </c>
      <c r="J538" t="s">
        <v>25</v>
      </c>
      <c r="K538">
        <v>45890</v>
      </c>
      <c r="L538" t="s">
        <v>27</v>
      </c>
    </row>
    <row r="539" spans="1:12" x14ac:dyDescent="0.35">
      <c r="A539" t="s">
        <v>577</v>
      </c>
      <c r="B539">
        <v>43</v>
      </c>
      <c r="C539" t="s">
        <v>11</v>
      </c>
      <c r="D539" t="s">
        <v>16</v>
      </c>
      <c r="E539" t="s">
        <v>24</v>
      </c>
      <c r="F539">
        <v>46010</v>
      </c>
      <c r="G539" t="s">
        <v>37</v>
      </c>
      <c r="H539">
        <v>43303.42575209507</v>
      </c>
      <c r="I539">
        <v>366</v>
      </c>
      <c r="J539" t="s">
        <v>18</v>
      </c>
      <c r="K539">
        <v>46019</v>
      </c>
      <c r="L539" t="s">
        <v>15</v>
      </c>
    </row>
    <row r="540" spans="1:12" x14ac:dyDescent="0.35">
      <c r="A540" t="s">
        <v>578</v>
      </c>
      <c r="B540">
        <v>55</v>
      </c>
      <c r="C540" t="s">
        <v>20</v>
      </c>
      <c r="D540" t="s">
        <v>33</v>
      </c>
      <c r="E540" t="s">
        <v>28</v>
      </c>
      <c r="F540">
        <v>45940</v>
      </c>
      <c r="G540" t="s">
        <v>36</v>
      </c>
      <c r="H540">
        <v>8249.5050133652348</v>
      </c>
      <c r="I540">
        <v>339</v>
      </c>
      <c r="J540" t="s">
        <v>18</v>
      </c>
      <c r="K540">
        <v>45949</v>
      </c>
      <c r="L540" t="s">
        <v>27</v>
      </c>
    </row>
    <row r="541" spans="1:12" x14ac:dyDescent="0.35">
      <c r="A541" t="s">
        <v>579</v>
      </c>
      <c r="B541">
        <v>84</v>
      </c>
      <c r="C541" t="s">
        <v>20</v>
      </c>
      <c r="D541" t="s">
        <v>34</v>
      </c>
      <c r="E541" t="s">
        <v>24</v>
      </c>
      <c r="F541">
        <v>45805</v>
      </c>
      <c r="G541" t="s">
        <v>36</v>
      </c>
      <c r="H541">
        <v>-279.84240514028443</v>
      </c>
      <c r="I541">
        <v>142</v>
      </c>
      <c r="J541" t="s">
        <v>18</v>
      </c>
      <c r="K541">
        <v>45809</v>
      </c>
      <c r="L541" t="s">
        <v>27</v>
      </c>
    </row>
    <row r="542" spans="1:12" x14ac:dyDescent="0.35">
      <c r="A542" t="s">
        <v>580</v>
      </c>
      <c r="B542">
        <v>47</v>
      </c>
      <c r="C542" t="s">
        <v>11</v>
      </c>
      <c r="D542" t="s">
        <v>21</v>
      </c>
      <c r="E542" t="s">
        <v>28</v>
      </c>
      <c r="F542">
        <v>45817</v>
      </c>
      <c r="G542" t="s">
        <v>36</v>
      </c>
      <c r="H542">
        <v>2487.9448234187912</v>
      </c>
      <c r="I542">
        <v>161</v>
      </c>
      <c r="J542" t="s">
        <v>25</v>
      </c>
      <c r="K542">
        <v>45831</v>
      </c>
      <c r="L542" t="s">
        <v>27</v>
      </c>
    </row>
    <row r="543" spans="1:12" x14ac:dyDescent="0.35">
      <c r="A543" t="s">
        <v>581</v>
      </c>
      <c r="B543">
        <v>70</v>
      </c>
      <c r="C543" t="s">
        <v>20</v>
      </c>
      <c r="D543" t="s">
        <v>23</v>
      </c>
      <c r="E543" t="s">
        <v>30</v>
      </c>
      <c r="F543">
        <v>45745</v>
      </c>
      <c r="G543" t="s">
        <v>39</v>
      </c>
      <c r="H543">
        <v>49752.20321753715</v>
      </c>
      <c r="I543">
        <v>321</v>
      </c>
      <c r="J543" t="s">
        <v>18</v>
      </c>
      <c r="K543">
        <v>45751</v>
      </c>
      <c r="L543" t="s">
        <v>19</v>
      </c>
    </row>
    <row r="544" spans="1:12" x14ac:dyDescent="0.35">
      <c r="A544" t="s">
        <v>582</v>
      </c>
      <c r="B544">
        <v>67</v>
      </c>
      <c r="C544" t="s">
        <v>20</v>
      </c>
      <c r="D544" t="s">
        <v>29</v>
      </c>
      <c r="E544" t="s">
        <v>28</v>
      </c>
      <c r="F544">
        <v>45882</v>
      </c>
      <c r="G544" t="s">
        <v>39</v>
      </c>
      <c r="H544">
        <v>20977.576735744839</v>
      </c>
      <c r="I544">
        <v>279</v>
      </c>
      <c r="J544" t="s">
        <v>25</v>
      </c>
      <c r="K544">
        <v>45885</v>
      </c>
      <c r="L544" t="s">
        <v>27</v>
      </c>
    </row>
    <row r="545" spans="1:12" x14ac:dyDescent="0.35">
      <c r="A545" t="s">
        <v>583</v>
      </c>
      <c r="B545">
        <v>40</v>
      </c>
      <c r="C545" t="s">
        <v>20</v>
      </c>
      <c r="D545" t="s">
        <v>16</v>
      </c>
      <c r="E545" t="s">
        <v>13</v>
      </c>
      <c r="F545">
        <v>45947</v>
      </c>
      <c r="G545" t="s">
        <v>38</v>
      </c>
      <c r="H545">
        <v>-226.38112001165999</v>
      </c>
      <c r="I545">
        <v>132</v>
      </c>
      <c r="J545" t="s">
        <v>18</v>
      </c>
      <c r="K545">
        <v>45958</v>
      </c>
      <c r="L545" t="s">
        <v>31</v>
      </c>
    </row>
    <row r="546" spans="1:12" x14ac:dyDescent="0.35">
      <c r="A546" t="s">
        <v>584</v>
      </c>
      <c r="B546">
        <v>29</v>
      </c>
      <c r="C546" t="s">
        <v>11</v>
      </c>
      <c r="D546" t="s">
        <v>21</v>
      </c>
      <c r="E546" t="s">
        <v>13</v>
      </c>
      <c r="F546">
        <v>45952</v>
      </c>
      <c r="G546" t="s">
        <v>37</v>
      </c>
      <c r="H546">
        <v>16529.141476231842</v>
      </c>
      <c r="I546">
        <v>124</v>
      </c>
      <c r="J546" t="s">
        <v>25</v>
      </c>
      <c r="K546">
        <v>45955</v>
      </c>
      <c r="L546" t="s">
        <v>15</v>
      </c>
    </row>
    <row r="547" spans="1:12" x14ac:dyDescent="0.35">
      <c r="A547" t="s">
        <v>585</v>
      </c>
      <c r="B547">
        <v>62</v>
      </c>
      <c r="C547" t="s">
        <v>20</v>
      </c>
      <c r="D547" t="s">
        <v>34</v>
      </c>
      <c r="E547" t="s">
        <v>28</v>
      </c>
      <c r="F547">
        <v>45791</v>
      </c>
      <c r="G547" t="s">
        <v>39</v>
      </c>
      <c r="H547">
        <v>30201.88160980419</v>
      </c>
      <c r="I547">
        <v>326</v>
      </c>
      <c r="J547" t="s">
        <v>25</v>
      </c>
      <c r="K547">
        <v>45795</v>
      </c>
      <c r="L547" t="s">
        <v>22</v>
      </c>
    </row>
    <row r="548" spans="1:12" x14ac:dyDescent="0.35">
      <c r="A548" t="s">
        <v>586</v>
      </c>
      <c r="B548">
        <v>83</v>
      </c>
      <c r="C548" t="s">
        <v>20</v>
      </c>
      <c r="D548" t="s">
        <v>21</v>
      </c>
      <c r="E548" t="s">
        <v>30</v>
      </c>
      <c r="F548">
        <v>45698</v>
      </c>
      <c r="G548" t="s">
        <v>38</v>
      </c>
      <c r="H548">
        <v>1656.984539695495</v>
      </c>
      <c r="I548">
        <v>367</v>
      </c>
      <c r="J548" t="s">
        <v>18</v>
      </c>
      <c r="K548">
        <v>45700</v>
      </c>
      <c r="L548" t="s">
        <v>15</v>
      </c>
    </row>
    <row r="549" spans="1:12" x14ac:dyDescent="0.35">
      <c r="A549" t="s">
        <v>587</v>
      </c>
      <c r="B549">
        <v>25</v>
      </c>
      <c r="C549" t="s">
        <v>20</v>
      </c>
      <c r="D549" t="s">
        <v>29</v>
      </c>
      <c r="E549" t="s">
        <v>24</v>
      </c>
      <c r="F549">
        <v>45773</v>
      </c>
      <c r="G549" t="s">
        <v>38</v>
      </c>
      <c r="H549">
        <v>2135.456534255889</v>
      </c>
      <c r="I549">
        <v>486</v>
      </c>
      <c r="J549" t="s">
        <v>25</v>
      </c>
      <c r="K549">
        <v>45781</v>
      </c>
      <c r="L549" t="s">
        <v>19</v>
      </c>
    </row>
    <row r="550" spans="1:12" x14ac:dyDescent="0.35">
      <c r="A550" t="s">
        <v>588</v>
      </c>
      <c r="B550">
        <v>30</v>
      </c>
      <c r="C550" t="s">
        <v>20</v>
      </c>
      <c r="D550" t="s">
        <v>23</v>
      </c>
      <c r="E550" t="s">
        <v>24</v>
      </c>
      <c r="F550">
        <v>45781</v>
      </c>
      <c r="G550" t="s">
        <v>37</v>
      </c>
      <c r="H550">
        <v>11973.08970789012</v>
      </c>
      <c r="I550">
        <v>338</v>
      </c>
      <c r="J550" t="s">
        <v>25</v>
      </c>
      <c r="K550">
        <v>45792</v>
      </c>
      <c r="L550" t="s">
        <v>27</v>
      </c>
    </row>
    <row r="551" spans="1:12" x14ac:dyDescent="0.35">
      <c r="A551" t="s">
        <v>589</v>
      </c>
      <c r="B551">
        <v>20</v>
      </c>
      <c r="C551" t="s">
        <v>20</v>
      </c>
      <c r="D551" t="s">
        <v>23</v>
      </c>
      <c r="E551" t="s">
        <v>30</v>
      </c>
      <c r="F551">
        <v>45970</v>
      </c>
      <c r="G551" t="s">
        <v>38</v>
      </c>
      <c r="H551">
        <v>14355.883678685181</v>
      </c>
      <c r="I551">
        <v>155</v>
      </c>
      <c r="J551" t="s">
        <v>18</v>
      </c>
      <c r="K551">
        <v>45977</v>
      </c>
      <c r="L551" t="s">
        <v>31</v>
      </c>
    </row>
    <row r="552" spans="1:12" x14ac:dyDescent="0.35">
      <c r="A552" t="s">
        <v>590</v>
      </c>
      <c r="B552">
        <v>52</v>
      </c>
      <c r="C552" t="s">
        <v>20</v>
      </c>
      <c r="D552" t="s">
        <v>33</v>
      </c>
      <c r="E552" t="s">
        <v>32</v>
      </c>
      <c r="F552">
        <v>46013</v>
      </c>
      <c r="G552" t="s">
        <v>39</v>
      </c>
      <c r="H552">
        <v>28277.808970906681</v>
      </c>
      <c r="I552">
        <v>121</v>
      </c>
      <c r="J552" t="s">
        <v>25</v>
      </c>
      <c r="K552">
        <v>46015</v>
      </c>
      <c r="L552" t="s">
        <v>19</v>
      </c>
    </row>
    <row r="553" spans="1:12" x14ac:dyDescent="0.35">
      <c r="A553" t="s">
        <v>591</v>
      </c>
      <c r="B553">
        <v>33</v>
      </c>
      <c r="C553" t="s">
        <v>20</v>
      </c>
      <c r="D553" t="s">
        <v>33</v>
      </c>
      <c r="E553" t="s">
        <v>28</v>
      </c>
      <c r="F553">
        <v>45989</v>
      </c>
      <c r="G553" t="s">
        <v>39</v>
      </c>
      <c r="H553">
        <v>44773.49236376601</v>
      </c>
      <c r="I553">
        <v>313</v>
      </c>
      <c r="J553" t="s">
        <v>25</v>
      </c>
      <c r="K553">
        <v>45999</v>
      </c>
      <c r="L553" t="s">
        <v>22</v>
      </c>
    </row>
    <row r="554" spans="1:12" x14ac:dyDescent="0.35">
      <c r="A554" t="s">
        <v>592</v>
      </c>
      <c r="B554">
        <v>54</v>
      </c>
      <c r="C554" t="s">
        <v>20</v>
      </c>
      <c r="D554" t="s">
        <v>34</v>
      </c>
      <c r="E554" t="s">
        <v>30</v>
      </c>
      <c r="F554">
        <v>45684</v>
      </c>
      <c r="G554" t="s">
        <v>38</v>
      </c>
      <c r="H554">
        <v>33486.781640950598</v>
      </c>
      <c r="I554">
        <v>442</v>
      </c>
      <c r="J554" t="s">
        <v>25</v>
      </c>
      <c r="K554">
        <v>45695</v>
      </c>
      <c r="L554" t="s">
        <v>19</v>
      </c>
    </row>
    <row r="555" spans="1:12" x14ac:dyDescent="0.35">
      <c r="A555" t="s">
        <v>593</v>
      </c>
      <c r="B555">
        <v>81</v>
      </c>
      <c r="C555" t="s">
        <v>11</v>
      </c>
      <c r="D555" t="s">
        <v>34</v>
      </c>
      <c r="E555" t="s">
        <v>32</v>
      </c>
      <c r="F555">
        <v>45991</v>
      </c>
      <c r="G555" t="s">
        <v>36</v>
      </c>
      <c r="H555">
        <v>42433.930010047763</v>
      </c>
      <c r="I555">
        <v>206</v>
      </c>
      <c r="J555" t="s">
        <v>25</v>
      </c>
      <c r="K555">
        <v>45996</v>
      </c>
      <c r="L555" t="s">
        <v>22</v>
      </c>
    </row>
    <row r="556" spans="1:12" x14ac:dyDescent="0.35">
      <c r="A556" t="s">
        <v>594</v>
      </c>
      <c r="B556">
        <v>35</v>
      </c>
      <c r="C556" t="s">
        <v>20</v>
      </c>
      <c r="D556" t="s">
        <v>12</v>
      </c>
      <c r="E556" t="s">
        <v>24</v>
      </c>
      <c r="F556">
        <v>45834</v>
      </c>
      <c r="G556" t="s">
        <v>37</v>
      </c>
      <c r="H556">
        <v>46446.293078557857</v>
      </c>
      <c r="I556">
        <v>115</v>
      </c>
      <c r="J556" t="s">
        <v>18</v>
      </c>
      <c r="K556">
        <v>45844</v>
      </c>
      <c r="L556" t="s">
        <v>22</v>
      </c>
    </row>
    <row r="557" spans="1:12" x14ac:dyDescent="0.35">
      <c r="A557" t="s">
        <v>595</v>
      </c>
      <c r="B557">
        <v>44</v>
      </c>
      <c r="C557" t="s">
        <v>11</v>
      </c>
      <c r="D557" t="s">
        <v>33</v>
      </c>
      <c r="E557" t="s">
        <v>13</v>
      </c>
      <c r="F557">
        <v>45668</v>
      </c>
      <c r="G557" t="s">
        <v>37</v>
      </c>
      <c r="H557">
        <v>12795.19969223959</v>
      </c>
      <c r="I557">
        <v>335</v>
      </c>
      <c r="J557" t="s">
        <v>18</v>
      </c>
      <c r="K557">
        <v>45681</v>
      </c>
      <c r="L557" t="s">
        <v>15</v>
      </c>
    </row>
    <row r="558" spans="1:12" x14ac:dyDescent="0.35">
      <c r="A558" t="s">
        <v>596</v>
      </c>
      <c r="B558">
        <v>41</v>
      </c>
      <c r="C558" t="s">
        <v>20</v>
      </c>
      <c r="D558" t="s">
        <v>21</v>
      </c>
      <c r="E558" t="s">
        <v>30</v>
      </c>
      <c r="F558">
        <v>45936</v>
      </c>
      <c r="G558" t="s">
        <v>36</v>
      </c>
      <c r="H558">
        <v>36111.965511571383</v>
      </c>
      <c r="I558">
        <v>251</v>
      </c>
      <c r="J558" t="s">
        <v>25</v>
      </c>
      <c r="K558">
        <v>45939</v>
      </c>
      <c r="L558" t="s">
        <v>27</v>
      </c>
    </row>
    <row r="559" spans="1:12" x14ac:dyDescent="0.35">
      <c r="A559" t="s">
        <v>597</v>
      </c>
      <c r="B559">
        <v>68</v>
      </c>
      <c r="C559" t="s">
        <v>20</v>
      </c>
      <c r="D559" t="s">
        <v>34</v>
      </c>
      <c r="E559" t="s">
        <v>13</v>
      </c>
      <c r="F559">
        <v>46014</v>
      </c>
      <c r="G559" t="s">
        <v>36</v>
      </c>
      <c r="H559">
        <v>42254.535773507443</v>
      </c>
      <c r="I559">
        <v>120</v>
      </c>
      <c r="J559" t="s">
        <v>25</v>
      </c>
      <c r="K559">
        <v>46020</v>
      </c>
      <c r="L559" t="s">
        <v>22</v>
      </c>
    </row>
    <row r="560" spans="1:12" x14ac:dyDescent="0.35">
      <c r="A560" t="s">
        <v>598</v>
      </c>
      <c r="B560">
        <v>65</v>
      </c>
      <c r="C560" t="s">
        <v>20</v>
      </c>
      <c r="D560" t="s">
        <v>34</v>
      </c>
      <c r="E560" t="s">
        <v>13</v>
      </c>
      <c r="F560">
        <v>45851</v>
      </c>
      <c r="G560" t="s">
        <v>38</v>
      </c>
      <c r="H560">
        <v>22936.48498082588</v>
      </c>
      <c r="I560">
        <v>463</v>
      </c>
      <c r="J560" t="s">
        <v>18</v>
      </c>
      <c r="K560">
        <v>45864</v>
      </c>
      <c r="L560" t="s">
        <v>27</v>
      </c>
    </row>
    <row r="561" spans="1:12" x14ac:dyDescent="0.35">
      <c r="A561" t="s">
        <v>599</v>
      </c>
      <c r="B561">
        <v>77</v>
      </c>
      <c r="C561" t="s">
        <v>20</v>
      </c>
      <c r="D561" t="s">
        <v>26</v>
      </c>
      <c r="E561" t="s">
        <v>28</v>
      </c>
      <c r="F561">
        <v>45840</v>
      </c>
      <c r="G561" t="s">
        <v>38</v>
      </c>
      <c r="H561">
        <v>13083.092792171539</v>
      </c>
      <c r="I561">
        <v>341</v>
      </c>
      <c r="J561" t="s">
        <v>25</v>
      </c>
      <c r="K561">
        <v>45843</v>
      </c>
      <c r="L561" t="s">
        <v>31</v>
      </c>
    </row>
    <row r="562" spans="1:12" x14ac:dyDescent="0.35">
      <c r="A562" t="s">
        <v>600</v>
      </c>
      <c r="B562">
        <v>63</v>
      </c>
      <c r="C562" t="s">
        <v>11</v>
      </c>
      <c r="D562" t="s">
        <v>29</v>
      </c>
      <c r="E562" t="s">
        <v>28</v>
      </c>
      <c r="F562">
        <v>45734</v>
      </c>
      <c r="G562" t="s">
        <v>36</v>
      </c>
      <c r="H562">
        <v>1403.4570133972611</v>
      </c>
      <c r="I562">
        <v>170</v>
      </c>
      <c r="J562" t="s">
        <v>25</v>
      </c>
      <c r="K562">
        <v>45741</v>
      </c>
      <c r="L562" t="s">
        <v>27</v>
      </c>
    </row>
    <row r="563" spans="1:12" x14ac:dyDescent="0.35">
      <c r="A563" t="s">
        <v>601</v>
      </c>
      <c r="B563">
        <v>56</v>
      </c>
      <c r="C563" t="s">
        <v>11</v>
      </c>
      <c r="D563" t="s">
        <v>23</v>
      </c>
      <c r="E563" t="s">
        <v>32</v>
      </c>
      <c r="F563">
        <v>45817</v>
      </c>
      <c r="G563" t="s">
        <v>36</v>
      </c>
      <c r="H563">
        <v>41653.615771023593</v>
      </c>
      <c r="I563">
        <v>405</v>
      </c>
      <c r="J563" t="s">
        <v>18</v>
      </c>
      <c r="K563">
        <v>45821</v>
      </c>
      <c r="L563" t="s">
        <v>22</v>
      </c>
    </row>
    <row r="564" spans="1:12" x14ac:dyDescent="0.35">
      <c r="A564" t="s">
        <v>602</v>
      </c>
      <c r="B564">
        <v>35</v>
      </c>
      <c r="C564" t="s">
        <v>11</v>
      </c>
      <c r="D564" t="s">
        <v>29</v>
      </c>
      <c r="E564" t="s">
        <v>13</v>
      </c>
      <c r="F564">
        <v>45677</v>
      </c>
      <c r="G564" t="s">
        <v>37</v>
      </c>
      <c r="H564">
        <v>40081.25165425329</v>
      </c>
      <c r="I564">
        <v>345</v>
      </c>
      <c r="J564" t="s">
        <v>18</v>
      </c>
      <c r="K564">
        <v>45681</v>
      </c>
      <c r="L564" t="s">
        <v>19</v>
      </c>
    </row>
    <row r="565" spans="1:12" x14ac:dyDescent="0.35">
      <c r="A565" t="s">
        <v>603</v>
      </c>
      <c r="B565">
        <v>61</v>
      </c>
      <c r="C565" t="s">
        <v>20</v>
      </c>
      <c r="D565" t="s">
        <v>21</v>
      </c>
      <c r="E565" t="s">
        <v>28</v>
      </c>
      <c r="F565">
        <v>45982</v>
      </c>
      <c r="G565" t="s">
        <v>37</v>
      </c>
      <c r="H565">
        <v>14819.455728022651</v>
      </c>
      <c r="I565">
        <v>234</v>
      </c>
      <c r="J565" t="s">
        <v>18</v>
      </c>
      <c r="K565">
        <v>45995</v>
      </c>
      <c r="L565" t="s">
        <v>31</v>
      </c>
    </row>
    <row r="566" spans="1:12" x14ac:dyDescent="0.35">
      <c r="A566" t="s">
        <v>604</v>
      </c>
      <c r="B566">
        <v>35</v>
      </c>
      <c r="C566" t="s">
        <v>11</v>
      </c>
      <c r="D566" t="s">
        <v>33</v>
      </c>
      <c r="E566" t="s">
        <v>30</v>
      </c>
      <c r="F566">
        <v>46013</v>
      </c>
      <c r="G566" t="s">
        <v>36</v>
      </c>
      <c r="H566">
        <v>22490.443614569431</v>
      </c>
      <c r="I566">
        <v>399</v>
      </c>
      <c r="J566" t="s">
        <v>25</v>
      </c>
      <c r="K566">
        <v>46015</v>
      </c>
      <c r="L566" t="s">
        <v>22</v>
      </c>
    </row>
    <row r="567" spans="1:12" x14ac:dyDescent="0.35">
      <c r="A567" t="s">
        <v>605</v>
      </c>
      <c r="B567">
        <v>64</v>
      </c>
      <c r="C567" t="s">
        <v>20</v>
      </c>
      <c r="D567" t="s">
        <v>34</v>
      </c>
      <c r="E567" t="s">
        <v>13</v>
      </c>
      <c r="F567">
        <v>46013</v>
      </c>
      <c r="G567" t="s">
        <v>37</v>
      </c>
      <c r="H567">
        <v>12749.99392567508</v>
      </c>
      <c r="I567">
        <v>497</v>
      </c>
      <c r="J567" t="s">
        <v>18</v>
      </c>
      <c r="K567">
        <v>46018</v>
      </c>
      <c r="L567" t="s">
        <v>31</v>
      </c>
    </row>
    <row r="568" spans="1:12" x14ac:dyDescent="0.35">
      <c r="A568" t="s">
        <v>606</v>
      </c>
      <c r="B568">
        <v>35</v>
      </c>
      <c r="C568" t="s">
        <v>20</v>
      </c>
      <c r="D568" t="s">
        <v>12</v>
      </c>
      <c r="E568" t="s">
        <v>28</v>
      </c>
      <c r="F568">
        <v>45749</v>
      </c>
      <c r="G568" t="s">
        <v>39</v>
      </c>
      <c r="H568">
        <v>27213.482705259241</v>
      </c>
      <c r="I568">
        <v>342</v>
      </c>
      <c r="J568" t="s">
        <v>18</v>
      </c>
      <c r="K568">
        <v>45760</v>
      </c>
      <c r="L568" t="s">
        <v>31</v>
      </c>
    </row>
    <row r="569" spans="1:12" x14ac:dyDescent="0.35">
      <c r="A569" t="s">
        <v>607</v>
      </c>
      <c r="B569">
        <v>44</v>
      </c>
      <c r="C569" t="s">
        <v>11</v>
      </c>
      <c r="D569" t="s">
        <v>33</v>
      </c>
      <c r="E569" t="s">
        <v>28</v>
      </c>
      <c r="F569">
        <v>45974</v>
      </c>
      <c r="G569" t="s">
        <v>39</v>
      </c>
      <c r="H569">
        <v>13127.33995354016</v>
      </c>
      <c r="I569">
        <v>436</v>
      </c>
      <c r="J569" t="s">
        <v>25</v>
      </c>
      <c r="K569">
        <v>45985</v>
      </c>
      <c r="L569" t="s">
        <v>22</v>
      </c>
    </row>
    <row r="570" spans="1:12" x14ac:dyDescent="0.35">
      <c r="A570" t="s">
        <v>608</v>
      </c>
      <c r="B570">
        <v>35</v>
      </c>
      <c r="C570" t="s">
        <v>11</v>
      </c>
      <c r="D570" t="s">
        <v>16</v>
      </c>
      <c r="E570" t="s">
        <v>32</v>
      </c>
      <c r="F570">
        <v>45802</v>
      </c>
      <c r="G570" t="s">
        <v>38</v>
      </c>
      <c r="H570">
        <v>43821.631937736551</v>
      </c>
      <c r="I570">
        <v>466</v>
      </c>
      <c r="J570" t="s">
        <v>25</v>
      </c>
      <c r="K570">
        <v>45813</v>
      </c>
      <c r="L570" t="s">
        <v>31</v>
      </c>
    </row>
    <row r="571" spans="1:12" x14ac:dyDescent="0.35">
      <c r="A571" t="s">
        <v>609</v>
      </c>
      <c r="B571">
        <v>20</v>
      </c>
      <c r="C571" t="s">
        <v>20</v>
      </c>
      <c r="D571" t="s">
        <v>21</v>
      </c>
      <c r="E571" t="s">
        <v>28</v>
      </c>
      <c r="F571">
        <v>46006</v>
      </c>
      <c r="G571" t="s">
        <v>37</v>
      </c>
      <c r="H571">
        <v>18891.088709599069</v>
      </c>
      <c r="I571">
        <v>122</v>
      </c>
      <c r="J571" t="s">
        <v>18</v>
      </c>
      <c r="K571">
        <v>46019</v>
      </c>
      <c r="L571" t="s">
        <v>19</v>
      </c>
    </row>
    <row r="572" spans="1:12" x14ac:dyDescent="0.35">
      <c r="A572" t="s">
        <v>610</v>
      </c>
      <c r="B572">
        <v>85</v>
      </c>
      <c r="C572" t="s">
        <v>11</v>
      </c>
      <c r="D572" t="s">
        <v>23</v>
      </c>
      <c r="E572" t="s">
        <v>30</v>
      </c>
      <c r="F572">
        <v>45713</v>
      </c>
      <c r="G572" t="s">
        <v>38</v>
      </c>
      <c r="H572">
        <v>44113.542332439327</v>
      </c>
      <c r="I572">
        <v>295</v>
      </c>
      <c r="J572" t="s">
        <v>18</v>
      </c>
      <c r="K572">
        <v>45727</v>
      </c>
      <c r="L572" t="s">
        <v>15</v>
      </c>
    </row>
    <row r="573" spans="1:12" x14ac:dyDescent="0.35">
      <c r="A573" t="s">
        <v>611</v>
      </c>
      <c r="B573">
        <v>37</v>
      </c>
      <c r="C573" t="s">
        <v>11</v>
      </c>
      <c r="D573" t="s">
        <v>21</v>
      </c>
      <c r="E573" t="s">
        <v>24</v>
      </c>
      <c r="F573">
        <v>45788</v>
      </c>
      <c r="G573" t="s">
        <v>36</v>
      </c>
      <c r="H573">
        <v>34184.981114590068</v>
      </c>
      <c r="I573">
        <v>126</v>
      </c>
      <c r="J573" t="s">
        <v>18</v>
      </c>
      <c r="K573">
        <v>45790</v>
      </c>
      <c r="L573" t="s">
        <v>27</v>
      </c>
    </row>
    <row r="574" spans="1:12" x14ac:dyDescent="0.35">
      <c r="A574" t="s">
        <v>612</v>
      </c>
      <c r="B574">
        <v>53</v>
      </c>
      <c r="C574" t="s">
        <v>20</v>
      </c>
      <c r="D574" t="s">
        <v>33</v>
      </c>
      <c r="E574" t="s">
        <v>24</v>
      </c>
      <c r="F574">
        <v>45851</v>
      </c>
      <c r="G574" t="s">
        <v>37</v>
      </c>
      <c r="H574">
        <v>44741.122118980064</v>
      </c>
      <c r="I574">
        <v>136</v>
      </c>
      <c r="J574" t="s">
        <v>18</v>
      </c>
      <c r="K574">
        <v>45865</v>
      </c>
      <c r="L574" t="s">
        <v>15</v>
      </c>
    </row>
    <row r="575" spans="1:12" x14ac:dyDescent="0.35">
      <c r="A575" t="s">
        <v>613</v>
      </c>
      <c r="B575">
        <v>33</v>
      </c>
      <c r="C575" t="s">
        <v>20</v>
      </c>
      <c r="D575" t="s">
        <v>26</v>
      </c>
      <c r="E575" t="s">
        <v>28</v>
      </c>
      <c r="F575">
        <v>45712</v>
      </c>
      <c r="G575" t="s">
        <v>39</v>
      </c>
      <c r="H575">
        <v>4251.265728776385</v>
      </c>
      <c r="I575">
        <v>273</v>
      </c>
      <c r="J575" t="s">
        <v>25</v>
      </c>
      <c r="K575">
        <v>45723</v>
      </c>
      <c r="L575" t="s">
        <v>27</v>
      </c>
    </row>
    <row r="576" spans="1:12" x14ac:dyDescent="0.35">
      <c r="A576" t="s">
        <v>614</v>
      </c>
      <c r="B576">
        <v>44</v>
      </c>
      <c r="C576" t="s">
        <v>20</v>
      </c>
      <c r="D576" t="s">
        <v>34</v>
      </c>
      <c r="E576" t="s">
        <v>32</v>
      </c>
      <c r="F576">
        <v>45694</v>
      </c>
      <c r="G576" t="s">
        <v>39</v>
      </c>
      <c r="H576">
        <v>29650.509595166601</v>
      </c>
      <c r="I576">
        <v>366</v>
      </c>
      <c r="J576" t="s">
        <v>18</v>
      </c>
      <c r="K576">
        <v>45703</v>
      </c>
      <c r="L576" t="s">
        <v>22</v>
      </c>
    </row>
    <row r="577" spans="1:12" x14ac:dyDescent="0.35">
      <c r="A577" t="s">
        <v>615</v>
      </c>
      <c r="B577">
        <v>46</v>
      </c>
      <c r="C577" t="s">
        <v>20</v>
      </c>
      <c r="D577" t="s">
        <v>21</v>
      </c>
      <c r="E577" t="s">
        <v>24</v>
      </c>
      <c r="F577">
        <v>45673</v>
      </c>
      <c r="G577" t="s">
        <v>36</v>
      </c>
      <c r="H577">
        <v>2127.0706645975911</v>
      </c>
      <c r="I577">
        <v>192</v>
      </c>
      <c r="J577" t="s">
        <v>18</v>
      </c>
      <c r="K577">
        <v>45680</v>
      </c>
      <c r="L577" t="s">
        <v>31</v>
      </c>
    </row>
    <row r="578" spans="1:12" x14ac:dyDescent="0.35">
      <c r="A578" t="s">
        <v>616</v>
      </c>
      <c r="B578">
        <v>71</v>
      </c>
      <c r="C578" t="s">
        <v>11</v>
      </c>
      <c r="D578" t="s">
        <v>12</v>
      </c>
      <c r="E578" t="s">
        <v>32</v>
      </c>
      <c r="F578">
        <v>45778</v>
      </c>
      <c r="G578" t="s">
        <v>37</v>
      </c>
      <c r="H578">
        <v>6383.7029427345324</v>
      </c>
      <c r="I578">
        <v>258</v>
      </c>
      <c r="J578" t="s">
        <v>18</v>
      </c>
      <c r="K578">
        <v>45786</v>
      </c>
      <c r="L578" t="s">
        <v>15</v>
      </c>
    </row>
    <row r="579" spans="1:12" x14ac:dyDescent="0.35">
      <c r="A579" t="s">
        <v>617</v>
      </c>
      <c r="B579">
        <v>78</v>
      </c>
      <c r="C579" t="s">
        <v>11</v>
      </c>
      <c r="D579" t="s">
        <v>29</v>
      </c>
      <c r="E579" t="s">
        <v>13</v>
      </c>
      <c r="F579">
        <v>45892</v>
      </c>
      <c r="G579" t="s">
        <v>37</v>
      </c>
      <c r="H579">
        <v>19579.865985069111</v>
      </c>
      <c r="I579">
        <v>349</v>
      </c>
      <c r="J579" t="s">
        <v>18</v>
      </c>
      <c r="K579">
        <v>45903</v>
      </c>
      <c r="L579" t="s">
        <v>31</v>
      </c>
    </row>
    <row r="580" spans="1:12" x14ac:dyDescent="0.35">
      <c r="A580" t="s">
        <v>618</v>
      </c>
      <c r="B580">
        <v>44</v>
      </c>
      <c r="C580" t="s">
        <v>20</v>
      </c>
      <c r="D580" t="s">
        <v>16</v>
      </c>
      <c r="E580" t="s">
        <v>30</v>
      </c>
      <c r="F580">
        <v>45762</v>
      </c>
      <c r="G580" t="s">
        <v>38</v>
      </c>
      <c r="H580">
        <v>10597.064848362539</v>
      </c>
      <c r="I580">
        <v>438</v>
      </c>
      <c r="J580" t="s">
        <v>18</v>
      </c>
      <c r="K580">
        <v>45769</v>
      </c>
      <c r="L580" t="s">
        <v>15</v>
      </c>
    </row>
    <row r="581" spans="1:12" x14ac:dyDescent="0.35">
      <c r="A581" t="s">
        <v>619</v>
      </c>
      <c r="B581">
        <v>43</v>
      </c>
      <c r="C581" t="s">
        <v>11</v>
      </c>
      <c r="D581" t="s">
        <v>12</v>
      </c>
      <c r="E581" t="s">
        <v>17</v>
      </c>
      <c r="F581">
        <v>45869</v>
      </c>
      <c r="G581" t="s">
        <v>38</v>
      </c>
      <c r="H581">
        <v>25682.536853059471</v>
      </c>
      <c r="I581">
        <v>487</v>
      </c>
      <c r="J581" t="s">
        <v>18</v>
      </c>
      <c r="K581">
        <v>45874</v>
      </c>
      <c r="L581" t="s">
        <v>22</v>
      </c>
    </row>
    <row r="582" spans="1:12" x14ac:dyDescent="0.35">
      <c r="A582" t="s">
        <v>620</v>
      </c>
      <c r="B582">
        <v>67</v>
      </c>
      <c r="C582" t="s">
        <v>20</v>
      </c>
      <c r="D582" t="s">
        <v>26</v>
      </c>
      <c r="E582" t="s">
        <v>13</v>
      </c>
      <c r="F582">
        <v>45891</v>
      </c>
      <c r="G582" t="s">
        <v>36</v>
      </c>
      <c r="H582">
        <v>46303.091871558187</v>
      </c>
      <c r="I582">
        <v>449</v>
      </c>
      <c r="J582" t="s">
        <v>25</v>
      </c>
      <c r="K582">
        <v>45900</v>
      </c>
      <c r="L582" t="s">
        <v>31</v>
      </c>
    </row>
    <row r="583" spans="1:12" x14ac:dyDescent="0.35">
      <c r="A583" t="s">
        <v>621</v>
      </c>
      <c r="B583">
        <v>24</v>
      </c>
      <c r="C583" t="s">
        <v>20</v>
      </c>
      <c r="D583" t="s">
        <v>12</v>
      </c>
      <c r="E583" t="s">
        <v>28</v>
      </c>
      <c r="F583">
        <v>45690</v>
      </c>
      <c r="G583" t="s">
        <v>39</v>
      </c>
      <c r="H583">
        <v>21303.314228117561</v>
      </c>
      <c r="I583">
        <v>435</v>
      </c>
      <c r="J583" t="s">
        <v>18</v>
      </c>
      <c r="K583">
        <v>45703</v>
      </c>
      <c r="L583" t="s">
        <v>31</v>
      </c>
    </row>
    <row r="584" spans="1:12" x14ac:dyDescent="0.35">
      <c r="A584" t="s">
        <v>622</v>
      </c>
      <c r="B584">
        <v>74</v>
      </c>
      <c r="C584" t="s">
        <v>20</v>
      </c>
      <c r="D584" t="s">
        <v>33</v>
      </c>
      <c r="E584" t="s">
        <v>17</v>
      </c>
      <c r="F584">
        <v>45904</v>
      </c>
      <c r="G584" t="s">
        <v>36</v>
      </c>
      <c r="H584">
        <v>38654.187027127351</v>
      </c>
      <c r="I584">
        <v>437</v>
      </c>
      <c r="J584" t="s">
        <v>18</v>
      </c>
      <c r="K584">
        <v>45914</v>
      </c>
      <c r="L584" t="s">
        <v>31</v>
      </c>
    </row>
    <row r="585" spans="1:12" x14ac:dyDescent="0.35">
      <c r="A585" t="s">
        <v>623</v>
      </c>
      <c r="B585">
        <v>64</v>
      </c>
      <c r="C585" t="s">
        <v>11</v>
      </c>
      <c r="D585" t="s">
        <v>34</v>
      </c>
      <c r="E585" t="s">
        <v>28</v>
      </c>
      <c r="F585">
        <v>45819</v>
      </c>
      <c r="G585" t="s">
        <v>36</v>
      </c>
      <c r="H585">
        <v>15518.597601422371</v>
      </c>
      <c r="I585">
        <v>172</v>
      </c>
      <c r="J585" t="s">
        <v>25</v>
      </c>
      <c r="K585">
        <v>45830</v>
      </c>
      <c r="L585" t="s">
        <v>22</v>
      </c>
    </row>
    <row r="586" spans="1:12" x14ac:dyDescent="0.35">
      <c r="A586" t="s">
        <v>624</v>
      </c>
      <c r="B586">
        <v>51</v>
      </c>
      <c r="C586" t="s">
        <v>11</v>
      </c>
      <c r="D586" t="s">
        <v>12</v>
      </c>
      <c r="E586" t="s">
        <v>17</v>
      </c>
      <c r="F586">
        <v>45782</v>
      </c>
      <c r="G586" t="s">
        <v>36</v>
      </c>
      <c r="H586">
        <v>44110.873238509434</v>
      </c>
      <c r="I586">
        <v>493</v>
      </c>
      <c r="J586" t="s">
        <v>18</v>
      </c>
      <c r="K586">
        <v>45783</v>
      </c>
      <c r="L586" t="s">
        <v>15</v>
      </c>
    </row>
    <row r="587" spans="1:12" x14ac:dyDescent="0.35">
      <c r="A587" t="s">
        <v>625</v>
      </c>
      <c r="B587">
        <v>33</v>
      </c>
      <c r="C587" t="s">
        <v>20</v>
      </c>
      <c r="D587" t="s">
        <v>23</v>
      </c>
      <c r="E587" t="s">
        <v>30</v>
      </c>
      <c r="F587">
        <v>45993</v>
      </c>
      <c r="G587" t="s">
        <v>39</v>
      </c>
      <c r="H587">
        <v>29713.25089335323</v>
      </c>
      <c r="I587">
        <v>471</v>
      </c>
      <c r="J587" t="s">
        <v>18</v>
      </c>
      <c r="K587">
        <v>46002</v>
      </c>
      <c r="L587" t="s">
        <v>22</v>
      </c>
    </row>
    <row r="588" spans="1:12" x14ac:dyDescent="0.35">
      <c r="A588" t="s">
        <v>626</v>
      </c>
      <c r="B588">
        <v>53</v>
      </c>
      <c r="C588" t="s">
        <v>11</v>
      </c>
      <c r="D588" t="s">
        <v>26</v>
      </c>
      <c r="E588" t="s">
        <v>28</v>
      </c>
      <c r="F588">
        <v>45844</v>
      </c>
      <c r="G588" t="s">
        <v>37</v>
      </c>
      <c r="H588">
        <v>20557.41140520417</v>
      </c>
      <c r="I588">
        <v>177</v>
      </c>
      <c r="J588" t="s">
        <v>25</v>
      </c>
      <c r="K588">
        <v>45857</v>
      </c>
      <c r="L588" t="s">
        <v>31</v>
      </c>
    </row>
    <row r="589" spans="1:12" x14ac:dyDescent="0.35">
      <c r="A589" t="s">
        <v>627</v>
      </c>
      <c r="B589">
        <v>42</v>
      </c>
      <c r="C589" t="s">
        <v>11</v>
      </c>
      <c r="D589" t="s">
        <v>12</v>
      </c>
      <c r="E589" t="s">
        <v>30</v>
      </c>
      <c r="F589">
        <v>45730</v>
      </c>
      <c r="G589" t="s">
        <v>36</v>
      </c>
      <c r="H589">
        <v>19473.808688760972</v>
      </c>
      <c r="I589">
        <v>147</v>
      </c>
      <c r="J589" t="s">
        <v>25</v>
      </c>
      <c r="K589">
        <v>45739</v>
      </c>
      <c r="L589" t="s">
        <v>27</v>
      </c>
    </row>
    <row r="590" spans="1:12" x14ac:dyDescent="0.35">
      <c r="A590" t="s">
        <v>628</v>
      </c>
      <c r="B590">
        <v>42</v>
      </c>
      <c r="C590" t="s">
        <v>20</v>
      </c>
      <c r="D590" t="s">
        <v>26</v>
      </c>
      <c r="E590" t="s">
        <v>13</v>
      </c>
      <c r="F590">
        <v>45877</v>
      </c>
      <c r="G590" t="s">
        <v>36</v>
      </c>
      <c r="H590">
        <v>363.66620013158041</v>
      </c>
      <c r="I590">
        <v>192</v>
      </c>
      <c r="J590" t="s">
        <v>25</v>
      </c>
      <c r="K590">
        <v>45878</v>
      </c>
      <c r="L590" t="s">
        <v>27</v>
      </c>
    </row>
    <row r="591" spans="1:12" x14ac:dyDescent="0.35">
      <c r="A591" t="s">
        <v>629</v>
      </c>
      <c r="B591">
        <v>53</v>
      </c>
      <c r="C591" t="s">
        <v>11</v>
      </c>
      <c r="D591" t="s">
        <v>21</v>
      </c>
      <c r="E591" t="s">
        <v>17</v>
      </c>
      <c r="F591">
        <v>45938</v>
      </c>
      <c r="G591" t="s">
        <v>37</v>
      </c>
      <c r="H591">
        <v>27489.87656181342</v>
      </c>
      <c r="I591">
        <v>180</v>
      </c>
      <c r="J591" t="s">
        <v>25</v>
      </c>
      <c r="K591">
        <v>45942</v>
      </c>
      <c r="L591" t="s">
        <v>31</v>
      </c>
    </row>
    <row r="592" spans="1:12" x14ac:dyDescent="0.35">
      <c r="A592" t="s">
        <v>630</v>
      </c>
      <c r="B592">
        <v>56</v>
      </c>
      <c r="C592" t="s">
        <v>20</v>
      </c>
      <c r="D592" t="s">
        <v>33</v>
      </c>
      <c r="E592" t="s">
        <v>30</v>
      </c>
      <c r="F592">
        <v>45729</v>
      </c>
      <c r="G592" t="s">
        <v>38</v>
      </c>
      <c r="H592">
        <v>17703.719017962259</v>
      </c>
      <c r="I592">
        <v>208</v>
      </c>
      <c r="J592" t="s">
        <v>18</v>
      </c>
      <c r="K592">
        <v>45741</v>
      </c>
      <c r="L592" t="s">
        <v>31</v>
      </c>
    </row>
    <row r="593" spans="1:12" x14ac:dyDescent="0.35">
      <c r="A593" t="s">
        <v>631</v>
      </c>
      <c r="B593">
        <v>57</v>
      </c>
      <c r="C593" t="s">
        <v>11</v>
      </c>
      <c r="D593" t="s">
        <v>34</v>
      </c>
      <c r="E593" t="s">
        <v>32</v>
      </c>
      <c r="F593">
        <v>46015</v>
      </c>
      <c r="G593" t="s">
        <v>36</v>
      </c>
      <c r="H593">
        <v>14798.174842239039</v>
      </c>
      <c r="I593">
        <v>178</v>
      </c>
      <c r="J593" t="s">
        <v>25</v>
      </c>
      <c r="K593">
        <v>46016</v>
      </c>
      <c r="L593" t="s">
        <v>22</v>
      </c>
    </row>
    <row r="594" spans="1:12" x14ac:dyDescent="0.35">
      <c r="A594" t="s">
        <v>632</v>
      </c>
      <c r="B594">
        <v>19</v>
      </c>
      <c r="C594" t="s">
        <v>20</v>
      </c>
      <c r="D594" t="s">
        <v>12</v>
      </c>
      <c r="E594" t="s">
        <v>32</v>
      </c>
      <c r="F594">
        <v>45780</v>
      </c>
      <c r="G594" t="s">
        <v>39</v>
      </c>
      <c r="H594">
        <v>22119.901903087619</v>
      </c>
      <c r="I594">
        <v>327</v>
      </c>
      <c r="J594" t="s">
        <v>25</v>
      </c>
      <c r="K594">
        <v>45793</v>
      </c>
      <c r="L594" t="s">
        <v>19</v>
      </c>
    </row>
    <row r="595" spans="1:12" x14ac:dyDescent="0.35">
      <c r="A595" t="s">
        <v>633</v>
      </c>
      <c r="B595">
        <v>33</v>
      </c>
      <c r="C595" t="s">
        <v>11</v>
      </c>
      <c r="D595" t="s">
        <v>33</v>
      </c>
      <c r="E595" t="s">
        <v>17</v>
      </c>
      <c r="F595">
        <v>45677</v>
      </c>
      <c r="G595" t="s">
        <v>38</v>
      </c>
      <c r="H595">
        <v>19878.299876819729</v>
      </c>
      <c r="I595">
        <v>455</v>
      </c>
      <c r="J595" t="s">
        <v>25</v>
      </c>
      <c r="K595">
        <v>45683</v>
      </c>
      <c r="L595" t="s">
        <v>15</v>
      </c>
    </row>
    <row r="596" spans="1:12" x14ac:dyDescent="0.35">
      <c r="A596" t="s">
        <v>634</v>
      </c>
      <c r="B596">
        <v>18</v>
      </c>
      <c r="C596" t="s">
        <v>11</v>
      </c>
      <c r="D596" t="s">
        <v>23</v>
      </c>
      <c r="E596" t="s">
        <v>30</v>
      </c>
      <c r="F596">
        <v>45961</v>
      </c>
      <c r="G596" t="s">
        <v>39</v>
      </c>
      <c r="H596">
        <v>46012.01986013665</v>
      </c>
      <c r="I596">
        <v>369</v>
      </c>
      <c r="J596" t="s">
        <v>25</v>
      </c>
      <c r="K596">
        <v>45974</v>
      </c>
      <c r="L596" t="s">
        <v>31</v>
      </c>
    </row>
    <row r="597" spans="1:12" x14ac:dyDescent="0.35">
      <c r="A597" t="s">
        <v>635</v>
      </c>
      <c r="B597">
        <v>71</v>
      </c>
      <c r="C597" t="s">
        <v>20</v>
      </c>
      <c r="D597" t="s">
        <v>21</v>
      </c>
      <c r="E597" t="s">
        <v>24</v>
      </c>
      <c r="F597">
        <v>45708</v>
      </c>
      <c r="G597" t="s">
        <v>39</v>
      </c>
      <c r="H597">
        <v>27510.319278890322</v>
      </c>
      <c r="I597">
        <v>163</v>
      </c>
      <c r="J597" t="s">
        <v>18</v>
      </c>
      <c r="K597">
        <v>45713</v>
      </c>
      <c r="L597" t="s">
        <v>31</v>
      </c>
    </row>
    <row r="598" spans="1:12" x14ac:dyDescent="0.35">
      <c r="A598" t="s">
        <v>636</v>
      </c>
      <c r="B598">
        <v>43</v>
      </c>
      <c r="C598" t="s">
        <v>20</v>
      </c>
      <c r="D598" t="s">
        <v>34</v>
      </c>
      <c r="E598" t="s">
        <v>13</v>
      </c>
      <c r="F598">
        <v>45775</v>
      </c>
      <c r="G598" t="s">
        <v>36</v>
      </c>
      <c r="H598">
        <v>32068.047250062089</v>
      </c>
      <c r="I598">
        <v>161</v>
      </c>
      <c r="J598" t="s">
        <v>18</v>
      </c>
      <c r="K598">
        <v>45781</v>
      </c>
      <c r="L598" t="s">
        <v>27</v>
      </c>
    </row>
    <row r="599" spans="1:12" x14ac:dyDescent="0.35">
      <c r="A599" t="s">
        <v>637</v>
      </c>
      <c r="B599">
        <v>47</v>
      </c>
      <c r="C599" t="s">
        <v>11</v>
      </c>
      <c r="D599" t="s">
        <v>23</v>
      </c>
      <c r="E599" t="s">
        <v>30</v>
      </c>
      <c r="F599">
        <v>45885</v>
      </c>
      <c r="G599" t="s">
        <v>36</v>
      </c>
      <c r="H599">
        <v>13519.77433735948</v>
      </c>
      <c r="I599">
        <v>436</v>
      </c>
      <c r="J599" t="s">
        <v>18</v>
      </c>
      <c r="K599">
        <v>45899</v>
      </c>
      <c r="L599" t="s">
        <v>19</v>
      </c>
    </row>
    <row r="600" spans="1:12" x14ac:dyDescent="0.35">
      <c r="A600" t="s">
        <v>638</v>
      </c>
      <c r="B600">
        <v>57</v>
      </c>
      <c r="C600" t="s">
        <v>11</v>
      </c>
      <c r="D600" t="s">
        <v>23</v>
      </c>
      <c r="E600" t="s">
        <v>32</v>
      </c>
      <c r="F600">
        <v>45940</v>
      </c>
      <c r="G600" t="s">
        <v>36</v>
      </c>
      <c r="H600">
        <v>42056.044881278911</v>
      </c>
      <c r="I600">
        <v>277</v>
      </c>
      <c r="J600" t="s">
        <v>18</v>
      </c>
      <c r="K600">
        <v>45942</v>
      </c>
      <c r="L600" t="s">
        <v>15</v>
      </c>
    </row>
    <row r="601" spans="1:12" x14ac:dyDescent="0.35">
      <c r="A601" t="s">
        <v>639</v>
      </c>
      <c r="B601">
        <v>26</v>
      </c>
      <c r="C601" t="s">
        <v>20</v>
      </c>
      <c r="D601" t="s">
        <v>21</v>
      </c>
      <c r="E601" t="s">
        <v>32</v>
      </c>
      <c r="F601">
        <v>45672</v>
      </c>
      <c r="G601" t="s">
        <v>36</v>
      </c>
      <c r="H601">
        <v>39655.140227197291</v>
      </c>
      <c r="I601">
        <v>444</v>
      </c>
      <c r="J601" t="s">
        <v>25</v>
      </c>
      <c r="K601">
        <v>45685</v>
      </c>
      <c r="L601" t="s">
        <v>19</v>
      </c>
    </row>
    <row r="602" spans="1:12" x14ac:dyDescent="0.35">
      <c r="A602" t="s">
        <v>640</v>
      </c>
      <c r="B602">
        <v>67</v>
      </c>
      <c r="C602" t="s">
        <v>11</v>
      </c>
      <c r="D602" t="s">
        <v>12</v>
      </c>
      <c r="E602" t="s">
        <v>24</v>
      </c>
      <c r="F602">
        <v>45845</v>
      </c>
      <c r="G602" t="s">
        <v>38</v>
      </c>
      <c r="H602">
        <v>10210.304434653381</v>
      </c>
      <c r="I602">
        <v>207</v>
      </c>
      <c r="J602" t="s">
        <v>25</v>
      </c>
      <c r="K602">
        <v>45859</v>
      </c>
      <c r="L602" t="s">
        <v>19</v>
      </c>
    </row>
    <row r="603" spans="1:12" x14ac:dyDescent="0.35">
      <c r="A603" t="s">
        <v>641</v>
      </c>
      <c r="B603">
        <v>52</v>
      </c>
      <c r="C603" t="s">
        <v>20</v>
      </c>
      <c r="D603" t="s">
        <v>34</v>
      </c>
      <c r="E603" t="s">
        <v>13</v>
      </c>
      <c r="F603">
        <v>45891</v>
      </c>
      <c r="G603" t="s">
        <v>37</v>
      </c>
      <c r="H603">
        <v>18173.153656373452</v>
      </c>
      <c r="I603">
        <v>332</v>
      </c>
      <c r="J603" t="s">
        <v>25</v>
      </c>
      <c r="K603">
        <v>45900</v>
      </c>
      <c r="L603" t="s">
        <v>22</v>
      </c>
    </row>
    <row r="604" spans="1:12" x14ac:dyDescent="0.35">
      <c r="A604" t="s">
        <v>642</v>
      </c>
      <c r="B604">
        <v>67</v>
      </c>
      <c r="C604" t="s">
        <v>20</v>
      </c>
      <c r="D604" t="s">
        <v>33</v>
      </c>
      <c r="E604" t="s">
        <v>17</v>
      </c>
      <c r="F604">
        <v>45890</v>
      </c>
      <c r="G604" t="s">
        <v>36</v>
      </c>
      <c r="H604">
        <v>41829.772450793709</v>
      </c>
      <c r="I604">
        <v>422</v>
      </c>
      <c r="J604" t="s">
        <v>25</v>
      </c>
      <c r="K604">
        <v>45904</v>
      </c>
      <c r="L604" t="s">
        <v>19</v>
      </c>
    </row>
    <row r="605" spans="1:12" x14ac:dyDescent="0.35">
      <c r="A605" t="s">
        <v>643</v>
      </c>
      <c r="B605">
        <v>66</v>
      </c>
      <c r="C605" t="s">
        <v>20</v>
      </c>
      <c r="D605" t="s">
        <v>26</v>
      </c>
      <c r="E605" t="s">
        <v>24</v>
      </c>
      <c r="F605">
        <v>45708</v>
      </c>
      <c r="G605" t="s">
        <v>39</v>
      </c>
      <c r="H605">
        <v>35775.587444921221</v>
      </c>
      <c r="I605">
        <v>221</v>
      </c>
      <c r="J605" t="s">
        <v>18</v>
      </c>
      <c r="K605">
        <v>45713</v>
      </c>
      <c r="L605" t="s">
        <v>27</v>
      </c>
    </row>
    <row r="606" spans="1:12" x14ac:dyDescent="0.35">
      <c r="A606" t="s">
        <v>644</v>
      </c>
      <c r="B606">
        <v>64</v>
      </c>
      <c r="C606" t="s">
        <v>20</v>
      </c>
      <c r="D606" t="s">
        <v>34</v>
      </c>
      <c r="E606" t="s">
        <v>13</v>
      </c>
      <c r="F606">
        <v>45724</v>
      </c>
      <c r="G606" t="s">
        <v>38</v>
      </c>
      <c r="H606">
        <v>40217.369222765068</v>
      </c>
      <c r="I606">
        <v>118</v>
      </c>
      <c r="J606" t="s">
        <v>25</v>
      </c>
      <c r="K606">
        <v>45735</v>
      </c>
      <c r="L606" t="s">
        <v>22</v>
      </c>
    </row>
    <row r="607" spans="1:12" x14ac:dyDescent="0.35">
      <c r="A607" t="s">
        <v>645</v>
      </c>
      <c r="B607">
        <v>54</v>
      </c>
      <c r="C607" t="s">
        <v>11</v>
      </c>
      <c r="D607" t="s">
        <v>34</v>
      </c>
      <c r="E607" t="s">
        <v>28</v>
      </c>
      <c r="F607">
        <v>45808</v>
      </c>
      <c r="G607" t="s">
        <v>37</v>
      </c>
      <c r="H607">
        <v>49665.830077794708</v>
      </c>
      <c r="I607">
        <v>377</v>
      </c>
      <c r="J607" t="s">
        <v>25</v>
      </c>
      <c r="K607">
        <v>45814</v>
      </c>
      <c r="L607" t="s">
        <v>27</v>
      </c>
    </row>
    <row r="608" spans="1:12" x14ac:dyDescent="0.35">
      <c r="A608" t="s">
        <v>646</v>
      </c>
      <c r="B608">
        <v>31</v>
      </c>
      <c r="C608" t="s">
        <v>11</v>
      </c>
      <c r="D608" t="s">
        <v>26</v>
      </c>
      <c r="E608" t="s">
        <v>24</v>
      </c>
      <c r="F608">
        <v>45789</v>
      </c>
      <c r="G608" t="s">
        <v>38</v>
      </c>
      <c r="H608">
        <v>17266.018881045591</v>
      </c>
      <c r="I608">
        <v>307</v>
      </c>
      <c r="J608" t="s">
        <v>25</v>
      </c>
      <c r="K608">
        <v>45798</v>
      </c>
      <c r="L608" t="s">
        <v>19</v>
      </c>
    </row>
    <row r="609" spans="1:12" x14ac:dyDescent="0.35">
      <c r="A609" t="s">
        <v>647</v>
      </c>
      <c r="B609">
        <v>73</v>
      </c>
      <c r="C609" t="s">
        <v>20</v>
      </c>
      <c r="D609" t="s">
        <v>33</v>
      </c>
      <c r="E609" t="s">
        <v>28</v>
      </c>
      <c r="F609">
        <v>45807</v>
      </c>
      <c r="G609" t="s">
        <v>37</v>
      </c>
      <c r="H609">
        <v>16009.554042263349</v>
      </c>
      <c r="I609">
        <v>388</v>
      </c>
      <c r="J609" t="s">
        <v>18</v>
      </c>
      <c r="K609">
        <v>45813</v>
      </c>
      <c r="L609" t="s">
        <v>31</v>
      </c>
    </row>
    <row r="610" spans="1:12" x14ac:dyDescent="0.35">
      <c r="A610" t="s">
        <v>648</v>
      </c>
      <c r="B610">
        <v>62</v>
      </c>
      <c r="C610" t="s">
        <v>11</v>
      </c>
      <c r="D610" t="s">
        <v>12</v>
      </c>
      <c r="E610" t="s">
        <v>17</v>
      </c>
      <c r="F610">
        <v>45877</v>
      </c>
      <c r="G610" t="s">
        <v>39</v>
      </c>
      <c r="H610">
        <v>40643.906033414278</v>
      </c>
      <c r="I610">
        <v>140</v>
      </c>
      <c r="J610" t="s">
        <v>18</v>
      </c>
      <c r="K610">
        <v>45885</v>
      </c>
      <c r="L610" t="s">
        <v>19</v>
      </c>
    </row>
    <row r="611" spans="1:12" x14ac:dyDescent="0.35">
      <c r="A611" t="s">
        <v>649</v>
      </c>
      <c r="B611">
        <v>20</v>
      </c>
      <c r="C611" t="s">
        <v>11</v>
      </c>
      <c r="D611" t="s">
        <v>29</v>
      </c>
      <c r="E611" t="s">
        <v>30</v>
      </c>
      <c r="F611">
        <v>45774</v>
      </c>
      <c r="G611" t="s">
        <v>38</v>
      </c>
      <c r="H611">
        <v>22180.713230583551</v>
      </c>
      <c r="I611">
        <v>434</v>
      </c>
      <c r="J611" t="s">
        <v>18</v>
      </c>
      <c r="K611">
        <v>45786</v>
      </c>
      <c r="L611" t="s">
        <v>27</v>
      </c>
    </row>
    <row r="612" spans="1:12" x14ac:dyDescent="0.35">
      <c r="A612" t="s">
        <v>650</v>
      </c>
      <c r="B612">
        <v>58</v>
      </c>
      <c r="C612" t="s">
        <v>20</v>
      </c>
      <c r="D612" t="s">
        <v>29</v>
      </c>
      <c r="E612" t="s">
        <v>13</v>
      </c>
      <c r="F612">
        <v>45898</v>
      </c>
      <c r="G612" t="s">
        <v>36</v>
      </c>
      <c r="H612">
        <v>28597.694636428962</v>
      </c>
      <c r="I612">
        <v>364</v>
      </c>
      <c r="J612" t="s">
        <v>18</v>
      </c>
      <c r="K612">
        <v>45899</v>
      </c>
      <c r="L612" t="s">
        <v>19</v>
      </c>
    </row>
    <row r="613" spans="1:12" x14ac:dyDescent="0.35">
      <c r="A613" t="s">
        <v>651</v>
      </c>
      <c r="B613">
        <v>19</v>
      </c>
      <c r="C613" t="s">
        <v>20</v>
      </c>
      <c r="D613" t="s">
        <v>34</v>
      </c>
      <c r="E613" t="s">
        <v>17</v>
      </c>
      <c r="F613">
        <v>45811</v>
      </c>
      <c r="G613" t="s">
        <v>37</v>
      </c>
      <c r="H613">
        <v>46258.618479093457</v>
      </c>
      <c r="I613">
        <v>108</v>
      </c>
      <c r="J613" t="s">
        <v>18</v>
      </c>
      <c r="K613">
        <v>45820</v>
      </c>
      <c r="L613" t="s">
        <v>31</v>
      </c>
    </row>
    <row r="614" spans="1:12" x14ac:dyDescent="0.35">
      <c r="A614" t="s">
        <v>652</v>
      </c>
      <c r="B614">
        <v>72</v>
      </c>
      <c r="C614" t="s">
        <v>11</v>
      </c>
      <c r="D614" t="s">
        <v>21</v>
      </c>
      <c r="E614" t="s">
        <v>32</v>
      </c>
      <c r="F614">
        <v>45889</v>
      </c>
      <c r="G614" t="s">
        <v>38</v>
      </c>
      <c r="H614">
        <v>44748.521243369833</v>
      </c>
      <c r="I614">
        <v>151</v>
      </c>
      <c r="J614" t="s">
        <v>18</v>
      </c>
      <c r="K614">
        <v>45897</v>
      </c>
      <c r="L614" t="s">
        <v>22</v>
      </c>
    </row>
    <row r="615" spans="1:12" x14ac:dyDescent="0.35">
      <c r="A615" t="s">
        <v>653</v>
      </c>
      <c r="B615">
        <v>78</v>
      </c>
      <c r="C615" t="s">
        <v>20</v>
      </c>
      <c r="D615" t="s">
        <v>12</v>
      </c>
      <c r="E615" t="s">
        <v>32</v>
      </c>
      <c r="F615">
        <v>45981</v>
      </c>
      <c r="G615" t="s">
        <v>38</v>
      </c>
      <c r="H615">
        <v>38367.474403362343</v>
      </c>
      <c r="I615">
        <v>159</v>
      </c>
      <c r="J615" t="s">
        <v>25</v>
      </c>
      <c r="K615">
        <v>45995</v>
      </c>
      <c r="L615" t="s">
        <v>22</v>
      </c>
    </row>
    <row r="616" spans="1:12" x14ac:dyDescent="0.35">
      <c r="A616" t="s">
        <v>654</v>
      </c>
      <c r="B616">
        <v>25</v>
      </c>
      <c r="C616" t="s">
        <v>11</v>
      </c>
      <c r="D616" t="s">
        <v>29</v>
      </c>
      <c r="E616" t="s">
        <v>30</v>
      </c>
      <c r="F616">
        <v>45921</v>
      </c>
      <c r="G616" t="s">
        <v>38</v>
      </c>
      <c r="H616">
        <v>43735.184369034207</v>
      </c>
      <c r="I616">
        <v>379</v>
      </c>
      <c r="J616" t="s">
        <v>25</v>
      </c>
      <c r="K616">
        <v>45925</v>
      </c>
      <c r="L616" t="s">
        <v>15</v>
      </c>
    </row>
    <row r="617" spans="1:12" x14ac:dyDescent="0.35">
      <c r="A617" t="s">
        <v>655</v>
      </c>
      <c r="B617">
        <v>50</v>
      </c>
      <c r="C617" t="s">
        <v>20</v>
      </c>
      <c r="D617" t="s">
        <v>23</v>
      </c>
      <c r="E617" t="s">
        <v>28</v>
      </c>
      <c r="F617">
        <v>45745</v>
      </c>
      <c r="G617" t="s">
        <v>36</v>
      </c>
      <c r="H617">
        <v>37989.117592141723</v>
      </c>
      <c r="I617">
        <v>291</v>
      </c>
      <c r="J617" t="s">
        <v>25</v>
      </c>
      <c r="K617">
        <v>45747</v>
      </c>
      <c r="L617" t="s">
        <v>22</v>
      </c>
    </row>
    <row r="618" spans="1:12" x14ac:dyDescent="0.35">
      <c r="A618" t="s">
        <v>656</v>
      </c>
      <c r="B618">
        <v>49</v>
      </c>
      <c r="C618" t="s">
        <v>20</v>
      </c>
      <c r="D618" t="s">
        <v>21</v>
      </c>
      <c r="E618" t="s">
        <v>13</v>
      </c>
      <c r="F618">
        <v>45748</v>
      </c>
      <c r="G618" t="s">
        <v>37</v>
      </c>
      <c r="H618">
        <v>2327.4287417176638</v>
      </c>
      <c r="I618">
        <v>132</v>
      </c>
      <c r="J618" t="s">
        <v>25</v>
      </c>
      <c r="K618">
        <v>45755</v>
      </c>
      <c r="L618" t="s">
        <v>15</v>
      </c>
    </row>
    <row r="619" spans="1:12" x14ac:dyDescent="0.35">
      <c r="A619" t="s">
        <v>657</v>
      </c>
      <c r="B619">
        <v>67</v>
      </c>
      <c r="C619" t="s">
        <v>11</v>
      </c>
      <c r="D619" t="s">
        <v>23</v>
      </c>
      <c r="E619" t="s">
        <v>17</v>
      </c>
      <c r="F619">
        <v>45851</v>
      </c>
      <c r="G619" t="s">
        <v>38</v>
      </c>
      <c r="H619">
        <v>8466.001486340263</v>
      </c>
      <c r="I619">
        <v>178</v>
      </c>
      <c r="J619" t="s">
        <v>25</v>
      </c>
      <c r="K619">
        <v>45865</v>
      </c>
      <c r="L619" t="s">
        <v>15</v>
      </c>
    </row>
    <row r="620" spans="1:12" x14ac:dyDescent="0.35">
      <c r="A620" t="s">
        <v>658</v>
      </c>
      <c r="B620">
        <v>23</v>
      </c>
      <c r="C620" t="s">
        <v>11</v>
      </c>
      <c r="D620" t="s">
        <v>29</v>
      </c>
      <c r="E620" t="s">
        <v>17</v>
      </c>
      <c r="F620">
        <v>45983</v>
      </c>
      <c r="G620" t="s">
        <v>38</v>
      </c>
      <c r="H620">
        <v>46909.010369823904</v>
      </c>
      <c r="I620">
        <v>498</v>
      </c>
      <c r="J620" t="s">
        <v>18</v>
      </c>
      <c r="K620">
        <v>45984</v>
      </c>
      <c r="L620" t="s">
        <v>27</v>
      </c>
    </row>
    <row r="621" spans="1:12" x14ac:dyDescent="0.35">
      <c r="A621" t="s">
        <v>659</v>
      </c>
      <c r="B621">
        <v>51</v>
      </c>
      <c r="C621" t="s">
        <v>20</v>
      </c>
      <c r="D621" t="s">
        <v>34</v>
      </c>
      <c r="E621" t="s">
        <v>28</v>
      </c>
      <c r="F621">
        <v>45845</v>
      </c>
      <c r="G621" t="s">
        <v>39</v>
      </c>
      <c r="H621">
        <v>15968.90145697251</v>
      </c>
      <c r="I621">
        <v>337</v>
      </c>
      <c r="J621" t="s">
        <v>18</v>
      </c>
      <c r="K621">
        <v>45850</v>
      </c>
      <c r="L621" t="s">
        <v>31</v>
      </c>
    </row>
    <row r="622" spans="1:12" x14ac:dyDescent="0.35">
      <c r="A622" t="s">
        <v>660</v>
      </c>
      <c r="B622">
        <v>48</v>
      </c>
      <c r="C622" t="s">
        <v>11</v>
      </c>
      <c r="D622" t="s">
        <v>21</v>
      </c>
      <c r="E622" t="s">
        <v>30</v>
      </c>
      <c r="F622">
        <v>45934</v>
      </c>
      <c r="G622" t="s">
        <v>37</v>
      </c>
      <c r="H622">
        <v>20513.421361748511</v>
      </c>
      <c r="I622">
        <v>317</v>
      </c>
      <c r="J622" t="s">
        <v>18</v>
      </c>
      <c r="K622">
        <v>45938</v>
      </c>
      <c r="L622" t="s">
        <v>19</v>
      </c>
    </row>
    <row r="623" spans="1:12" x14ac:dyDescent="0.35">
      <c r="A623" t="s">
        <v>661</v>
      </c>
      <c r="B623">
        <v>36</v>
      </c>
      <c r="C623" t="s">
        <v>20</v>
      </c>
      <c r="D623" t="s">
        <v>12</v>
      </c>
      <c r="E623" t="s">
        <v>13</v>
      </c>
      <c r="F623">
        <v>45669</v>
      </c>
      <c r="G623" t="s">
        <v>39</v>
      </c>
      <c r="H623">
        <v>22754.692130789739</v>
      </c>
      <c r="I623">
        <v>247</v>
      </c>
      <c r="J623" t="s">
        <v>25</v>
      </c>
      <c r="K623">
        <v>45682</v>
      </c>
      <c r="L623" t="s">
        <v>19</v>
      </c>
    </row>
    <row r="624" spans="1:12" x14ac:dyDescent="0.35">
      <c r="A624" t="s">
        <v>662</v>
      </c>
      <c r="B624">
        <v>54</v>
      </c>
      <c r="C624" t="s">
        <v>20</v>
      </c>
      <c r="D624" t="s">
        <v>16</v>
      </c>
      <c r="E624" t="s">
        <v>28</v>
      </c>
      <c r="F624">
        <v>45859</v>
      </c>
      <c r="G624" t="s">
        <v>36</v>
      </c>
      <c r="H624">
        <v>14915.627165902781</v>
      </c>
      <c r="I624">
        <v>114</v>
      </c>
      <c r="J624" t="s">
        <v>25</v>
      </c>
      <c r="K624">
        <v>45860</v>
      </c>
      <c r="L624" t="s">
        <v>19</v>
      </c>
    </row>
    <row r="625" spans="1:12" x14ac:dyDescent="0.35">
      <c r="A625" t="s">
        <v>663</v>
      </c>
      <c r="B625">
        <v>84</v>
      </c>
      <c r="C625" t="s">
        <v>20</v>
      </c>
      <c r="D625" t="s">
        <v>23</v>
      </c>
      <c r="E625" t="s">
        <v>30</v>
      </c>
      <c r="F625">
        <v>45915</v>
      </c>
      <c r="G625" t="s">
        <v>36</v>
      </c>
      <c r="H625">
        <v>24198.412246997399</v>
      </c>
      <c r="I625">
        <v>287</v>
      </c>
      <c r="J625" t="s">
        <v>25</v>
      </c>
      <c r="K625">
        <v>45919</v>
      </c>
      <c r="L625" t="s">
        <v>31</v>
      </c>
    </row>
    <row r="626" spans="1:12" x14ac:dyDescent="0.35">
      <c r="A626" t="s">
        <v>664</v>
      </c>
      <c r="B626">
        <v>58</v>
      </c>
      <c r="C626" t="s">
        <v>20</v>
      </c>
      <c r="D626" t="s">
        <v>16</v>
      </c>
      <c r="E626" t="s">
        <v>24</v>
      </c>
      <c r="F626">
        <v>45742</v>
      </c>
      <c r="G626" t="s">
        <v>36</v>
      </c>
      <c r="H626">
        <v>22596.010738295041</v>
      </c>
      <c r="I626">
        <v>342</v>
      </c>
      <c r="J626" t="s">
        <v>25</v>
      </c>
      <c r="K626">
        <v>45744</v>
      </c>
      <c r="L626" t="s">
        <v>22</v>
      </c>
    </row>
    <row r="627" spans="1:12" x14ac:dyDescent="0.35">
      <c r="A627" t="s">
        <v>665</v>
      </c>
      <c r="B627">
        <v>69</v>
      </c>
      <c r="C627" t="s">
        <v>20</v>
      </c>
      <c r="D627" t="s">
        <v>21</v>
      </c>
      <c r="E627" t="s">
        <v>13</v>
      </c>
      <c r="F627">
        <v>45869</v>
      </c>
      <c r="G627" t="s">
        <v>37</v>
      </c>
      <c r="H627">
        <v>10359.89855802125</v>
      </c>
      <c r="I627">
        <v>356</v>
      </c>
      <c r="J627" t="s">
        <v>25</v>
      </c>
      <c r="K627">
        <v>45878</v>
      </c>
      <c r="L627" t="s">
        <v>31</v>
      </c>
    </row>
    <row r="628" spans="1:12" x14ac:dyDescent="0.35">
      <c r="A628" t="s">
        <v>666</v>
      </c>
      <c r="B628">
        <v>79</v>
      </c>
      <c r="C628" t="s">
        <v>11</v>
      </c>
      <c r="D628" t="s">
        <v>33</v>
      </c>
      <c r="E628" t="s">
        <v>17</v>
      </c>
      <c r="F628">
        <v>45765</v>
      </c>
      <c r="G628" t="s">
        <v>36</v>
      </c>
      <c r="H628">
        <v>10966.5202270478</v>
      </c>
      <c r="I628">
        <v>372</v>
      </c>
      <c r="J628" t="s">
        <v>18</v>
      </c>
      <c r="K628">
        <v>45772</v>
      </c>
      <c r="L628" t="s">
        <v>22</v>
      </c>
    </row>
    <row r="629" spans="1:12" x14ac:dyDescent="0.35">
      <c r="A629" t="s">
        <v>667</v>
      </c>
      <c r="B629">
        <v>62</v>
      </c>
      <c r="C629" t="s">
        <v>11</v>
      </c>
      <c r="D629" t="s">
        <v>33</v>
      </c>
      <c r="E629" t="s">
        <v>17</v>
      </c>
      <c r="F629">
        <v>45973</v>
      </c>
      <c r="G629" t="s">
        <v>37</v>
      </c>
      <c r="H629">
        <v>44233.158119878542</v>
      </c>
      <c r="I629">
        <v>147</v>
      </c>
      <c r="J629" t="s">
        <v>25</v>
      </c>
      <c r="K629">
        <v>45975</v>
      </c>
      <c r="L629" t="s">
        <v>27</v>
      </c>
    </row>
    <row r="630" spans="1:12" x14ac:dyDescent="0.35">
      <c r="A630" t="s">
        <v>668</v>
      </c>
      <c r="B630">
        <v>73</v>
      </c>
      <c r="C630" t="s">
        <v>20</v>
      </c>
      <c r="D630" t="s">
        <v>16</v>
      </c>
      <c r="E630" t="s">
        <v>30</v>
      </c>
      <c r="F630">
        <v>45708</v>
      </c>
      <c r="G630" t="s">
        <v>39</v>
      </c>
      <c r="H630">
        <v>48146.269036041587</v>
      </c>
      <c r="I630">
        <v>267</v>
      </c>
      <c r="J630" t="s">
        <v>18</v>
      </c>
      <c r="K630">
        <v>45712</v>
      </c>
      <c r="L630" t="s">
        <v>31</v>
      </c>
    </row>
    <row r="631" spans="1:12" x14ac:dyDescent="0.35">
      <c r="A631" t="s">
        <v>669</v>
      </c>
      <c r="B631">
        <v>30</v>
      </c>
      <c r="C631" t="s">
        <v>11</v>
      </c>
      <c r="D631" t="s">
        <v>33</v>
      </c>
      <c r="E631" t="s">
        <v>24</v>
      </c>
      <c r="F631">
        <v>45757</v>
      </c>
      <c r="G631" t="s">
        <v>39</v>
      </c>
      <c r="H631">
        <v>43600.867480755311</v>
      </c>
      <c r="I631">
        <v>295</v>
      </c>
      <c r="J631" t="s">
        <v>18</v>
      </c>
      <c r="K631">
        <v>45764</v>
      </c>
      <c r="L631" t="s">
        <v>19</v>
      </c>
    </row>
    <row r="632" spans="1:12" x14ac:dyDescent="0.35">
      <c r="A632" t="s">
        <v>670</v>
      </c>
      <c r="B632">
        <v>73</v>
      </c>
      <c r="C632" t="s">
        <v>11</v>
      </c>
      <c r="D632" t="s">
        <v>33</v>
      </c>
      <c r="E632" t="s">
        <v>13</v>
      </c>
      <c r="F632">
        <v>45960</v>
      </c>
      <c r="G632" t="s">
        <v>39</v>
      </c>
      <c r="H632">
        <v>44996.709814628157</v>
      </c>
      <c r="I632">
        <v>469</v>
      </c>
      <c r="J632" t="s">
        <v>18</v>
      </c>
      <c r="K632">
        <v>45965</v>
      </c>
      <c r="L632" t="s">
        <v>22</v>
      </c>
    </row>
    <row r="633" spans="1:12" x14ac:dyDescent="0.35">
      <c r="A633" t="s">
        <v>671</v>
      </c>
      <c r="B633">
        <v>19</v>
      </c>
      <c r="C633" t="s">
        <v>11</v>
      </c>
      <c r="D633" t="s">
        <v>26</v>
      </c>
      <c r="E633" t="s">
        <v>13</v>
      </c>
      <c r="F633">
        <v>45962</v>
      </c>
      <c r="G633" t="s">
        <v>38</v>
      </c>
      <c r="H633">
        <v>43520.710164871489</v>
      </c>
      <c r="I633">
        <v>403</v>
      </c>
      <c r="J633" t="s">
        <v>25</v>
      </c>
      <c r="K633">
        <v>45966</v>
      </c>
      <c r="L633" t="s">
        <v>31</v>
      </c>
    </row>
    <row r="634" spans="1:12" x14ac:dyDescent="0.35">
      <c r="A634" t="s">
        <v>672</v>
      </c>
      <c r="B634">
        <v>49</v>
      </c>
      <c r="C634" t="s">
        <v>20</v>
      </c>
      <c r="D634" t="s">
        <v>34</v>
      </c>
      <c r="E634" t="s">
        <v>28</v>
      </c>
      <c r="F634">
        <v>45905</v>
      </c>
      <c r="G634" t="s">
        <v>36</v>
      </c>
      <c r="H634">
        <v>32768.001852210407</v>
      </c>
      <c r="I634">
        <v>473</v>
      </c>
      <c r="J634" t="s">
        <v>25</v>
      </c>
      <c r="K634">
        <v>45918</v>
      </c>
      <c r="L634" t="s">
        <v>27</v>
      </c>
    </row>
    <row r="635" spans="1:12" x14ac:dyDescent="0.35">
      <c r="A635" t="s">
        <v>673</v>
      </c>
      <c r="B635">
        <v>19</v>
      </c>
      <c r="C635" t="s">
        <v>20</v>
      </c>
      <c r="D635" t="s">
        <v>33</v>
      </c>
      <c r="E635" t="s">
        <v>13</v>
      </c>
      <c r="F635">
        <v>45890</v>
      </c>
      <c r="G635" t="s">
        <v>36</v>
      </c>
      <c r="H635">
        <v>19653.186377381291</v>
      </c>
      <c r="I635">
        <v>139</v>
      </c>
      <c r="J635" t="s">
        <v>25</v>
      </c>
      <c r="K635">
        <v>45901</v>
      </c>
      <c r="L635" t="s">
        <v>31</v>
      </c>
    </row>
    <row r="636" spans="1:12" x14ac:dyDescent="0.35">
      <c r="A636" t="s">
        <v>674</v>
      </c>
      <c r="B636">
        <v>66</v>
      </c>
      <c r="C636" t="s">
        <v>20</v>
      </c>
      <c r="D636" t="s">
        <v>34</v>
      </c>
      <c r="E636" t="s">
        <v>17</v>
      </c>
      <c r="F636">
        <v>45847</v>
      </c>
      <c r="G636" t="s">
        <v>37</v>
      </c>
      <c r="H636">
        <v>2072.7798459727569</v>
      </c>
      <c r="I636">
        <v>438</v>
      </c>
      <c r="J636" t="s">
        <v>18</v>
      </c>
      <c r="K636">
        <v>45848</v>
      </c>
      <c r="L636" t="s">
        <v>15</v>
      </c>
    </row>
    <row r="637" spans="1:12" x14ac:dyDescent="0.35">
      <c r="A637" t="s">
        <v>675</v>
      </c>
      <c r="B637">
        <v>67</v>
      </c>
      <c r="C637" t="s">
        <v>20</v>
      </c>
      <c r="D637" t="s">
        <v>34</v>
      </c>
      <c r="E637" t="s">
        <v>24</v>
      </c>
      <c r="F637">
        <v>45904</v>
      </c>
      <c r="G637" t="s">
        <v>36</v>
      </c>
      <c r="H637">
        <v>44440.733587436887</v>
      </c>
      <c r="I637">
        <v>212</v>
      </c>
      <c r="J637" t="s">
        <v>18</v>
      </c>
      <c r="K637">
        <v>45918</v>
      </c>
      <c r="L637" t="s">
        <v>22</v>
      </c>
    </row>
    <row r="638" spans="1:12" x14ac:dyDescent="0.35">
      <c r="A638" t="s">
        <v>676</v>
      </c>
      <c r="B638">
        <v>71</v>
      </c>
      <c r="C638" t="s">
        <v>11</v>
      </c>
      <c r="D638" t="s">
        <v>21</v>
      </c>
      <c r="E638" t="s">
        <v>32</v>
      </c>
      <c r="F638">
        <v>45834</v>
      </c>
      <c r="G638" t="s">
        <v>36</v>
      </c>
      <c r="H638">
        <v>39598.995351721467</v>
      </c>
      <c r="I638">
        <v>165</v>
      </c>
      <c r="J638" t="s">
        <v>25</v>
      </c>
      <c r="K638">
        <v>45847</v>
      </c>
      <c r="L638" t="s">
        <v>22</v>
      </c>
    </row>
    <row r="639" spans="1:12" x14ac:dyDescent="0.35">
      <c r="A639" t="s">
        <v>677</v>
      </c>
      <c r="B639">
        <v>72</v>
      </c>
      <c r="C639" t="s">
        <v>20</v>
      </c>
      <c r="D639" t="s">
        <v>21</v>
      </c>
      <c r="E639" t="s">
        <v>28</v>
      </c>
      <c r="F639">
        <v>45894</v>
      </c>
      <c r="G639" t="s">
        <v>36</v>
      </c>
      <c r="H639">
        <v>27035.605351924591</v>
      </c>
      <c r="I639">
        <v>211</v>
      </c>
      <c r="J639" t="s">
        <v>25</v>
      </c>
      <c r="K639">
        <v>45895</v>
      </c>
      <c r="L639" t="s">
        <v>15</v>
      </c>
    </row>
    <row r="640" spans="1:12" x14ac:dyDescent="0.35">
      <c r="A640" t="s">
        <v>678</v>
      </c>
      <c r="B640">
        <v>56</v>
      </c>
      <c r="C640" t="s">
        <v>11</v>
      </c>
      <c r="D640" t="s">
        <v>26</v>
      </c>
      <c r="E640" t="s">
        <v>28</v>
      </c>
      <c r="F640">
        <v>45861</v>
      </c>
      <c r="G640" t="s">
        <v>37</v>
      </c>
      <c r="H640">
        <v>31157.06001253258</v>
      </c>
      <c r="I640">
        <v>480</v>
      </c>
      <c r="J640" t="s">
        <v>25</v>
      </c>
      <c r="K640">
        <v>45867</v>
      </c>
      <c r="L640" t="s">
        <v>15</v>
      </c>
    </row>
    <row r="641" spans="1:12" x14ac:dyDescent="0.35">
      <c r="A641" t="s">
        <v>679</v>
      </c>
      <c r="B641">
        <v>35</v>
      </c>
      <c r="C641" t="s">
        <v>11</v>
      </c>
      <c r="D641" t="s">
        <v>26</v>
      </c>
      <c r="E641" t="s">
        <v>13</v>
      </c>
      <c r="F641">
        <v>46016</v>
      </c>
      <c r="G641" t="s">
        <v>39</v>
      </c>
      <c r="H641">
        <v>40062.968097949641</v>
      </c>
      <c r="I641">
        <v>251</v>
      </c>
      <c r="J641" t="s">
        <v>25</v>
      </c>
      <c r="K641">
        <v>46021</v>
      </c>
      <c r="L641" t="s">
        <v>15</v>
      </c>
    </row>
    <row r="642" spans="1:12" x14ac:dyDescent="0.35">
      <c r="A642" t="s">
        <v>680</v>
      </c>
      <c r="B642">
        <v>79</v>
      </c>
      <c r="C642" t="s">
        <v>11</v>
      </c>
      <c r="D642" t="s">
        <v>33</v>
      </c>
      <c r="E642" t="s">
        <v>32</v>
      </c>
      <c r="F642">
        <v>45758</v>
      </c>
      <c r="G642" t="s">
        <v>36</v>
      </c>
      <c r="H642">
        <v>18901.863520805429</v>
      </c>
      <c r="I642">
        <v>172</v>
      </c>
      <c r="J642" t="s">
        <v>25</v>
      </c>
      <c r="K642">
        <v>45761</v>
      </c>
      <c r="L642" t="s">
        <v>27</v>
      </c>
    </row>
    <row r="643" spans="1:12" x14ac:dyDescent="0.35">
      <c r="A643" t="s">
        <v>681</v>
      </c>
      <c r="B643">
        <v>22</v>
      </c>
      <c r="C643" t="s">
        <v>11</v>
      </c>
      <c r="D643" t="s">
        <v>29</v>
      </c>
      <c r="E643" t="s">
        <v>24</v>
      </c>
      <c r="F643">
        <v>45701</v>
      </c>
      <c r="G643" t="s">
        <v>39</v>
      </c>
      <c r="H643">
        <v>47379.28184792339</v>
      </c>
      <c r="I643">
        <v>165</v>
      </c>
      <c r="J643" t="s">
        <v>18</v>
      </c>
      <c r="K643">
        <v>45715</v>
      </c>
      <c r="L643" t="s">
        <v>27</v>
      </c>
    </row>
    <row r="644" spans="1:12" x14ac:dyDescent="0.35">
      <c r="A644" t="s">
        <v>682</v>
      </c>
      <c r="B644">
        <v>33</v>
      </c>
      <c r="C644" t="s">
        <v>20</v>
      </c>
      <c r="D644" t="s">
        <v>29</v>
      </c>
      <c r="E644" t="s">
        <v>17</v>
      </c>
      <c r="F644">
        <v>45732</v>
      </c>
      <c r="G644" t="s">
        <v>36</v>
      </c>
      <c r="H644">
        <v>47438.56084538329</v>
      </c>
      <c r="I644">
        <v>295</v>
      </c>
      <c r="J644" t="s">
        <v>18</v>
      </c>
      <c r="K644">
        <v>45738</v>
      </c>
      <c r="L644" t="s">
        <v>15</v>
      </c>
    </row>
    <row r="645" spans="1:12" x14ac:dyDescent="0.35">
      <c r="A645" t="s">
        <v>683</v>
      </c>
      <c r="B645">
        <v>18</v>
      </c>
      <c r="C645" t="s">
        <v>20</v>
      </c>
      <c r="D645" t="s">
        <v>23</v>
      </c>
      <c r="E645" t="s">
        <v>30</v>
      </c>
      <c r="F645">
        <v>45958</v>
      </c>
      <c r="G645" t="s">
        <v>38</v>
      </c>
      <c r="H645">
        <v>48947.564720670802</v>
      </c>
      <c r="I645">
        <v>350</v>
      </c>
      <c r="J645" t="s">
        <v>25</v>
      </c>
      <c r="K645">
        <v>45963</v>
      </c>
      <c r="L645" t="s">
        <v>15</v>
      </c>
    </row>
    <row r="646" spans="1:12" x14ac:dyDescent="0.35">
      <c r="A646" t="s">
        <v>684</v>
      </c>
      <c r="B646">
        <v>34</v>
      </c>
      <c r="C646" t="s">
        <v>20</v>
      </c>
      <c r="D646" t="s">
        <v>23</v>
      </c>
      <c r="E646" t="s">
        <v>17</v>
      </c>
      <c r="F646">
        <v>45885</v>
      </c>
      <c r="G646" t="s">
        <v>39</v>
      </c>
      <c r="H646">
        <v>3925.5931411910342</v>
      </c>
      <c r="I646">
        <v>380</v>
      </c>
      <c r="J646" t="s">
        <v>18</v>
      </c>
      <c r="K646">
        <v>45893</v>
      </c>
      <c r="L646" t="s">
        <v>15</v>
      </c>
    </row>
    <row r="647" spans="1:12" x14ac:dyDescent="0.35">
      <c r="A647" t="s">
        <v>685</v>
      </c>
      <c r="B647">
        <v>54</v>
      </c>
      <c r="C647" t="s">
        <v>20</v>
      </c>
      <c r="D647" t="s">
        <v>34</v>
      </c>
      <c r="E647" t="s">
        <v>32</v>
      </c>
      <c r="F647">
        <v>45803</v>
      </c>
      <c r="G647" t="s">
        <v>39</v>
      </c>
      <c r="H647">
        <v>45582.040847178061</v>
      </c>
      <c r="I647">
        <v>385</v>
      </c>
      <c r="J647" t="s">
        <v>18</v>
      </c>
      <c r="K647">
        <v>45805</v>
      </c>
      <c r="L647" t="s">
        <v>31</v>
      </c>
    </row>
    <row r="648" spans="1:12" x14ac:dyDescent="0.35">
      <c r="A648" t="s">
        <v>686</v>
      </c>
      <c r="B648">
        <v>33</v>
      </c>
      <c r="C648" t="s">
        <v>11</v>
      </c>
      <c r="D648" t="s">
        <v>33</v>
      </c>
      <c r="E648" t="s">
        <v>28</v>
      </c>
      <c r="F648">
        <v>45693</v>
      </c>
      <c r="G648" t="s">
        <v>36</v>
      </c>
      <c r="H648">
        <v>45351.534568147857</v>
      </c>
      <c r="I648">
        <v>155</v>
      </c>
      <c r="J648" t="s">
        <v>25</v>
      </c>
      <c r="K648">
        <v>45694</v>
      </c>
      <c r="L648" t="s">
        <v>31</v>
      </c>
    </row>
    <row r="649" spans="1:12" x14ac:dyDescent="0.35">
      <c r="A649" t="s">
        <v>687</v>
      </c>
      <c r="B649">
        <v>66</v>
      </c>
      <c r="C649" t="s">
        <v>20</v>
      </c>
      <c r="D649" t="s">
        <v>16</v>
      </c>
      <c r="E649" t="s">
        <v>24</v>
      </c>
      <c r="F649">
        <v>45766</v>
      </c>
      <c r="G649" t="s">
        <v>36</v>
      </c>
      <c r="H649">
        <v>8153.0681247467628</v>
      </c>
      <c r="I649">
        <v>326</v>
      </c>
      <c r="J649" t="s">
        <v>18</v>
      </c>
      <c r="K649">
        <v>45778</v>
      </c>
      <c r="L649" t="s">
        <v>22</v>
      </c>
    </row>
    <row r="650" spans="1:12" x14ac:dyDescent="0.35">
      <c r="A650" t="s">
        <v>688</v>
      </c>
      <c r="B650">
        <v>57</v>
      </c>
      <c r="C650" t="s">
        <v>20</v>
      </c>
      <c r="D650" t="s">
        <v>23</v>
      </c>
      <c r="E650" t="s">
        <v>17</v>
      </c>
      <c r="F650">
        <v>45749</v>
      </c>
      <c r="G650" t="s">
        <v>36</v>
      </c>
      <c r="H650">
        <v>31332.56587956144</v>
      </c>
      <c r="I650">
        <v>203</v>
      </c>
      <c r="J650" t="s">
        <v>25</v>
      </c>
      <c r="K650">
        <v>45750</v>
      </c>
      <c r="L650" t="s">
        <v>22</v>
      </c>
    </row>
    <row r="651" spans="1:12" x14ac:dyDescent="0.35">
      <c r="A651" t="s">
        <v>689</v>
      </c>
      <c r="B651">
        <v>21</v>
      </c>
      <c r="C651" t="s">
        <v>11</v>
      </c>
      <c r="D651" t="s">
        <v>21</v>
      </c>
      <c r="E651" t="s">
        <v>13</v>
      </c>
      <c r="F651">
        <v>45718</v>
      </c>
      <c r="G651" t="s">
        <v>38</v>
      </c>
      <c r="H651">
        <v>20616.550195486539</v>
      </c>
      <c r="I651">
        <v>426</v>
      </c>
      <c r="J651" t="s">
        <v>25</v>
      </c>
      <c r="K651">
        <v>45730</v>
      </c>
      <c r="L651" t="s">
        <v>19</v>
      </c>
    </row>
    <row r="652" spans="1:12" x14ac:dyDescent="0.35">
      <c r="A652" t="s">
        <v>690</v>
      </c>
      <c r="B652">
        <v>43</v>
      </c>
      <c r="C652" t="s">
        <v>20</v>
      </c>
      <c r="D652" t="s">
        <v>12</v>
      </c>
      <c r="E652" t="s">
        <v>13</v>
      </c>
      <c r="F652">
        <v>45694</v>
      </c>
      <c r="G652" t="s">
        <v>39</v>
      </c>
      <c r="H652">
        <v>14902.10565588612</v>
      </c>
      <c r="I652">
        <v>431</v>
      </c>
      <c r="J652" t="s">
        <v>18</v>
      </c>
      <c r="K652">
        <v>45701</v>
      </c>
      <c r="L652" t="s">
        <v>31</v>
      </c>
    </row>
    <row r="653" spans="1:12" x14ac:dyDescent="0.35">
      <c r="A653" t="s">
        <v>691</v>
      </c>
      <c r="B653">
        <v>62</v>
      </c>
      <c r="C653" t="s">
        <v>11</v>
      </c>
      <c r="D653" t="s">
        <v>33</v>
      </c>
      <c r="E653" t="s">
        <v>32</v>
      </c>
      <c r="F653">
        <v>45759</v>
      </c>
      <c r="G653" t="s">
        <v>39</v>
      </c>
      <c r="H653">
        <v>35906.188447406828</v>
      </c>
      <c r="I653">
        <v>121</v>
      </c>
      <c r="J653" t="s">
        <v>25</v>
      </c>
      <c r="K653">
        <v>45765</v>
      </c>
      <c r="L653" t="s">
        <v>22</v>
      </c>
    </row>
    <row r="654" spans="1:12" x14ac:dyDescent="0.35">
      <c r="A654" t="s">
        <v>692</v>
      </c>
      <c r="B654">
        <v>32</v>
      </c>
      <c r="C654" t="s">
        <v>11</v>
      </c>
      <c r="D654" t="s">
        <v>23</v>
      </c>
      <c r="E654" t="s">
        <v>13</v>
      </c>
      <c r="F654">
        <v>45736</v>
      </c>
      <c r="G654" t="s">
        <v>38</v>
      </c>
      <c r="H654">
        <v>36250.968878310239</v>
      </c>
      <c r="I654">
        <v>201</v>
      </c>
      <c r="J654" t="s">
        <v>25</v>
      </c>
      <c r="K654">
        <v>45748</v>
      </c>
      <c r="L654" t="s">
        <v>27</v>
      </c>
    </row>
    <row r="655" spans="1:12" x14ac:dyDescent="0.35">
      <c r="A655" t="s">
        <v>693</v>
      </c>
      <c r="B655">
        <v>39</v>
      </c>
      <c r="C655" t="s">
        <v>20</v>
      </c>
      <c r="D655" t="s">
        <v>12</v>
      </c>
      <c r="E655" t="s">
        <v>13</v>
      </c>
      <c r="F655">
        <v>45750</v>
      </c>
      <c r="G655" t="s">
        <v>36</v>
      </c>
      <c r="H655">
        <v>37685.2743238283</v>
      </c>
      <c r="I655">
        <v>390</v>
      </c>
      <c r="J655" t="s">
        <v>18</v>
      </c>
      <c r="K655">
        <v>45760</v>
      </c>
      <c r="L655" t="s">
        <v>19</v>
      </c>
    </row>
    <row r="656" spans="1:12" x14ac:dyDescent="0.35">
      <c r="A656" t="s">
        <v>694</v>
      </c>
      <c r="B656">
        <v>38</v>
      </c>
      <c r="C656" t="s">
        <v>20</v>
      </c>
      <c r="D656" t="s">
        <v>12</v>
      </c>
      <c r="E656" t="s">
        <v>17</v>
      </c>
      <c r="F656">
        <v>45787</v>
      </c>
      <c r="G656" t="s">
        <v>37</v>
      </c>
      <c r="H656">
        <v>15528.373245424589</v>
      </c>
      <c r="I656">
        <v>309</v>
      </c>
      <c r="J656" t="s">
        <v>18</v>
      </c>
      <c r="K656">
        <v>45790</v>
      </c>
      <c r="L656" t="s">
        <v>27</v>
      </c>
    </row>
    <row r="657" spans="1:12" x14ac:dyDescent="0.35">
      <c r="A657" t="s">
        <v>695</v>
      </c>
      <c r="B657">
        <v>34</v>
      </c>
      <c r="C657" t="s">
        <v>11</v>
      </c>
      <c r="D657" t="s">
        <v>33</v>
      </c>
      <c r="E657" t="s">
        <v>28</v>
      </c>
      <c r="F657">
        <v>45698</v>
      </c>
      <c r="G657" t="s">
        <v>38</v>
      </c>
      <c r="H657">
        <v>45351.534568147857</v>
      </c>
      <c r="I657">
        <v>155</v>
      </c>
      <c r="J657" t="s">
        <v>25</v>
      </c>
      <c r="K657">
        <v>45706</v>
      </c>
      <c r="L657" t="s">
        <v>31</v>
      </c>
    </row>
    <row r="658" spans="1:12" x14ac:dyDescent="0.35">
      <c r="A658" t="s">
        <v>696</v>
      </c>
      <c r="B658">
        <v>52</v>
      </c>
      <c r="C658" t="s">
        <v>11</v>
      </c>
      <c r="D658" t="s">
        <v>16</v>
      </c>
      <c r="E658" t="s">
        <v>32</v>
      </c>
      <c r="F658">
        <v>45804</v>
      </c>
      <c r="G658" t="s">
        <v>37</v>
      </c>
      <c r="H658">
        <v>42569.185316665193</v>
      </c>
      <c r="I658">
        <v>412</v>
      </c>
      <c r="J658" t="s">
        <v>25</v>
      </c>
      <c r="K658">
        <v>45813</v>
      </c>
      <c r="L658" t="s">
        <v>27</v>
      </c>
    </row>
    <row r="659" spans="1:12" x14ac:dyDescent="0.35">
      <c r="A659" t="s">
        <v>697</v>
      </c>
      <c r="B659">
        <v>68</v>
      </c>
      <c r="C659" t="s">
        <v>20</v>
      </c>
      <c r="D659" t="s">
        <v>34</v>
      </c>
      <c r="E659" t="s">
        <v>13</v>
      </c>
      <c r="F659">
        <v>45978</v>
      </c>
      <c r="G659" t="s">
        <v>36</v>
      </c>
      <c r="H659">
        <v>12749.99392567508</v>
      </c>
      <c r="I659">
        <v>497</v>
      </c>
      <c r="J659" t="s">
        <v>18</v>
      </c>
      <c r="K659">
        <v>45980</v>
      </c>
      <c r="L659" t="s">
        <v>31</v>
      </c>
    </row>
    <row r="660" spans="1:12" x14ac:dyDescent="0.35">
      <c r="A660" t="s">
        <v>698</v>
      </c>
      <c r="B660">
        <v>38</v>
      </c>
      <c r="C660" t="s">
        <v>20</v>
      </c>
      <c r="D660" t="s">
        <v>16</v>
      </c>
      <c r="E660" t="s">
        <v>32</v>
      </c>
      <c r="F660">
        <v>45777</v>
      </c>
      <c r="G660" t="s">
        <v>39</v>
      </c>
      <c r="H660">
        <v>44400.354792576378</v>
      </c>
      <c r="I660">
        <v>153</v>
      </c>
      <c r="J660" t="s">
        <v>25</v>
      </c>
      <c r="K660">
        <v>45784</v>
      </c>
      <c r="L660" t="s">
        <v>19</v>
      </c>
    </row>
    <row r="661" spans="1:12" x14ac:dyDescent="0.35">
      <c r="A661" t="s">
        <v>699</v>
      </c>
      <c r="B661">
        <v>78</v>
      </c>
      <c r="C661" t="s">
        <v>20</v>
      </c>
      <c r="D661" t="s">
        <v>34</v>
      </c>
      <c r="E661" t="s">
        <v>32</v>
      </c>
      <c r="F661">
        <v>45964</v>
      </c>
      <c r="G661" t="s">
        <v>39</v>
      </c>
      <c r="H661">
        <v>24984.323711030938</v>
      </c>
      <c r="I661">
        <v>131</v>
      </c>
      <c r="J661" t="s">
        <v>25</v>
      </c>
      <c r="K661">
        <v>45975</v>
      </c>
      <c r="L661" t="s">
        <v>19</v>
      </c>
    </row>
    <row r="662" spans="1:12" x14ac:dyDescent="0.35">
      <c r="A662" t="s">
        <v>700</v>
      </c>
      <c r="B662">
        <v>18</v>
      </c>
      <c r="C662" t="s">
        <v>11</v>
      </c>
      <c r="D662" t="s">
        <v>29</v>
      </c>
      <c r="E662" t="s">
        <v>24</v>
      </c>
      <c r="F662">
        <v>45985</v>
      </c>
      <c r="G662" t="s">
        <v>37</v>
      </c>
      <c r="H662">
        <v>41696.314514859689</v>
      </c>
      <c r="I662">
        <v>206</v>
      </c>
      <c r="J662" t="s">
        <v>25</v>
      </c>
      <c r="K662">
        <v>45999</v>
      </c>
      <c r="L662" t="s">
        <v>15</v>
      </c>
    </row>
    <row r="663" spans="1:12" x14ac:dyDescent="0.35">
      <c r="A663" t="s">
        <v>701</v>
      </c>
      <c r="B663">
        <v>29</v>
      </c>
      <c r="C663" t="s">
        <v>11</v>
      </c>
      <c r="D663" t="s">
        <v>33</v>
      </c>
      <c r="E663" t="s">
        <v>32</v>
      </c>
      <c r="F663">
        <v>45954</v>
      </c>
      <c r="G663" t="s">
        <v>37</v>
      </c>
      <c r="H663">
        <v>39895.717557411277</v>
      </c>
      <c r="I663">
        <v>309</v>
      </c>
      <c r="J663" t="s">
        <v>18</v>
      </c>
      <c r="K663">
        <v>45964</v>
      </c>
      <c r="L663" t="s">
        <v>19</v>
      </c>
    </row>
    <row r="664" spans="1:12" x14ac:dyDescent="0.35">
      <c r="A664" t="s">
        <v>702</v>
      </c>
      <c r="B664">
        <v>57</v>
      </c>
      <c r="C664" t="s">
        <v>11</v>
      </c>
      <c r="D664" t="s">
        <v>21</v>
      </c>
      <c r="E664" t="s">
        <v>32</v>
      </c>
      <c r="F664">
        <v>46021</v>
      </c>
      <c r="G664" t="s">
        <v>37</v>
      </c>
      <c r="H664">
        <v>14210.81732100748</v>
      </c>
      <c r="I664">
        <v>409</v>
      </c>
      <c r="J664" t="s">
        <v>18</v>
      </c>
      <c r="K664">
        <v>46022</v>
      </c>
      <c r="L664" t="s">
        <v>19</v>
      </c>
    </row>
    <row r="665" spans="1:12" x14ac:dyDescent="0.35">
      <c r="A665" t="s">
        <v>703</v>
      </c>
      <c r="B665">
        <v>69</v>
      </c>
      <c r="C665" t="s">
        <v>20</v>
      </c>
      <c r="D665" t="s">
        <v>33</v>
      </c>
      <c r="E665" t="s">
        <v>30</v>
      </c>
      <c r="F665">
        <v>45756</v>
      </c>
      <c r="G665" t="s">
        <v>36</v>
      </c>
      <c r="H665">
        <v>4588.7617031749778</v>
      </c>
      <c r="I665">
        <v>458</v>
      </c>
      <c r="J665" t="s">
        <v>18</v>
      </c>
      <c r="K665">
        <v>45760</v>
      </c>
      <c r="L665" t="s">
        <v>31</v>
      </c>
    </row>
    <row r="666" spans="1:12" x14ac:dyDescent="0.35">
      <c r="A666" t="s">
        <v>704</v>
      </c>
      <c r="B666">
        <v>61</v>
      </c>
      <c r="C666" t="s">
        <v>11</v>
      </c>
      <c r="D666" t="s">
        <v>23</v>
      </c>
      <c r="E666" t="s">
        <v>28</v>
      </c>
      <c r="F666">
        <v>45993</v>
      </c>
      <c r="G666" t="s">
        <v>39</v>
      </c>
      <c r="H666">
        <v>19594.935743510759</v>
      </c>
      <c r="I666">
        <v>298</v>
      </c>
      <c r="J666" t="s">
        <v>25</v>
      </c>
      <c r="K666">
        <v>45995</v>
      </c>
      <c r="L666" t="s">
        <v>15</v>
      </c>
    </row>
    <row r="667" spans="1:12" x14ac:dyDescent="0.35">
      <c r="A667" t="s">
        <v>705</v>
      </c>
      <c r="B667">
        <v>42</v>
      </c>
      <c r="C667" t="s">
        <v>11</v>
      </c>
      <c r="D667" t="s">
        <v>12</v>
      </c>
      <c r="E667" t="s">
        <v>28</v>
      </c>
      <c r="F667">
        <v>46001</v>
      </c>
      <c r="G667" t="s">
        <v>36</v>
      </c>
      <c r="H667">
        <v>6509.4034385260384</v>
      </c>
      <c r="I667">
        <v>138</v>
      </c>
      <c r="J667" t="s">
        <v>25</v>
      </c>
      <c r="K667">
        <v>46015</v>
      </c>
      <c r="L667" t="s">
        <v>22</v>
      </c>
    </row>
    <row r="668" spans="1:12" x14ac:dyDescent="0.35">
      <c r="A668" t="s">
        <v>706</v>
      </c>
      <c r="B668">
        <v>64</v>
      </c>
      <c r="C668" t="s">
        <v>11</v>
      </c>
      <c r="D668" t="s">
        <v>16</v>
      </c>
      <c r="E668" t="s">
        <v>13</v>
      </c>
      <c r="F668">
        <v>45839</v>
      </c>
      <c r="G668" t="s">
        <v>37</v>
      </c>
      <c r="H668">
        <v>10535.861576210789</v>
      </c>
      <c r="I668">
        <v>102</v>
      </c>
      <c r="J668" t="s">
        <v>25</v>
      </c>
      <c r="K668">
        <v>45841</v>
      </c>
      <c r="L668" t="s">
        <v>31</v>
      </c>
    </row>
    <row r="669" spans="1:12" x14ac:dyDescent="0.35">
      <c r="A669" t="s">
        <v>707</v>
      </c>
      <c r="B669">
        <v>64</v>
      </c>
      <c r="C669" t="s">
        <v>11</v>
      </c>
      <c r="D669" t="s">
        <v>33</v>
      </c>
      <c r="E669" t="s">
        <v>30</v>
      </c>
      <c r="F669">
        <v>45691</v>
      </c>
      <c r="G669" t="s">
        <v>36</v>
      </c>
      <c r="H669">
        <v>40981.967811910392</v>
      </c>
      <c r="I669">
        <v>443</v>
      </c>
      <c r="J669" t="s">
        <v>25</v>
      </c>
      <c r="K669">
        <v>45697</v>
      </c>
      <c r="L669" t="s">
        <v>22</v>
      </c>
    </row>
    <row r="670" spans="1:12" x14ac:dyDescent="0.35">
      <c r="A670" t="s">
        <v>708</v>
      </c>
      <c r="B670">
        <v>43</v>
      </c>
      <c r="C670" t="s">
        <v>20</v>
      </c>
      <c r="D670" t="s">
        <v>34</v>
      </c>
      <c r="E670" t="s">
        <v>32</v>
      </c>
      <c r="F670">
        <v>45716</v>
      </c>
      <c r="G670" t="s">
        <v>39</v>
      </c>
      <c r="H670">
        <v>5918.0363643174678</v>
      </c>
      <c r="I670">
        <v>317</v>
      </c>
      <c r="J670" t="s">
        <v>25</v>
      </c>
      <c r="K670">
        <v>45730</v>
      </c>
      <c r="L670" t="s">
        <v>22</v>
      </c>
    </row>
    <row r="671" spans="1:12" x14ac:dyDescent="0.35">
      <c r="A671" t="s">
        <v>709</v>
      </c>
      <c r="B671">
        <v>73</v>
      </c>
      <c r="C671" t="s">
        <v>20</v>
      </c>
      <c r="D671" t="s">
        <v>34</v>
      </c>
      <c r="E671" t="s">
        <v>24</v>
      </c>
      <c r="F671">
        <v>45760</v>
      </c>
      <c r="G671" t="s">
        <v>39</v>
      </c>
      <c r="H671">
        <v>43866.882683449403</v>
      </c>
      <c r="I671">
        <v>314</v>
      </c>
      <c r="J671" t="s">
        <v>25</v>
      </c>
      <c r="K671">
        <v>45772</v>
      </c>
      <c r="L671" t="s">
        <v>27</v>
      </c>
    </row>
    <row r="672" spans="1:12" x14ac:dyDescent="0.35">
      <c r="A672" t="s">
        <v>710</v>
      </c>
      <c r="B672">
        <v>37</v>
      </c>
      <c r="C672" t="s">
        <v>20</v>
      </c>
      <c r="D672" t="s">
        <v>23</v>
      </c>
      <c r="E672" t="s">
        <v>30</v>
      </c>
      <c r="F672">
        <v>45987</v>
      </c>
      <c r="G672" t="s">
        <v>36</v>
      </c>
      <c r="H672">
        <v>29713.25089335323</v>
      </c>
      <c r="I672">
        <v>471</v>
      </c>
      <c r="J672" t="s">
        <v>18</v>
      </c>
      <c r="K672">
        <v>45989</v>
      </c>
      <c r="L672" t="s">
        <v>22</v>
      </c>
    </row>
    <row r="673" spans="1:12" x14ac:dyDescent="0.35">
      <c r="A673" t="s">
        <v>711</v>
      </c>
      <c r="B673">
        <v>32</v>
      </c>
      <c r="C673" t="s">
        <v>20</v>
      </c>
      <c r="D673" t="s">
        <v>33</v>
      </c>
      <c r="E673" t="s">
        <v>32</v>
      </c>
      <c r="F673">
        <v>45942</v>
      </c>
      <c r="G673" t="s">
        <v>36</v>
      </c>
      <c r="H673">
        <v>27684.046934404771</v>
      </c>
      <c r="I673">
        <v>283</v>
      </c>
      <c r="J673" t="s">
        <v>18</v>
      </c>
      <c r="K673">
        <v>45952</v>
      </c>
      <c r="L673" t="s">
        <v>19</v>
      </c>
    </row>
    <row r="674" spans="1:12" x14ac:dyDescent="0.35">
      <c r="A674" t="s">
        <v>712</v>
      </c>
      <c r="B674">
        <v>21</v>
      </c>
      <c r="C674" t="s">
        <v>11</v>
      </c>
      <c r="D674" t="s">
        <v>21</v>
      </c>
      <c r="E674" t="s">
        <v>13</v>
      </c>
      <c r="F674">
        <v>45797</v>
      </c>
      <c r="G674" t="s">
        <v>38</v>
      </c>
      <c r="H674">
        <v>35709.072887239221</v>
      </c>
      <c r="I674">
        <v>284</v>
      </c>
      <c r="J674" t="s">
        <v>25</v>
      </c>
      <c r="K674">
        <v>45803</v>
      </c>
      <c r="L674" t="s">
        <v>15</v>
      </c>
    </row>
    <row r="675" spans="1:12" x14ac:dyDescent="0.35">
      <c r="A675" t="s">
        <v>713</v>
      </c>
      <c r="B675">
        <v>46</v>
      </c>
      <c r="C675" t="s">
        <v>11</v>
      </c>
      <c r="D675" t="s">
        <v>34</v>
      </c>
      <c r="E675" t="s">
        <v>13</v>
      </c>
      <c r="F675">
        <v>45735</v>
      </c>
      <c r="G675" t="s">
        <v>38</v>
      </c>
      <c r="H675">
        <v>9434.7608310983924</v>
      </c>
      <c r="I675">
        <v>372</v>
      </c>
      <c r="J675" t="s">
        <v>25</v>
      </c>
      <c r="K675">
        <v>45748</v>
      </c>
      <c r="L675" t="s">
        <v>22</v>
      </c>
    </row>
    <row r="676" spans="1:12" x14ac:dyDescent="0.35">
      <c r="A676" t="s">
        <v>714</v>
      </c>
      <c r="B676">
        <v>67</v>
      </c>
      <c r="C676" t="s">
        <v>11</v>
      </c>
      <c r="D676" t="s">
        <v>34</v>
      </c>
      <c r="E676" t="s">
        <v>30</v>
      </c>
      <c r="F676">
        <v>45996</v>
      </c>
      <c r="G676" t="s">
        <v>39</v>
      </c>
      <c r="H676">
        <v>10755.694254043219</v>
      </c>
      <c r="I676">
        <v>190</v>
      </c>
      <c r="J676" t="s">
        <v>18</v>
      </c>
      <c r="K676">
        <v>46010</v>
      </c>
      <c r="L676" t="s">
        <v>22</v>
      </c>
    </row>
    <row r="677" spans="1:12" x14ac:dyDescent="0.35">
      <c r="A677" t="s">
        <v>715</v>
      </c>
      <c r="B677">
        <v>61</v>
      </c>
      <c r="C677" t="s">
        <v>11</v>
      </c>
      <c r="D677" t="s">
        <v>26</v>
      </c>
      <c r="E677" t="s">
        <v>32</v>
      </c>
      <c r="F677">
        <v>45960</v>
      </c>
      <c r="G677" t="s">
        <v>39</v>
      </c>
      <c r="H677">
        <v>36260.227756632477</v>
      </c>
      <c r="I677">
        <v>463</v>
      </c>
      <c r="J677" t="s">
        <v>18</v>
      </c>
      <c r="K677">
        <v>45974</v>
      </c>
      <c r="L677" t="s">
        <v>19</v>
      </c>
    </row>
    <row r="678" spans="1:12" x14ac:dyDescent="0.35">
      <c r="A678" t="s">
        <v>716</v>
      </c>
      <c r="B678">
        <v>24</v>
      </c>
      <c r="C678" t="s">
        <v>11</v>
      </c>
      <c r="D678" t="s">
        <v>16</v>
      </c>
      <c r="E678" t="s">
        <v>28</v>
      </c>
      <c r="F678">
        <v>45970</v>
      </c>
      <c r="G678" t="s">
        <v>38</v>
      </c>
      <c r="H678">
        <v>36980.612257696521</v>
      </c>
      <c r="I678">
        <v>476</v>
      </c>
      <c r="J678" t="s">
        <v>18</v>
      </c>
      <c r="K678">
        <v>45979</v>
      </c>
      <c r="L678" t="s">
        <v>15</v>
      </c>
    </row>
    <row r="679" spans="1:12" x14ac:dyDescent="0.35">
      <c r="A679" t="s">
        <v>717</v>
      </c>
      <c r="B679">
        <v>19</v>
      </c>
      <c r="C679" t="s">
        <v>11</v>
      </c>
      <c r="D679" t="s">
        <v>33</v>
      </c>
      <c r="E679" t="s">
        <v>17</v>
      </c>
      <c r="F679">
        <v>45697</v>
      </c>
      <c r="G679" t="s">
        <v>38</v>
      </c>
      <c r="H679">
        <v>24251.869526322051</v>
      </c>
      <c r="I679">
        <v>170</v>
      </c>
      <c r="J679" t="s">
        <v>25</v>
      </c>
      <c r="K679">
        <v>45711</v>
      </c>
      <c r="L679" t="s">
        <v>31</v>
      </c>
    </row>
    <row r="680" spans="1:12" x14ac:dyDescent="0.35">
      <c r="A680" t="s">
        <v>718</v>
      </c>
      <c r="B680">
        <v>59</v>
      </c>
      <c r="C680" t="s">
        <v>11</v>
      </c>
      <c r="D680" t="s">
        <v>12</v>
      </c>
      <c r="E680" t="s">
        <v>13</v>
      </c>
      <c r="F680">
        <v>45727</v>
      </c>
      <c r="G680" t="s">
        <v>38</v>
      </c>
      <c r="H680">
        <v>47329.720557022083</v>
      </c>
      <c r="I680">
        <v>388</v>
      </c>
      <c r="J680" t="s">
        <v>18</v>
      </c>
      <c r="K680">
        <v>45737</v>
      </c>
      <c r="L680" t="s">
        <v>19</v>
      </c>
    </row>
    <row r="681" spans="1:12" x14ac:dyDescent="0.35">
      <c r="A681" t="s">
        <v>719</v>
      </c>
      <c r="B681">
        <v>53</v>
      </c>
      <c r="C681" t="s">
        <v>20</v>
      </c>
      <c r="D681" t="s">
        <v>23</v>
      </c>
      <c r="E681" t="s">
        <v>32</v>
      </c>
      <c r="F681">
        <v>45819</v>
      </c>
      <c r="G681" t="s">
        <v>39</v>
      </c>
      <c r="H681">
        <v>28518.913692902821</v>
      </c>
      <c r="I681">
        <v>235</v>
      </c>
      <c r="J681" t="s">
        <v>18</v>
      </c>
      <c r="K681">
        <v>45833</v>
      </c>
      <c r="L681" t="s">
        <v>27</v>
      </c>
    </row>
    <row r="682" spans="1:12" x14ac:dyDescent="0.35">
      <c r="A682" t="s">
        <v>720</v>
      </c>
      <c r="B682">
        <v>52</v>
      </c>
      <c r="C682" t="s">
        <v>20</v>
      </c>
      <c r="D682" t="s">
        <v>12</v>
      </c>
      <c r="E682" t="s">
        <v>24</v>
      </c>
      <c r="F682">
        <v>45789</v>
      </c>
      <c r="G682" t="s">
        <v>38</v>
      </c>
      <c r="H682">
        <v>2725.3809771642909</v>
      </c>
      <c r="I682">
        <v>299</v>
      </c>
      <c r="J682" t="s">
        <v>25</v>
      </c>
      <c r="K682">
        <v>45800</v>
      </c>
      <c r="L682" t="s">
        <v>15</v>
      </c>
    </row>
    <row r="683" spans="1:12" x14ac:dyDescent="0.35">
      <c r="A683" t="s">
        <v>721</v>
      </c>
      <c r="B683">
        <v>51</v>
      </c>
      <c r="C683" t="s">
        <v>20</v>
      </c>
      <c r="D683" t="s">
        <v>16</v>
      </c>
      <c r="E683" t="s">
        <v>13</v>
      </c>
      <c r="F683">
        <v>45835</v>
      </c>
      <c r="G683" t="s">
        <v>37</v>
      </c>
      <c r="H683">
        <v>6806.7415703531387</v>
      </c>
      <c r="I683">
        <v>432</v>
      </c>
      <c r="J683" t="s">
        <v>25</v>
      </c>
      <c r="K683">
        <v>45849</v>
      </c>
      <c r="L683" t="s">
        <v>15</v>
      </c>
    </row>
    <row r="684" spans="1:12" x14ac:dyDescent="0.35">
      <c r="A684" t="s">
        <v>722</v>
      </c>
      <c r="B684">
        <v>24</v>
      </c>
      <c r="C684" t="s">
        <v>11</v>
      </c>
      <c r="D684" t="s">
        <v>29</v>
      </c>
      <c r="E684" t="s">
        <v>30</v>
      </c>
      <c r="F684">
        <v>45817</v>
      </c>
      <c r="G684" t="s">
        <v>38</v>
      </c>
      <c r="H684">
        <v>43735.184369034207</v>
      </c>
      <c r="I684">
        <v>379</v>
      </c>
      <c r="J684" t="s">
        <v>25</v>
      </c>
      <c r="K684">
        <v>45827</v>
      </c>
      <c r="L684" t="s">
        <v>15</v>
      </c>
    </row>
    <row r="685" spans="1:12" x14ac:dyDescent="0.35">
      <c r="A685" t="s">
        <v>723</v>
      </c>
      <c r="B685">
        <v>33</v>
      </c>
      <c r="C685" t="s">
        <v>11</v>
      </c>
      <c r="D685" t="s">
        <v>26</v>
      </c>
      <c r="E685" t="s">
        <v>28</v>
      </c>
      <c r="F685">
        <v>45771</v>
      </c>
      <c r="G685" t="s">
        <v>38</v>
      </c>
      <c r="H685">
        <v>28990.573014721311</v>
      </c>
      <c r="I685">
        <v>286</v>
      </c>
      <c r="J685" t="s">
        <v>18</v>
      </c>
      <c r="K685">
        <v>45781</v>
      </c>
      <c r="L685" t="s">
        <v>22</v>
      </c>
    </row>
    <row r="686" spans="1:12" x14ac:dyDescent="0.35">
      <c r="A686" t="s">
        <v>724</v>
      </c>
      <c r="B686">
        <v>33</v>
      </c>
      <c r="C686" t="s">
        <v>20</v>
      </c>
      <c r="D686" t="s">
        <v>12</v>
      </c>
      <c r="E686" t="s">
        <v>17</v>
      </c>
      <c r="F686">
        <v>45734</v>
      </c>
      <c r="G686" t="s">
        <v>36</v>
      </c>
      <c r="H686">
        <v>38270.31489433883</v>
      </c>
      <c r="I686">
        <v>178</v>
      </c>
      <c r="J686" t="s">
        <v>25</v>
      </c>
      <c r="K686">
        <v>45745</v>
      </c>
      <c r="L686" t="s">
        <v>19</v>
      </c>
    </row>
    <row r="687" spans="1:12" x14ac:dyDescent="0.35">
      <c r="A687" t="s">
        <v>725</v>
      </c>
      <c r="B687">
        <v>72</v>
      </c>
      <c r="C687" t="s">
        <v>20</v>
      </c>
      <c r="D687" t="s">
        <v>29</v>
      </c>
      <c r="E687" t="s">
        <v>30</v>
      </c>
      <c r="F687">
        <v>45808</v>
      </c>
      <c r="G687" t="s">
        <v>36</v>
      </c>
      <c r="H687">
        <v>47372.796713348907</v>
      </c>
      <c r="I687">
        <v>373</v>
      </c>
      <c r="J687" t="s">
        <v>25</v>
      </c>
      <c r="K687">
        <v>45815</v>
      </c>
      <c r="L687" t="s">
        <v>31</v>
      </c>
    </row>
    <row r="688" spans="1:12" x14ac:dyDescent="0.35">
      <c r="A688" t="s">
        <v>726</v>
      </c>
      <c r="B688">
        <v>33</v>
      </c>
      <c r="C688" t="s">
        <v>11</v>
      </c>
      <c r="D688" t="s">
        <v>33</v>
      </c>
      <c r="E688" t="s">
        <v>30</v>
      </c>
      <c r="F688">
        <v>45889</v>
      </c>
      <c r="G688" t="s">
        <v>38</v>
      </c>
      <c r="H688">
        <v>36455.737490200263</v>
      </c>
      <c r="I688">
        <v>411</v>
      </c>
      <c r="J688" t="s">
        <v>18</v>
      </c>
      <c r="K688">
        <v>45891</v>
      </c>
      <c r="L688" t="s">
        <v>22</v>
      </c>
    </row>
    <row r="689" spans="1:12" x14ac:dyDescent="0.35">
      <c r="A689" t="s">
        <v>727</v>
      </c>
      <c r="B689">
        <v>24</v>
      </c>
      <c r="C689" t="s">
        <v>20</v>
      </c>
      <c r="D689" t="s">
        <v>16</v>
      </c>
      <c r="E689" t="s">
        <v>24</v>
      </c>
      <c r="F689">
        <v>45734</v>
      </c>
      <c r="G689" t="s">
        <v>38</v>
      </c>
      <c r="H689">
        <v>7297.4709818187775</v>
      </c>
      <c r="I689">
        <v>442</v>
      </c>
      <c r="J689" t="s">
        <v>18</v>
      </c>
      <c r="K689">
        <v>45747</v>
      </c>
      <c r="L689" t="s">
        <v>19</v>
      </c>
    </row>
    <row r="690" spans="1:12" x14ac:dyDescent="0.35">
      <c r="A690" t="s">
        <v>728</v>
      </c>
      <c r="B690">
        <v>37</v>
      </c>
      <c r="C690" t="s">
        <v>20</v>
      </c>
      <c r="D690" t="s">
        <v>12</v>
      </c>
      <c r="E690" t="s">
        <v>13</v>
      </c>
      <c r="F690">
        <v>45957</v>
      </c>
      <c r="G690" t="s">
        <v>39</v>
      </c>
      <c r="H690">
        <v>22754.692130789739</v>
      </c>
      <c r="I690">
        <v>247</v>
      </c>
      <c r="J690" t="s">
        <v>25</v>
      </c>
      <c r="K690">
        <v>45965</v>
      </c>
      <c r="L690" t="s">
        <v>19</v>
      </c>
    </row>
    <row r="691" spans="1:12" x14ac:dyDescent="0.35">
      <c r="A691" t="s">
        <v>729</v>
      </c>
      <c r="B691">
        <v>82</v>
      </c>
      <c r="C691" t="s">
        <v>20</v>
      </c>
      <c r="D691" t="s">
        <v>33</v>
      </c>
      <c r="E691" t="s">
        <v>13</v>
      </c>
      <c r="F691">
        <v>45973</v>
      </c>
      <c r="G691" t="s">
        <v>38</v>
      </c>
      <c r="H691">
        <v>22784.134768700638</v>
      </c>
      <c r="I691">
        <v>475</v>
      </c>
      <c r="J691" t="s">
        <v>18</v>
      </c>
      <c r="K691">
        <v>45985</v>
      </c>
      <c r="L691" t="s">
        <v>19</v>
      </c>
    </row>
    <row r="692" spans="1:12" x14ac:dyDescent="0.35">
      <c r="A692" t="s">
        <v>730</v>
      </c>
      <c r="B692">
        <v>17</v>
      </c>
      <c r="C692" t="s">
        <v>20</v>
      </c>
      <c r="D692" t="s">
        <v>21</v>
      </c>
      <c r="E692" t="s">
        <v>32</v>
      </c>
      <c r="F692">
        <v>45775</v>
      </c>
      <c r="G692" t="s">
        <v>39</v>
      </c>
      <c r="H692">
        <v>37591.085670777436</v>
      </c>
      <c r="I692">
        <v>336</v>
      </c>
      <c r="J692" t="s">
        <v>25</v>
      </c>
      <c r="K692">
        <v>45780</v>
      </c>
      <c r="L692" t="s">
        <v>22</v>
      </c>
    </row>
    <row r="693" spans="1:12" x14ac:dyDescent="0.35">
      <c r="A693" t="s">
        <v>731</v>
      </c>
      <c r="B693">
        <v>55</v>
      </c>
      <c r="C693" t="s">
        <v>20</v>
      </c>
      <c r="D693" t="s">
        <v>26</v>
      </c>
      <c r="E693" t="s">
        <v>28</v>
      </c>
      <c r="F693">
        <v>45722</v>
      </c>
      <c r="G693" t="s">
        <v>36</v>
      </c>
      <c r="H693">
        <v>44415.218284627997</v>
      </c>
      <c r="I693">
        <v>136</v>
      </c>
      <c r="J693" t="s">
        <v>18</v>
      </c>
      <c r="K693">
        <v>45727</v>
      </c>
      <c r="L693" t="s">
        <v>31</v>
      </c>
    </row>
    <row r="694" spans="1:12" x14ac:dyDescent="0.35">
      <c r="A694" t="s">
        <v>732</v>
      </c>
      <c r="B694">
        <v>46</v>
      </c>
      <c r="C694" t="s">
        <v>20</v>
      </c>
      <c r="D694" t="s">
        <v>16</v>
      </c>
      <c r="E694" t="s">
        <v>30</v>
      </c>
      <c r="F694">
        <v>45939</v>
      </c>
      <c r="G694" t="s">
        <v>37</v>
      </c>
      <c r="H694">
        <v>3350.4955204913449</v>
      </c>
      <c r="I694">
        <v>359</v>
      </c>
      <c r="J694" t="s">
        <v>25</v>
      </c>
      <c r="K694">
        <v>45949</v>
      </c>
      <c r="L694" t="s">
        <v>15</v>
      </c>
    </row>
    <row r="695" spans="1:12" x14ac:dyDescent="0.35">
      <c r="A695" t="s">
        <v>733</v>
      </c>
      <c r="B695">
        <v>37</v>
      </c>
      <c r="C695" t="s">
        <v>20</v>
      </c>
      <c r="D695" t="s">
        <v>21</v>
      </c>
      <c r="E695" t="s">
        <v>13</v>
      </c>
      <c r="F695">
        <v>45847</v>
      </c>
      <c r="G695" t="s">
        <v>39</v>
      </c>
      <c r="H695">
        <v>31446.97447647938</v>
      </c>
      <c r="I695">
        <v>357</v>
      </c>
      <c r="J695" t="s">
        <v>18</v>
      </c>
      <c r="K695">
        <v>45854</v>
      </c>
      <c r="L695" t="s">
        <v>22</v>
      </c>
    </row>
    <row r="696" spans="1:12" x14ac:dyDescent="0.35">
      <c r="A696" t="s">
        <v>734</v>
      </c>
      <c r="B696">
        <v>44</v>
      </c>
      <c r="C696" t="s">
        <v>11</v>
      </c>
      <c r="D696" t="s">
        <v>12</v>
      </c>
      <c r="E696" t="s">
        <v>17</v>
      </c>
      <c r="F696">
        <v>45804</v>
      </c>
      <c r="G696" t="s">
        <v>37</v>
      </c>
      <c r="H696">
        <v>25682.536853059471</v>
      </c>
      <c r="I696">
        <v>487</v>
      </c>
      <c r="J696" t="s">
        <v>18</v>
      </c>
      <c r="K696">
        <v>45811</v>
      </c>
      <c r="L696" t="s">
        <v>22</v>
      </c>
    </row>
    <row r="697" spans="1:12" x14ac:dyDescent="0.35">
      <c r="A697" t="s">
        <v>735</v>
      </c>
      <c r="B697">
        <v>28</v>
      </c>
      <c r="C697" t="s">
        <v>11</v>
      </c>
      <c r="D697" t="s">
        <v>23</v>
      </c>
      <c r="E697" t="s">
        <v>32</v>
      </c>
      <c r="F697">
        <v>45993</v>
      </c>
      <c r="G697" t="s">
        <v>39</v>
      </c>
      <c r="H697">
        <v>8820.6889830290002</v>
      </c>
      <c r="I697">
        <v>334</v>
      </c>
      <c r="J697" t="s">
        <v>18</v>
      </c>
      <c r="K697">
        <v>45994</v>
      </c>
      <c r="L697" t="s">
        <v>15</v>
      </c>
    </row>
    <row r="698" spans="1:12" x14ac:dyDescent="0.35">
      <c r="A698" t="s">
        <v>736</v>
      </c>
      <c r="B698">
        <v>43</v>
      </c>
      <c r="C698" t="s">
        <v>20</v>
      </c>
      <c r="D698" t="s">
        <v>21</v>
      </c>
      <c r="E698" t="s">
        <v>13</v>
      </c>
      <c r="F698">
        <v>45693</v>
      </c>
      <c r="G698" t="s">
        <v>39</v>
      </c>
      <c r="H698">
        <v>-68.319620761113356</v>
      </c>
      <c r="I698">
        <v>288</v>
      </c>
      <c r="J698" t="s">
        <v>18</v>
      </c>
      <c r="K698">
        <v>45695</v>
      </c>
      <c r="L698" t="s">
        <v>19</v>
      </c>
    </row>
    <row r="699" spans="1:12" x14ac:dyDescent="0.35">
      <c r="A699" t="s">
        <v>737</v>
      </c>
      <c r="B699">
        <v>19</v>
      </c>
      <c r="C699" t="s">
        <v>20</v>
      </c>
      <c r="D699" t="s">
        <v>23</v>
      </c>
      <c r="E699" t="s">
        <v>30</v>
      </c>
      <c r="F699">
        <v>45869</v>
      </c>
      <c r="G699" t="s">
        <v>37</v>
      </c>
      <c r="H699">
        <v>42157.22298233107</v>
      </c>
      <c r="I699">
        <v>149</v>
      </c>
      <c r="J699" t="s">
        <v>25</v>
      </c>
      <c r="K699">
        <v>45881</v>
      </c>
      <c r="L699" t="s">
        <v>31</v>
      </c>
    </row>
    <row r="700" spans="1:12" x14ac:dyDescent="0.35">
      <c r="A700" t="s">
        <v>738</v>
      </c>
      <c r="B700">
        <v>74</v>
      </c>
      <c r="C700" t="s">
        <v>11</v>
      </c>
      <c r="D700" t="s">
        <v>26</v>
      </c>
      <c r="E700" t="s">
        <v>17</v>
      </c>
      <c r="F700">
        <v>45859</v>
      </c>
      <c r="G700" t="s">
        <v>36</v>
      </c>
      <c r="H700">
        <v>-1310.272894708412</v>
      </c>
      <c r="I700">
        <v>257</v>
      </c>
      <c r="J700" t="s">
        <v>25</v>
      </c>
      <c r="K700">
        <v>45872</v>
      </c>
      <c r="L700" t="s">
        <v>15</v>
      </c>
    </row>
    <row r="701" spans="1:12" x14ac:dyDescent="0.35">
      <c r="A701" t="s">
        <v>739</v>
      </c>
      <c r="B701">
        <v>40</v>
      </c>
      <c r="C701" t="s">
        <v>20</v>
      </c>
      <c r="D701" t="s">
        <v>21</v>
      </c>
      <c r="E701" t="s">
        <v>32</v>
      </c>
      <c r="F701">
        <v>45931</v>
      </c>
      <c r="G701" t="s">
        <v>36</v>
      </c>
      <c r="H701">
        <v>4781.9446624751045</v>
      </c>
      <c r="I701">
        <v>392</v>
      </c>
      <c r="J701" t="s">
        <v>18</v>
      </c>
      <c r="K701">
        <v>45938</v>
      </c>
      <c r="L701" t="s">
        <v>22</v>
      </c>
    </row>
    <row r="702" spans="1:12" x14ac:dyDescent="0.35">
      <c r="A702" t="s">
        <v>740</v>
      </c>
      <c r="B702">
        <v>35</v>
      </c>
      <c r="C702" t="s">
        <v>11</v>
      </c>
      <c r="D702" t="s">
        <v>33</v>
      </c>
      <c r="E702" t="s">
        <v>17</v>
      </c>
      <c r="F702">
        <v>45714</v>
      </c>
      <c r="G702" t="s">
        <v>37</v>
      </c>
      <c r="H702">
        <v>12961.37254976216</v>
      </c>
      <c r="I702">
        <v>403</v>
      </c>
      <c r="J702" t="s">
        <v>18</v>
      </c>
      <c r="K702">
        <v>45718</v>
      </c>
      <c r="L702" t="s">
        <v>31</v>
      </c>
    </row>
    <row r="703" spans="1:12" x14ac:dyDescent="0.35">
      <c r="A703" t="s">
        <v>741</v>
      </c>
      <c r="B703">
        <v>64</v>
      </c>
      <c r="C703" t="s">
        <v>20</v>
      </c>
      <c r="D703" t="s">
        <v>26</v>
      </c>
      <c r="E703" t="s">
        <v>30</v>
      </c>
      <c r="F703">
        <v>45944</v>
      </c>
      <c r="G703" t="s">
        <v>37</v>
      </c>
      <c r="H703">
        <v>20577.708926659619</v>
      </c>
      <c r="I703">
        <v>387</v>
      </c>
      <c r="J703" t="s">
        <v>25</v>
      </c>
      <c r="K703">
        <v>45945</v>
      </c>
      <c r="L703" t="s">
        <v>27</v>
      </c>
    </row>
    <row r="704" spans="1:12" x14ac:dyDescent="0.35">
      <c r="A704" t="s">
        <v>742</v>
      </c>
      <c r="B704">
        <v>36</v>
      </c>
      <c r="C704" t="s">
        <v>20</v>
      </c>
      <c r="D704" t="s">
        <v>16</v>
      </c>
      <c r="E704" t="s">
        <v>28</v>
      </c>
      <c r="F704">
        <v>45876</v>
      </c>
      <c r="G704" t="s">
        <v>36</v>
      </c>
      <c r="H704">
        <v>45726.142715749193</v>
      </c>
      <c r="I704">
        <v>487</v>
      </c>
      <c r="J704" t="s">
        <v>25</v>
      </c>
      <c r="K704">
        <v>45886</v>
      </c>
      <c r="L704" t="s">
        <v>27</v>
      </c>
    </row>
    <row r="705" spans="1:12" x14ac:dyDescent="0.35">
      <c r="A705" t="s">
        <v>743</v>
      </c>
      <c r="B705">
        <v>47</v>
      </c>
      <c r="C705" t="s">
        <v>20</v>
      </c>
      <c r="D705" t="s">
        <v>34</v>
      </c>
      <c r="E705" t="s">
        <v>17</v>
      </c>
      <c r="F705">
        <v>45827</v>
      </c>
      <c r="G705" t="s">
        <v>38</v>
      </c>
      <c r="H705">
        <v>38683.446827763008</v>
      </c>
      <c r="I705">
        <v>418</v>
      </c>
      <c r="J705" t="s">
        <v>25</v>
      </c>
      <c r="K705">
        <v>45832</v>
      </c>
      <c r="L705" t="s">
        <v>15</v>
      </c>
    </row>
    <row r="706" spans="1:12" x14ac:dyDescent="0.35">
      <c r="A706" t="s">
        <v>744</v>
      </c>
      <c r="B706">
        <v>25</v>
      </c>
      <c r="C706" t="s">
        <v>20</v>
      </c>
      <c r="D706" t="s">
        <v>16</v>
      </c>
      <c r="E706" t="s">
        <v>13</v>
      </c>
      <c r="F706">
        <v>45974</v>
      </c>
      <c r="G706" t="s">
        <v>37</v>
      </c>
      <c r="H706">
        <v>25911.352007590551</v>
      </c>
      <c r="I706">
        <v>343</v>
      </c>
      <c r="J706" t="s">
        <v>18</v>
      </c>
      <c r="K706">
        <v>45984</v>
      </c>
      <c r="L706" t="s">
        <v>22</v>
      </c>
    </row>
    <row r="707" spans="1:12" x14ac:dyDescent="0.35">
      <c r="A707" t="s">
        <v>745</v>
      </c>
      <c r="B707">
        <v>33</v>
      </c>
      <c r="C707" t="s">
        <v>11</v>
      </c>
      <c r="D707" t="s">
        <v>12</v>
      </c>
      <c r="E707" t="s">
        <v>28</v>
      </c>
      <c r="F707">
        <v>45958</v>
      </c>
      <c r="G707" t="s">
        <v>37</v>
      </c>
      <c r="H707">
        <v>46504.061232192696</v>
      </c>
      <c r="I707">
        <v>433</v>
      </c>
      <c r="J707" t="s">
        <v>18</v>
      </c>
      <c r="K707">
        <v>45961</v>
      </c>
      <c r="L707" t="s">
        <v>19</v>
      </c>
    </row>
    <row r="708" spans="1:12" x14ac:dyDescent="0.35">
      <c r="A708" t="s">
        <v>746</v>
      </c>
      <c r="B708">
        <v>41</v>
      </c>
      <c r="C708" t="s">
        <v>11</v>
      </c>
      <c r="D708" t="s">
        <v>33</v>
      </c>
      <c r="E708" t="s">
        <v>28</v>
      </c>
      <c r="F708">
        <v>45724</v>
      </c>
      <c r="G708" t="s">
        <v>39</v>
      </c>
      <c r="H708">
        <v>13127.33995354016</v>
      </c>
      <c r="I708">
        <v>436</v>
      </c>
      <c r="J708" t="s">
        <v>25</v>
      </c>
      <c r="K708">
        <v>45731</v>
      </c>
      <c r="L708" t="s">
        <v>22</v>
      </c>
    </row>
    <row r="709" spans="1:12" x14ac:dyDescent="0.35">
      <c r="A709" t="s">
        <v>747</v>
      </c>
      <c r="B709">
        <v>60</v>
      </c>
      <c r="C709" t="s">
        <v>11</v>
      </c>
      <c r="D709" t="s">
        <v>12</v>
      </c>
      <c r="E709" t="s">
        <v>13</v>
      </c>
      <c r="F709">
        <v>45694</v>
      </c>
      <c r="G709" t="s">
        <v>39</v>
      </c>
      <c r="H709">
        <v>33066.42532790258</v>
      </c>
      <c r="I709">
        <v>312</v>
      </c>
      <c r="J709" t="s">
        <v>25</v>
      </c>
      <c r="K709">
        <v>45701</v>
      </c>
      <c r="L709" t="s">
        <v>22</v>
      </c>
    </row>
    <row r="710" spans="1:12" x14ac:dyDescent="0.35">
      <c r="A710" t="s">
        <v>748</v>
      </c>
      <c r="B710">
        <v>16</v>
      </c>
      <c r="C710" t="s">
        <v>11</v>
      </c>
      <c r="D710" t="s">
        <v>26</v>
      </c>
      <c r="E710" t="s">
        <v>30</v>
      </c>
      <c r="F710">
        <v>45822</v>
      </c>
      <c r="G710" t="s">
        <v>37</v>
      </c>
      <c r="H710">
        <v>2635.0093102148221</v>
      </c>
      <c r="I710">
        <v>236</v>
      </c>
      <c r="J710" t="s">
        <v>18</v>
      </c>
      <c r="K710">
        <v>45823</v>
      </c>
      <c r="L710" t="s">
        <v>27</v>
      </c>
    </row>
    <row r="711" spans="1:12" x14ac:dyDescent="0.35">
      <c r="A711" t="s">
        <v>749</v>
      </c>
      <c r="B711">
        <v>77</v>
      </c>
      <c r="C711" t="s">
        <v>11</v>
      </c>
      <c r="D711" t="s">
        <v>21</v>
      </c>
      <c r="E711" t="s">
        <v>13</v>
      </c>
      <c r="F711">
        <v>45971</v>
      </c>
      <c r="G711" t="s">
        <v>36</v>
      </c>
      <c r="H711">
        <v>43914.877994545917</v>
      </c>
      <c r="I711">
        <v>113</v>
      </c>
      <c r="J711" t="s">
        <v>18</v>
      </c>
      <c r="K711">
        <v>45977</v>
      </c>
      <c r="L711" t="s">
        <v>19</v>
      </c>
    </row>
    <row r="712" spans="1:12" x14ac:dyDescent="0.35">
      <c r="A712" t="s">
        <v>750</v>
      </c>
      <c r="B712">
        <v>61</v>
      </c>
      <c r="C712" t="s">
        <v>11</v>
      </c>
      <c r="D712" t="s">
        <v>23</v>
      </c>
      <c r="E712" t="s">
        <v>24</v>
      </c>
      <c r="F712">
        <v>45701</v>
      </c>
      <c r="G712" t="s">
        <v>39</v>
      </c>
      <c r="H712">
        <v>26184.999182599418</v>
      </c>
      <c r="I712">
        <v>428</v>
      </c>
      <c r="J712" t="s">
        <v>25</v>
      </c>
      <c r="K712">
        <v>45714</v>
      </c>
      <c r="L712" t="s">
        <v>27</v>
      </c>
    </row>
    <row r="713" spans="1:12" x14ac:dyDescent="0.35">
      <c r="A713" t="s">
        <v>751</v>
      </c>
      <c r="B713">
        <v>66</v>
      </c>
      <c r="C713" t="s">
        <v>11</v>
      </c>
      <c r="D713" t="s">
        <v>33</v>
      </c>
      <c r="E713" t="s">
        <v>24</v>
      </c>
      <c r="F713">
        <v>45691</v>
      </c>
      <c r="G713" t="s">
        <v>39</v>
      </c>
      <c r="H713">
        <v>13074.056491834801</v>
      </c>
      <c r="I713">
        <v>293</v>
      </c>
      <c r="J713" t="s">
        <v>18</v>
      </c>
      <c r="K713">
        <v>45700</v>
      </c>
      <c r="L713" t="s">
        <v>22</v>
      </c>
    </row>
    <row r="714" spans="1:12" x14ac:dyDescent="0.35">
      <c r="A714" t="s">
        <v>752</v>
      </c>
      <c r="B714">
        <v>62</v>
      </c>
      <c r="C714" t="s">
        <v>11</v>
      </c>
      <c r="D714" t="s">
        <v>12</v>
      </c>
      <c r="E714" t="s">
        <v>24</v>
      </c>
      <c r="F714">
        <v>45753</v>
      </c>
      <c r="G714" t="s">
        <v>37</v>
      </c>
      <c r="H714">
        <v>13410.78564748242</v>
      </c>
      <c r="I714">
        <v>484</v>
      </c>
      <c r="J714" t="s">
        <v>18</v>
      </c>
      <c r="K714">
        <v>45755</v>
      </c>
      <c r="L714" t="s">
        <v>15</v>
      </c>
    </row>
    <row r="715" spans="1:12" x14ac:dyDescent="0.35">
      <c r="A715" t="s">
        <v>753</v>
      </c>
      <c r="B715">
        <v>18</v>
      </c>
      <c r="C715" t="s">
        <v>11</v>
      </c>
      <c r="D715" t="s">
        <v>12</v>
      </c>
      <c r="E715" t="s">
        <v>17</v>
      </c>
      <c r="F715">
        <v>45781</v>
      </c>
      <c r="G715" t="s">
        <v>38</v>
      </c>
      <c r="H715">
        <v>45997.341582566703</v>
      </c>
      <c r="I715">
        <v>172</v>
      </c>
      <c r="J715" t="s">
        <v>25</v>
      </c>
      <c r="K715">
        <v>45791</v>
      </c>
      <c r="L715" t="s">
        <v>31</v>
      </c>
    </row>
    <row r="716" spans="1:12" x14ac:dyDescent="0.35">
      <c r="A716" t="s">
        <v>754</v>
      </c>
      <c r="B716">
        <v>86</v>
      </c>
      <c r="C716" t="s">
        <v>20</v>
      </c>
      <c r="D716" t="s">
        <v>29</v>
      </c>
      <c r="E716" t="s">
        <v>32</v>
      </c>
      <c r="F716">
        <v>45919</v>
      </c>
      <c r="G716" t="s">
        <v>39</v>
      </c>
      <c r="H716">
        <v>44447.643543331571</v>
      </c>
      <c r="I716">
        <v>405</v>
      </c>
      <c r="J716" t="s">
        <v>18</v>
      </c>
      <c r="K716">
        <v>45920</v>
      </c>
      <c r="L716" t="s">
        <v>22</v>
      </c>
    </row>
    <row r="717" spans="1:12" x14ac:dyDescent="0.35">
      <c r="A717" t="s">
        <v>755</v>
      </c>
      <c r="B717">
        <v>62</v>
      </c>
      <c r="C717" t="s">
        <v>11</v>
      </c>
      <c r="D717" t="s">
        <v>21</v>
      </c>
      <c r="E717" t="s">
        <v>32</v>
      </c>
      <c r="F717">
        <v>45932</v>
      </c>
      <c r="G717" t="s">
        <v>37</v>
      </c>
      <c r="H717">
        <v>22740.130276558069</v>
      </c>
      <c r="I717">
        <v>487</v>
      </c>
      <c r="J717" t="s">
        <v>18</v>
      </c>
      <c r="K717">
        <v>45934</v>
      </c>
      <c r="L717" t="s">
        <v>31</v>
      </c>
    </row>
    <row r="718" spans="1:12" x14ac:dyDescent="0.35">
      <c r="A718" t="s">
        <v>756</v>
      </c>
      <c r="B718">
        <v>47</v>
      </c>
      <c r="C718" t="s">
        <v>20</v>
      </c>
      <c r="D718" t="s">
        <v>34</v>
      </c>
      <c r="E718" t="s">
        <v>17</v>
      </c>
      <c r="F718">
        <v>45730</v>
      </c>
      <c r="G718" t="s">
        <v>38</v>
      </c>
      <c r="H718">
        <v>22695.732990980359</v>
      </c>
      <c r="I718">
        <v>404</v>
      </c>
      <c r="J718" t="s">
        <v>25</v>
      </c>
      <c r="K718">
        <v>45744</v>
      </c>
      <c r="L718" t="s">
        <v>19</v>
      </c>
    </row>
    <row r="719" spans="1:12" x14ac:dyDescent="0.35">
      <c r="A719" t="s">
        <v>757</v>
      </c>
      <c r="B719">
        <v>54</v>
      </c>
      <c r="C719" t="s">
        <v>20</v>
      </c>
      <c r="D719" t="s">
        <v>34</v>
      </c>
      <c r="E719" t="s">
        <v>17</v>
      </c>
      <c r="F719">
        <v>45706</v>
      </c>
      <c r="G719" t="s">
        <v>39</v>
      </c>
      <c r="H719">
        <v>39607.768279087133</v>
      </c>
      <c r="I719">
        <v>272</v>
      </c>
      <c r="J719" t="s">
        <v>25</v>
      </c>
      <c r="K719">
        <v>45720</v>
      </c>
      <c r="L719" t="s">
        <v>22</v>
      </c>
    </row>
    <row r="720" spans="1:12" x14ac:dyDescent="0.35">
      <c r="A720" t="s">
        <v>758</v>
      </c>
      <c r="B720">
        <v>37</v>
      </c>
      <c r="C720" t="s">
        <v>20</v>
      </c>
      <c r="D720" t="s">
        <v>21</v>
      </c>
      <c r="E720" t="s">
        <v>28</v>
      </c>
      <c r="F720">
        <v>45711</v>
      </c>
      <c r="G720" t="s">
        <v>38</v>
      </c>
      <c r="H720">
        <v>41094.480242013517</v>
      </c>
      <c r="I720">
        <v>245</v>
      </c>
      <c r="J720" t="s">
        <v>25</v>
      </c>
      <c r="K720">
        <v>45718</v>
      </c>
      <c r="L720" t="s">
        <v>27</v>
      </c>
    </row>
    <row r="721" spans="1:12" x14ac:dyDescent="0.35">
      <c r="A721" t="s">
        <v>759</v>
      </c>
      <c r="B721">
        <v>58</v>
      </c>
      <c r="C721" t="s">
        <v>20</v>
      </c>
      <c r="D721" t="s">
        <v>26</v>
      </c>
      <c r="E721" t="s">
        <v>17</v>
      </c>
      <c r="F721">
        <v>45755</v>
      </c>
      <c r="G721" t="s">
        <v>36</v>
      </c>
      <c r="H721">
        <v>38927.698411815007</v>
      </c>
      <c r="I721">
        <v>362</v>
      </c>
      <c r="J721" t="s">
        <v>18</v>
      </c>
      <c r="K721">
        <v>45759</v>
      </c>
      <c r="L721" t="s">
        <v>27</v>
      </c>
    </row>
    <row r="722" spans="1:12" x14ac:dyDescent="0.35">
      <c r="A722" t="s">
        <v>760</v>
      </c>
      <c r="B722">
        <v>75</v>
      </c>
      <c r="C722" t="s">
        <v>11</v>
      </c>
      <c r="D722" t="s">
        <v>12</v>
      </c>
      <c r="E722" t="s">
        <v>32</v>
      </c>
      <c r="F722">
        <v>45786</v>
      </c>
      <c r="G722" t="s">
        <v>39</v>
      </c>
      <c r="H722">
        <v>26988.097230346539</v>
      </c>
      <c r="I722">
        <v>450</v>
      </c>
      <c r="J722" t="s">
        <v>25</v>
      </c>
      <c r="K722">
        <v>45787</v>
      </c>
      <c r="L722" t="s">
        <v>27</v>
      </c>
    </row>
    <row r="723" spans="1:12" x14ac:dyDescent="0.35">
      <c r="A723" t="s">
        <v>761</v>
      </c>
      <c r="B723">
        <v>38</v>
      </c>
      <c r="C723" t="s">
        <v>11</v>
      </c>
      <c r="D723" t="s">
        <v>16</v>
      </c>
      <c r="E723" t="s">
        <v>32</v>
      </c>
      <c r="F723">
        <v>45872</v>
      </c>
      <c r="G723" t="s">
        <v>37</v>
      </c>
      <c r="H723">
        <v>10768.843093150919</v>
      </c>
      <c r="I723">
        <v>138</v>
      </c>
      <c r="J723" t="s">
        <v>18</v>
      </c>
      <c r="K723">
        <v>45883</v>
      </c>
      <c r="L723" t="s">
        <v>15</v>
      </c>
    </row>
    <row r="724" spans="1:12" x14ac:dyDescent="0.35">
      <c r="A724" t="s">
        <v>762</v>
      </c>
      <c r="B724">
        <v>83</v>
      </c>
      <c r="C724" t="s">
        <v>11</v>
      </c>
      <c r="D724" t="s">
        <v>26</v>
      </c>
      <c r="E724" t="s">
        <v>28</v>
      </c>
      <c r="F724">
        <v>45708</v>
      </c>
      <c r="G724" t="s">
        <v>39</v>
      </c>
      <c r="H724">
        <v>18283.38967311088</v>
      </c>
      <c r="I724">
        <v>153</v>
      </c>
      <c r="J724" t="s">
        <v>25</v>
      </c>
      <c r="K724">
        <v>45721</v>
      </c>
      <c r="L724" t="s">
        <v>15</v>
      </c>
    </row>
    <row r="725" spans="1:12" x14ac:dyDescent="0.35">
      <c r="A725" t="s">
        <v>763</v>
      </c>
      <c r="B725">
        <v>44</v>
      </c>
      <c r="C725" t="s">
        <v>20</v>
      </c>
      <c r="D725" t="s">
        <v>26</v>
      </c>
      <c r="E725" t="s">
        <v>30</v>
      </c>
      <c r="F725">
        <v>45683</v>
      </c>
      <c r="G725" t="s">
        <v>36</v>
      </c>
      <c r="H725">
        <v>14070.48079259527</v>
      </c>
      <c r="I725">
        <v>397</v>
      </c>
      <c r="J725" t="s">
        <v>18</v>
      </c>
      <c r="K725">
        <v>45697</v>
      </c>
      <c r="L725" t="s">
        <v>15</v>
      </c>
    </row>
    <row r="726" spans="1:12" x14ac:dyDescent="0.35">
      <c r="A726" t="s">
        <v>764</v>
      </c>
      <c r="B726">
        <v>56</v>
      </c>
      <c r="C726" t="s">
        <v>20</v>
      </c>
      <c r="D726" t="s">
        <v>12</v>
      </c>
      <c r="E726" t="s">
        <v>17</v>
      </c>
      <c r="F726">
        <v>45769</v>
      </c>
      <c r="G726" t="s">
        <v>39</v>
      </c>
      <c r="H726">
        <v>46774.834531235647</v>
      </c>
      <c r="I726">
        <v>396</v>
      </c>
      <c r="J726" t="s">
        <v>18</v>
      </c>
      <c r="K726">
        <v>45772</v>
      </c>
      <c r="L726" t="s">
        <v>19</v>
      </c>
    </row>
    <row r="727" spans="1:12" x14ac:dyDescent="0.35">
      <c r="A727" t="s">
        <v>765</v>
      </c>
      <c r="B727">
        <v>44</v>
      </c>
      <c r="C727" t="s">
        <v>11</v>
      </c>
      <c r="D727" t="s">
        <v>33</v>
      </c>
      <c r="E727" t="s">
        <v>13</v>
      </c>
      <c r="F727">
        <v>45821</v>
      </c>
      <c r="G727" t="s">
        <v>39</v>
      </c>
      <c r="H727">
        <v>12795.19969223959</v>
      </c>
      <c r="I727">
        <v>335</v>
      </c>
      <c r="J727" t="s">
        <v>18</v>
      </c>
      <c r="K727">
        <v>45826</v>
      </c>
      <c r="L727" t="s">
        <v>15</v>
      </c>
    </row>
    <row r="728" spans="1:12" x14ac:dyDescent="0.35">
      <c r="A728" t="s">
        <v>766</v>
      </c>
      <c r="B728">
        <v>24</v>
      </c>
      <c r="C728" t="s">
        <v>20</v>
      </c>
      <c r="D728" t="s">
        <v>16</v>
      </c>
      <c r="E728" t="s">
        <v>30</v>
      </c>
      <c r="F728">
        <v>45877</v>
      </c>
      <c r="G728" t="s">
        <v>39</v>
      </c>
      <c r="H728">
        <v>9662.4397668364163</v>
      </c>
      <c r="I728">
        <v>182</v>
      </c>
      <c r="J728" t="s">
        <v>18</v>
      </c>
      <c r="K728">
        <v>45883</v>
      </c>
      <c r="L728" t="s">
        <v>19</v>
      </c>
    </row>
    <row r="729" spans="1:12" x14ac:dyDescent="0.35">
      <c r="A729" t="s">
        <v>767</v>
      </c>
      <c r="B729">
        <v>64</v>
      </c>
      <c r="C729" t="s">
        <v>11</v>
      </c>
      <c r="D729" t="s">
        <v>12</v>
      </c>
      <c r="E729" t="s">
        <v>17</v>
      </c>
      <c r="F729">
        <v>45972</v>
      </c>
      <c r="G729" t="s">
        <v>38</v>
      </c>
      <c r="H729">
        <v>8245.6586280177689</v>
      </c>
      <c r="I729">
        <v>249</v>
      </c>
      <c r="J729" t="s">
        <v>25</v>
      </c>
      <c r="K729">
        <v>45982</v>
      </c>
      <c r="L729" t="s">
        <v>19</v>
      </c>
    </row>
    <row r="730" spans="1:12" x14ac:dyDescent="0.35">
      <c r="A730" t="s">
        <v>768</v>
      </c>
      <c r="B730">
        <v>19</v>
      </c>
      <c r="C730" t="s">
        <v>11</v>
      </c>
      <c r="D730" t="s">
        <v>21</v>
      </c>
      <c r="E730" t="s">
        <v>32</v>
      </c>
      <c r="F730">
        <v>45889</v>
      </c>
      <c r="G730" t="s">
        <v>37</v>
      </c>
      <c r="H730">
        <v>7192.6281782379574</v>
      </c>
      <c r="I730">
        <v>443</v>
      </c>
      <c r="J730" t="s">
        <v>18</v>
      </c>
      <c r="K730">
        <v>45898</v>
      </c>
      <c r="L730" t="s">
        <v>27</v>
      </c>
    </row>
    <row r="731" spans="1:12" x14ac:dyDescent="0.35">
      <c r="A731" t="s">
        <v>769</v>
      </c>
      <c r="B731">
        <v>19</v>
      </c>
      <c r="C731" t="s">
        <v>11</v>
      </c>
      <c r="D731" t="s">
        <v>33</v>
      </c>
      <c r="E731" t="s">
        <v>24</v>
      </c>
      <c r="F731">
        <v>45979</v>
      </c>
      <c r="G731" t="s">
        <v>37</v>
      </c>
      <c r="H731">
        <v>8537.2245416379938</v>
      </c>
      <c r="I731">
        <v>376</v>
      </c>
      <c r="J731" t="s">
        <v>25</v>
      </c>
      <c r="K731">
        <v>45983</v>
      </c>
      <c r="L731" t="s">
        <v>22</v>
      </c>
    </row>
    <row r="732" spans="1:12" x14ac:dyDescent="0.35">
      <c r="A732" t="s">
        <v>770</v>
      </c>
      <c r="B732">
        <v>60</v>
      </c>
      <c r="C732" t="s">
        <v>20</v>
      </c>
      <c r="D732" t="s">
        <v>26</v>
      </c>
      <c r="E732" t="s">
        <v>17</v>
      </c>
      <c r="F732">
        <v>45859</v>
      </c>
      <c r="G732" t="s">
        <v>39</v>
      </c>
      <c r="H732">
        <v>3827.8608580686769</v>
      </c>
      <c r="I732">
        <v>114</v>
      </c>
      <c r="J732" t="s">
        <v>18</v>
      </c>
      <c r="K732">
        <v>45868</v>
      </c>
      <c r="L732" t="s">
        <v>27</v>
      </c>
    </row>
    <row r="733" spans="1:12" x14ac:dyDescent="0.35">
      <c r="A733" t="s">
        <v>771</v>
      </c>
      <c r="B733">
        <v>49</v>
      </c>
      <c r="C733" t="s">
        <v>20</v>
      </c>
      <c r="D733" t="s">
        <v>33</v>
      </c>
      <c r="E733" t="s">
        <v>28</v>
      </c>
      <c r="F733">
        <v>45663</v>
      </c>
      <c r="G733" t="s">
        <v>37</v>
      </c>
      <c r="H733">
        <v>3437.6510668268011</v>
      </c>
      <c r="I733">
        <v>446</v>
      </c>
      <c r="J733" t="s">
        <v>25</v>
      </c>
      <c r="K733">
        <v>45665</v>
      </c>
      <c r="L733" t="s">
        <v>27</v>
      </c>
    </row>
    <row r="734" spans="1:12" x14ac:dyDescent="0.35">
      <c r="A734" t="s">
        <v>772</v>
      </c>
      <c r="B734">
        <v>83</v>
      </c>
      <c r="C734" t="s">
        <v>20</v>
      </c>
      <c r="D734" t="s">
        <v>34</v>
      </c>
      <c r="E734" t="s">
        <v>13</v>
      </c>
      <c r="F734">
        <v>45760</v>
      </c>
      <c r="G734" t="s">
        <v>39</v>
      </c>
      <c r="H734">
        <v>4993.0296470344574</v>
      </c>
      <c r="I734">
        <v>384</v>
      </c>
      <c r="J734" t="s">
        <v>25</v>
      </c>
      <c r="K734">
        <v>45766</v>
      </c>
      <c r="L734" t="s">
        <v>15</v>
      </c>
    </row>
    <row r="735" spans="1:12" x14ac:dyDescent="0.35">
      <c r="A735" t="s">
        <v>773</v>
      </c>
      <c r="B735">
        <v>69</v>
      </c>
      <c r="C735" t="s">
        <v>11</v>
      </c>
      <c r="D735" t="s">
        <v>21</v>
      </c>
      <c r="E735" t="s">
        <v>32</v>
      </c>
      <c r="F735">
        <v>45810</v>
      </c>
      <c r="G735" t="s">
        <v>38</v>
      </c>
      <c r="H735">
        <v>11230.496505544081</v>
      </c>
      <c r="I735">
        <v>150</v>
      </c>
      <c r="J735" t="s">
        <v>18</v>
      </c>
      <c r="K735">
        <v>45824</v>
      </c>
      <c r="L735" t="s">
        <v>31</v>
      </c>
    </row>
    <row r="736" spans="1:12" x14ac:dyDescent="0.35">
      <c r="A736" t="s">
        <v>774</v>
      </c>
      <c r="B736">
        <v>18</v>
      </c>
      <c r="C736" t="s">
        <v>11</v>
      </c>
      <c r="D736" t="s">
        <v>16</v>
      </c>
      <c r="E736" t="s">
        <v>30</v>
      </c>
      <c r="F736">
        <v>45835</v>
      </c>
      <c r="G736" t="s">
        <v>36</v>
      </c>
      <c r="H736">
        <v>38649.409857675171</v>
      </c>
      <c r="I736">
        <v>277</v>
      </c>
      <c r="J736" t="s">
        <v>25</v>
      </c>
      <c r="K736">
        <v>45837</v>
      </c>
      <c r="L736" t="s">
        <v>15</v>
      </c>
    </row>
    <row r="737" spans="1:12" x14ac:dyDescent="0.35">
      <c r="A737" t="s">
        <v>775</v>
      </c>
      <c r="B737">
        <v>75</v>
      </c>
      <c r="C737" t="s">
        <v>20</v>
      </c>
      <c r="D737" t="s">
        <v>33</v>
      </c>
      <c r="E737" t="s">
        <v>32</v>
      </c>
      <c r="F737">
        <v>45667</v>
      </c>
      <c r="G737" t="s">
        <v>39</v>
      </c>
      <c r="H737">
        <v>28833.58590302537</v>
      </c>
      <c r="I737">
        <v>476</v>
      </c>
      <c r="J737" t="s">
        <v>25</v>
      </c>
      <c r="K737">
        <v>45681</v>
      </c>
      <c r="L737" t="s">
        <v>31</v>
      </c>
    </row>
    <row r="738" spans="1:12" x14ac:dyDescent="0.35">
      <c r="A738" t="s">
        <v>776</v>
      </c>
      <c r="B738">
        <v>66</v>
      </c>
      <c r="C738" t="s">
        <v>20</v>
      </c>
      <c r="D738" t="s">
        <v>12</v>
      </c>
      <c r="E738" t="s">
        <v>30</v>
      </c>
      <c r="F738">
        <v>45676</v>
      </c>
      <c r="G738" t="s">
        <v>39</v>
      </c>
      <c r="H738">
        <v>35319.123324266409</v>
      </c>
      <c r="I738">
        <v>419</v>
      </c>
      <c r="J738" t="s">
        <v>25</v>
      </c>
      <c r="K738">
        <v>45685</v>
      </c>
      <c r="L738" t="s">
        <v>19</v>
      </c>
    </row>
    <row r="739" spans="1:12" x14ac:dyDescent="0.35">
      <c r="A739" t="s">
        <v>777</v>
      </c>
      <c r="B739">
        <v>81</v>
      </c>
      <c r="C739" t="s">
        <v>20</v>
      </c>
      <c r="D739" t="s">
        <v>34</v>
      </c>
      <c r="E739" t="s">
        <v>30</v>
      </c>
      <c r="F739">
        <v>45877</v>
      </c>
      <c r="G739" t="s">
        <v>39</v>
      </c>
      <c r="H739">
        <v>6175.8819934402154</v>
      </c>
      <c r="I739">
        <v>123</v>
      </c>
      <c r="J739" t="s">
        <v>18</v>
      </c>
      <c r="K739">
        <v>45888</v>
      </c>
      <c r="L739" t="s">
        <v>19</v>
      </c>
    </row>
    <row r="740" spans="1:12" x14ac:dyDescent="0.35">
      <c r="A740" t="s">
        <v>778</v>
      </c>
      <c r="B740">
        <v>22</v>
      </c>
      <c r="C740" t="s">
        <v>20</v>
      </c>
      <c r="D740" t="s">
        <v>21</v>
      </c>
      <c r="E740" t="s">
        <v>13</v>
      </c>
      <c r="F740">
        <v>45679</v>
      </c>
      <c r="G740" t="s">
        <v>37</v>
      </c>
      <c r="H740">
        <v>42214.971634745838</v>
      </c>
      <c r="I740">
        <v>120</v>
      </c>
      <c r="J740" t="s">
        <v>25</v>
      </c>
      <c r="K740">
        <v>45684</v>
      </c>
      <c r="L740" t="s">
        <v>27</v>
      </c>
    </row>
    <row r="741" spans="1:12" x14ac:dyDescent="0.35">
      <c r="A741" t="s">
        <v>779</v>
      </c>
      <c r="B741">
        <v>49</v>
      </c>
      <c r="C741" t="s">
        <v>11</v>
      </c>
      <c r="D741" t="s">
        <v>34</v>
      </c>
      <c r="E741" t="s">
        <v>17</v>
      </c>
      <c r="F741">
        <v>45975</v>
      </c>
      <c r="G741" t="s">
        <v>39</v>
      </c>
      <c r="H741">
        <v>44150.492444979573</v>
      </c>
      <c r="I741">
        <v>370</v>
      </c>
      <c r="J741" t="s">
        <v>18</v>
      </c>
      <c r="K741">
        <v>45980</v>
      </c>
      <c r="L741" t="s">
        <v>19</v>
      </c>
    </row>
    <row r="742" spans="1:12" x14ac:dyDescent="0.35">
      <c r="A742" t="s">
        <v>780</v>
      </c>
      <c r="B742">
        <v>78</v>
      </c>
      <c r="C742" t="s">
        <v>20</v>
      </c>
      <c r="D742" t="s">
        <v>16</v>
      </c>
      <c r="E742" t="s">
        <v>28</v>
      </c>
      <c r="F742">
        <v>45945</v>
      </c>
      <c r="G742" t="s">
        <v>38</v>
      </c>
      <c r="H742">
        <v>3529.128245917163</v>
      </c>
      <c r="I742">
        <v>429</v>
      </c>
      <c r="J742" t="s">
        <v>25</v>
      </c>
      <c r="K742">
        <v>45958</v>
      </c>
      <c r="L742" t="s">
        <v>19</v>
      </c>
    </row>
    <row r="743" spans="1:12" x14ac:dyDescent="0.35">
      <c r="A743" t="s">
        <v>781</v>
      </c>
      <c r="B743">
        <v>49</v>
      </c>
      <c r="C743" t="s">
        <v>11</v>
      </c>
      <c r="D743" t="s">
        <v>21</v>
      </c>
      <c r="E743" t="s">
        <v>13</v>
      </c>
      <c r="F743">
        <v>45864</v>
      </c>
      <c r="G743" t="s">
        <v>38</v>
      </c>
      <c r="H743">
        <v>43811.285269042113</v>
      </c>
      <c r="I743">
        <v>496</v>
      </c>
      <c r="J743" t="s">
        <v>25</v>
      </c>
      <c r="K743">
        <v>45875</v>
      </c>
      <c r="L743" t="s">
        <v>15</v>
      </c>
    </row>
    <row r="744" spans="1:12" x14ac:dyDescent="0.35">
      <c r="A744" t="s">
        <v>782</v>
      </c>
      <c r="B744">
        <v>41</v>
      </c>
      <c r="C744" t="s">
        <v>11</v>
      </c>
      <c r="D744" t="s">
        <v>21</v>
      </c>
      <c r="E744" t="s">
        <v>13</v>
      </c>
      <c r="F744">
        <v>45943</v>
      </c>
      <c r="G744" t="s">
        <v>36</v>
      </c>
      <c r="H744">
        <v>39054.704749598372</v>
      </c>
      <c r="I744">
        <v>376</v>
      </c>
      <c r="J744" t="s">
        <v>14</v>
      </c>
      <c r="K744">
        <v>45956</v>
      </c>
      <c r="L744" t="s">
        <v>31</v>
      </c>
    </row>
    <row r="745" spans="1:12" x14ac:dyDescent="0.35">
      <c r="A745" t="s">
        <v>783</v>
      </c>
      <c r="B745">
        <v>65</v>
      </c>
      <c r="C745" t="s">
        <v>11</v>
      </c>
      <c r="D745" t="s">
        <v>34</v>
      </c>
      <c r="E745" t="s">
        <v>30</v>
      </c>
      <c r="F745">
        <v>46020</v>
      </c>
      <c r="G745" t="s">
        <v>37</v>
      </c>
      <c r="H745">
        <v>30764.793774327602</v>
      </c>
      <c r="I745">
        <v>367</v>
      </c>
      <c r="J745" t="s">
        <v>18</v>
      </c>
      <c r="K745">
        <v>46022</v>
      </c>
      <c r="L745" t="s">
        <v>31</v>
      </c>
    </row>
    <row r="746" spans="1:12" x14ac:dyDescent="0.35">
      <c r="A746" t="s">
        <v>784</v>
      </c>
      <c r="B746">
        <v>18</v>
      </c>
      <c r="C746" t="s">
        <v>20</v>
      </c>
      <c r="D746" t="s">
        <v>12</v>
      </c>
      <c r="E746" t="s">
        <v>24</v>
      </c>
      <c r="F746">
        <v>45778</v>
      </c>
      <c r="G746" t="s">
        <v>36</v>
      </c>
      <c r="H746">
        <v>42745.133582142364</v>
      </c>
      <c r="I746">
        <v>432</v>
      </c>
      <c r="J746" t="s">
        <v>25</v>
      </c>
      <c r="K746">
        <v>45792</v>
      </c>
      <c r="L746" t="s">
        <v>19</v>
      </c>
    </row>
    <row r="747" spans="1:12" x14ac:dyDescent="0.35">
      <c r="A747" t="s">
        <v>785</v>
      </c>
      <c r="B747">
        <v>53</v>
      </c>
      <c r="C747" t="s">
        <v>20</v>
      </c>
      <c r="D747" t="s">
        <v>16</v>
      </c>
      <c r="E747" t="s">
        <v>13</v>
      </c>
      <c r="F747">
        <v>45964</v>
      </c>
      <c r="G747" t="s">
        <v>36</v>
      </c>
      <c r="H747">
        <v>39155.122642819559</v>
      </c>
      <c r="I747">
        <v>398</v>
      </c>
      <c r="J747" t="s">
        <v>25</v>
      </c>
      <c r="K747">
        <v>45967</v>
      </c>
      <c r="L747" t="s">
        <v>22</v>
      </c>
    </row>
    <row r="748" spans="1:12" x14ac:dyDescent="0.35">
      <c r="A748" t="s">
        <v>786</v>
      </c>
      <c r="B748">
        <v>28</v>
      </c>
      <c r="C748" t="s">
        <v>20</v>
      </c>
      <c r="D748" t="s">
        <v>26</v>
      </c>
      <c r="E748" t="s">
        <v>17</v>
      </c>
      <c r="F748">
        <v>45680</v>
      </c>
      <c r="G748" t="s">
        <v>38</v>
      </c>
      <c r="H748">
        <v>44846.735938410398</v>
      </c>
      <c r="I748">
        <v>297</v>
      </c>
      <c r="J748" t="s">
        <v>18</v>
      </c>
      <c r="K748">
        <v>45683</v>
      </c>
      <c r="L748" t="s">
        <v>31</v>
      </c>
    </row>
    <row r="749" spans="1:12" x14ac:dyDescent="0.35">
      <c r="A749" t="s">
        <v>787</v>
      </c>
      <c r="B749">
        <v>28</v>
      </c>
      <c r="C749" t="s">
        <v>20</v>
      </c>
      <c r="D749" t="s">
        <v>34</v>
      </c>
      <c r="E749" t="s">
        <v>24</v>
      </c>
      <c r="F749">
        <v>45835</v>
      </c>
      <c r="G749" t="s">
        <v>38</v>
      </c>
      <c r="H749">
        <v>40423.07443681013</v>
      </c>
      <c r="I749">
        <v>319</v>
      </c>
      <c r="J749" t="s">
        <v>14</v>
      </c>
      <c r="K749">
        <v>45839</v>
      </c>
      <c r="L749" t="s">
        <v>31</v>
      </c>
    </row>
    <row r="750" spans="1:12" x14ac:dyDescent="0.35">
      <c r="A750" t="s">
        <v>788</v>
      </c>
      <c r="B750">
        <v>54</v>
      </c>
      <c r="C750" t="s">
        <v>20</v>
      </c>
      <c r="D750" t="s">
        <v>29</v>
      </c>
      <c r="E750" t="s">
        <v>17</v>
      </c>
      <c r="F750">
        <v>45891</v>
      </c>
      <c r="G750" t="s">
        <v>39</v>
      </c>
      <c r="H750">
        <v>45884.320913580203</v>
      </c>
      <c r="I750">
        <v>307</v>
      </c>
      <c r="J750" t="s">
        <v>14</v>
      </c>
      <c r="K750">
        <v>45905</v>
      </c>
      <c r="L750" t="s">
        <v>22</v>
      </c>
    </row>
    <row r="751" spans="1:12" x14ac:dyDescent="0.35">
      <c r="A751" t="s">
        <v>789</v>
      </c>
      <c r="B751">
        <v>53</v>
      </c>
      <c r="C751" t="s">
        <v>20</v>
      </c>
      <c r="D751" t="s">
        <v>23</v>
      </c>
      <c r="E751" t="s">
        <v>13</v>
      </c>
      <c r="F751">
        <v>45834</v>
      </c>
      <c r="G751" t="s">
        <v>38</v>
      </c>
      <c r="H751">
        <v>9024.0923011812956</v>
      </c>
      <c r="I751">
        <v>178</v>
      </c>
      <c r="J751" t="s">
        <v>25</v>
      </c>
      <c r="K751">
        <v>45844</v>
      </c>
      <c r="L751" t="s">
        <v>27</v>
      </c>
    </row>
    <row r="752" spans="1:12" x14ac:dyDescent="0.35">
      <c r="A752" t="s">
        <v>790</v>
      </c>
      <c r="B752">
        <v>40</v>
      </c>
      <c r="C752" t="s">
        <v>20</v>
      </c>
      <c r="D752" t="s">
        <v>34</v>
      </c>
      <c r="E752" t="s">
        <v>17</v>
      </c>
      <c r="F752">
        <v>45933</v>
      </c>
      <c r="G752" t="s">
        <v>37</v>
      </c>
      <c r="H752">
        <v>5805.9611122889837</v>
      </c>
      <c r="I752">
        <v>429</v>
      </c>
      <c r="J752" t="s">
        <v>18</v>
      </c>
      <c r="K752">
        <v>45935</v>
      </c>
      <c r="L752" t="s">
        <v>22</v>
      </c>
    </row>
    <row r="753" spans="1:12" x14ac:dyDescent="0.35">
      <c r="A753" t="s">
        <v>791</v>
      </c>
      <c r="B753">
        <v>16</v>
      </c>
      <c r="C753" t="s">
        <v>20</v>
      </c>
      <c r="D753" t="s">
        <v>21</v>
      </c>
      <c r="E753" t="s">
        <v>17</v>
      </c>
      <c r="F753">
        <v>45914</v>
      </c>
      <c r="G753" t="s">
        <v>39</v>
      </c>
      <c r="H753">
        <v>21031.774536882211</v>
      </c>
      <c r="I753">
        <v>413</v>
      </c>
      <c r="J753" t="s">
        <v>14</v>
      </c>
      <c r="K753">
        <v>45915</v>
      </c>
      <c r="L753" t="s">
        <v>27</v>
      </c>
    </row>
    <row r="754" spans="1:12" x14ac:dyDescent="0.35">
      <c r="A754" t="s">
        <v>792</v>
      </c>
      <c r="B754">
        <v>35</v>
      </c>
      <c r="C754" t="s">
        <v>20</v>
      </c>
      <c r="D754" t="s">
        <v>29</v>
      </c>
      <c r="E754" t="s">
        <v>28</v>
      </c>
      <c r="F754">
        <v>45825</v>
      </c>
      <c r="G754" t="s">
        <v>37</v>
      </c>
      <c r="H754">
        <v>3836.597755206722</v>
      </c>
      <c r="I754">
        <v>328</v>
      </c>
      <c r="J754" t="s">
        <v>14</v>
      </c>
      <c r="K754">
        <v>45826</v>
      </c>
      <c r="L754" t="s">
        <v>31</v>
      </c>
    </row>
    <row r="755" spans="1:12" x14ac:dyDescent="0.35">
      <c r="A755" t="s">
        <v>793</v>
      </c>
      <c r="B755">
        <v>47</v>
      </c>
      <c r="C755" t="s">
        <v>20</v>
      </c>
      <c r="D755" t="s">
        <v>12</v>
      </c>
      <c r="E755" t="s">
        <v>17</v>
      </c>
      <c r="F755">
        <v>45837</v>
      </c>
      <c r="G755" t="s">
        <v>38</v>
      </c>
      <c r="H755">
        <v>24265.501336028719</v>
      </c>
      <c r="I755">
        <v>326</v>
      </c>
      <c r="J755" t="s">
        <v>14</v>
      </c>
      <c r="K755">
        <v>45844</v>
      </c>
      <c r="L755" t="s">
        <v>27</v>
      </c>
    </row>
    <row r="756" spans="1:12" x14ac:dyDescent="0.35">
      <c r="A756" t="s">
        <v>794</v>
      </c>
      <c r="B756">
        <v>48</v>
      </c>
      <c r="C756" t="s">
        <v>20</v>
      </c>
      <c r="D756" t="s">
        <v>33</v>
      </c>
      <c r="E756" t="s">
        <v>13</v>
      </c>
      <c r="F756">
        <v>45704</v>
      </c>
      <c r="G756" t="s">
        <v>36</v>
      </c>
      <c r="H756">
        <v>4794.7513545462562</v>
      </c>
      <c r="I756">
        <v>382</v>
      </c>
      <c r="J756" t="s">
        <v>18</v>
      </c>
      <c r="K756">
        <v>45708</v>
      </c>
      <c r="L756" t="s">
        <v>15</v>
      </c>
    </row>
    <row r="757" spans="1:12" x14ac:dyDescent="0.35">
      <c r="A757" t="s">
        <v>795</v>
      </c>
      <c r="B757">
        <v>45</v>
      </c>
      <c r="C757" t="s">
        <v>11</v>
      </c>
      <c r="D757" t="s">
        <v>23</v>
      </c>
      <c r="E757" t="s">
        <v>30</v>
      </c>
      <c r="F757">
        <v>45823</v>
      </c>
      <c r="G757" t="s">
        <v>36</v>
      </c>
      <c r="H757">
        <v>13519.77433735948</v>
      </c>
      <c r="I757">
        <v>436</v>
      </c>
      <c r="J757" t="s">
        <v>18</v>
      </c>
      <c r="K757">
        <v>45832</v>
      </c>
      <c r="L757" t="s">
        <v>19</v>
      </c>
    </row>
    <row r="758" spans="1:12" x14ac:dyDescent="0.35">
      <c r="A758" t="s">
        <v>796</v>
      </c>
      <c r="B758">
        <v>66</v>
      </c>
      <c r="C758" t="s">
        <v>11</v>
      </c>
      <c r="D758" t="s">
        <v>21</v>
      </c>
      <c r="E758" t="s">
        <v>17</v>
      </c>
      <c r="F758">
        <v>45933</v>
      </c>
      <c r="G758" t="s">
        <v>37</v>
      </c>
      <c r="H758">
        <v>35395.467399047513</v>
      </c>
      <c r="I758">
        <v>492</v>
      </c>
      <c r="J758" t="s">
        <v>18</v>
      </c>
      <c r="K758">
        <v>45934</v>
      </c>
      <c r="L758" t="s">
        <v>22</v>
      </c>
    </row>
    <row r="759" spans="1:12" x14ac:dyDescent="0.35">
      <c r="A759" t="s">
        <v>797</v>
      </c>
      <c r="B759">
        <v>25</v>
      </c>
      <c r="C759" t="s">
        <v>11</v>
      </c>
      <c r="D759" t="s">
        <v>12</v>
      </c>
      <c r="E759" t="s">
        <v>13</v>
      </c>
      <c r="F759">
        <v>45953</v>
      </c>
      <c r="G759" t="s">
        <v>38</v>
      </c>
      <c r="H759">
        <v>36107.473548309463</v>
      </c>
      <c r="I759">
        <v>149</v>
      </c>
      <c r="J759" t="s">
        <v>14</v>
      </c>
      <c r="K759">
        <v>45965</v>
      </c>
      <c r="L759" t="s">
        <v>19</v>
      </c>
    </row>
    <row r="760" spans="1:12" x14ac:dyDescent="0.35">
      <c r="A760" t="s">
        <v>798</v>
      </c>
      <c r="B760">
        <v>72</v>
      </c>
      <c r="C760" t="s">
        <v>11</v>
      </c>
      <c r="D760" t="s">
        <v>34</v>
      </c>
      <c r="E760" t="s">
        <v>13</v>
      </c>
      <c r="F760">
        <v>45843</v>
      </c>
      <c r="G760" t="s">
        <v>39</v>
      </c>
      <c r="H760">
        <v>658.3915547217216</v>
      </c>
      <c r="I760">
        <v>432</v>
      </c>
      <c r="J760" t="s">
        <v>14</v>
      </c>
      <c r="K760">
        <v>45846</v>
      </c>
      <c r="L760" t="s">
        <v>22</v>
      </c>
    </row>
    <row r="761" spans="1:12" x14ac:dyDescent="0.35">
      <c r="A761" t="s">
        <v>799</v>
      </c>
      <c r="B761">
        <v>33</v>
      </c>
      <c r="C761" t="s">
        <v>20</v>
      </c>
      <c r="D761" t="s">
        <v>16</v>
      </c>
      <c r="E761" t="s">
        <v>24</v>
      </c>
      <c r="F761">
        <v>45958</v>
      </c>
      <c r="G761" t="s">
        <v>36</v>
      </c>
      <c r="H761">
        <v>34358.836547566927</v>
      </c>
      <c r="I761">
        <v>312</v>
      </c>
      <c r="J761" t="s">
        <v>14</v>
      </c>
      <c r="K761">
        <v>45964</v>
      </c>
      <c r="L761" t="s">
        <v>15</v>
      </c>
    </row>
    <row r="762" spans="1:12" x14ac:dyDescent="0.35">
      <c r="A762" t="s">
        <v>800</v>
      </c>
      <c r="B762">
        <v>38</v>
      </c>
      <c r="C762" t="s">
        <v>11</v>
      </c>
      <c r="D762" t="s">
        <v>21</v>
      </c>
      <c r="E762" t="s">
        <v>32</v>
      </c>
      <c r="F762">
        <v>45867</v>
      </c>
      <c r="G762" t="s">
        <v>39</v>
      </c>
      <c r="H762">
        <v>44839.305941457962</v>
      </c>
      <c r="I762">
        <v>138</v>
      </c>
      <c r="J762" t="s">
        <v>18</v>
      </c>
      <c r="K762">
        <v>45874</v>
      </c>
      <c r="L762" t="s">
        <v>27</v>
      </c>
    </row>
    <row r="763" spans="1:12" x14ac:dyDescent="0.35">
      <c r="A763" t="s">
        <v>801</v>
      </c>
      <c r="B763">
        <v>51</v>
      </c>
      <c r="C763" t="s">
        <v>20</v>
      </c>
      <c r="D763" t="s">
        <v>21</v>
      </c>
      <c r="E763" t="s">
        <v>17</v>
      </c>
      <c r="F763">
        <v>45877</v>
      </c>
      <c r="G763" t="s">
        <v>36</v>
      </c>
      <c r="H763">
        <v>32006.03156588805</v>
      </c>
      <c r="I763">
        <v>200</v>
      </c>
      <c r="J763" t="s">
        <v>14</v>
      </c>
      <c r="K763">
        <v>45889</v>
      </c>
      <c r="L763" t="s">
        <v>27</v>
      </c>
    </row>
    <row r="764" spans="1:12" x14ac:dyDescent="0.35">
      <c r="A764" t="s">
        <v>802</v>
      </c>
      <c r="B764">
        <v>82</v>
      </c>
      <c r="C764" t="s">
        <v>20</v>
      </c>
      <c r="D764" t="s">
        <v>16</v>
      </c>
      <c r="E764" t="s">
        <v>13</v>
      </c>
      <c r="F764">
        <v>45667</v>
      </c>
      <c r="G764" t="s">
        <v>37</v>
      </c>
      <c r="H764">
        <v>27971.280360766319</v>
      </c>
      <c r="I764">
        <v>120</v>
      </c>
      <c r="J764" t="s">
        <v>18</v>
      </c>
      <c r="K764">
        <v>45672</v>
      </c>
      <c r="L764" t="s">
        <v>31</v>
      </c>
    </row>
    <row r="765" spans="1:12" x14ac:dyDescent="0.35">
      <c r="A765" t="s">
        <v>803</v>
      </c>
      <c r="B765">
        <v>26</v>
      </c>
      <c r="C765" t="s">
        <v>11</v>
      </c>
      <c r="D765" t="s">
        <v>33</v>
      </c>
      <c r="E765" t="s">
        <v>13</v>
      </c>
      <c r="F765">
        <v>46010</v>
      </c>
      <c r="G765" t="s">
        <v>37</v>
      </c>
      <c r="H765">
        <v>18548.756069179719</v>
      </c>
      <c r="I765">
        <v>297</v>
      </c>
      <c r="J765" t="s">
        <v>14</v>
      </c>
      <c r="K765">
        <v>46012</v>
      </c>
      <c r="L765" t="s">
        <v>27</v>
      </c>
    </row>
    <row r="766" spans="1:12" x14ac:dyDescent="0.35">
      <c r="A766" t="s">
        <v>804</v>
      </c>
      <c r="B766">
        <v>86</v>
      </c>
      <c r="C766" t="s">
        <v>11</v>
      </c>
      <c r="D766" t="s">
        <v>21</v>
      </c>
      <c r="E766" t="s">
        <v>32</v>
      </c>
      <c r="F766">
        <v>45975</v>
      </c>
      <c r="G766" t="s">
        <v>36</v>
      </c>
      <c r="H766">
        <v>39776.67135155655</v>
      </c>
      <c r="I766">
        <v>194</v>
      </c>
      <c r="J766" t="s">
        <v>25</v>
      </c>
      <c r="K766">
        <v>45983</v>
      </c>
      <c r="L766" t="s">
        <v>15</v>
      </c>
    </row>
    <row r="767" spans="1:12" x14ac:dyDescent="0.35">
      <c r="A767" t="s">
        <v>805</v>
      </c>
      <c r="B767">
        <v>56</v>
      </c>
      <c r="C767" t="s">
        <v>11</v>
      </c>
      <c r="D767" t="s">
        <v>23</v>
      </c>
      <c r="E767" t="s">
        <v>32</v>
      </c>
      <c r="F767">
        <v>45666</v>
      </c>
      <c r="G767" t="s">
        <v>36</v>
      </c>
      <c r="H767">
        <v>42056.044881278911</v>
      </c>
      <c r="I767">
        <v>277</v>
      </c>
      <c r="J767" t="s">
        <v>18</v>
      </c>
      <c r="K767">
        <v>45674</v>
      </c>
      <c r="L767" t="s">
        <v>15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28DAD-CDD5-4A3D-AF3A-88AB8EE44A86}">
  <dimension ref="A1"/>
  <sheetViews>
    <sheetView showGridLines="0" showRowColHeaders="0" tabSelected="1" topLeftCell="A2" zoomScale="76" workbookViewId="0">
      <selection activeCell="R35" sqref="R35"/>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c9cecca0-2399-41dc-afa3-8c420fad94e8"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526192CDEE4184CB0DFD55BB6283306" ma:contentTypeVersion="12" ma:contentTypeDescription="Create a new document." ma:contentTypeScope="" ma:versionID="5041c0b30de163379d0c1e146b33d4f1">
  <xsd:schema xmlns:xsd="http://www.w3.org/2001/XMLSchema" xmlns:xs="http://www.w3.org/2001/XMLSchema" xmlns:p="http://schemas.microsoft.com/office/2006/metadata/properties" xmlns:ns3="c9cecca0-2399-41dc-afa3-8c420fad94e8" targetNamespace="http://schemas.microsoft.com/office/2006/metadata/properties" ma:root="true" ma:fieldsID="abe946dba114070985d97ac55b6ecb9f" ns3:_="">
    <xsd:import namespace="c9cecca0-2399-41dc-afa3-8c420fad94e8"/>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_activity"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9cecca0-2399-41dc-afa3-8c420fad94e8"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_activity" ma:index="17" nillable="true" ma:displayName="_activity" ma:hidden="true" ma:internalName="_activity">
      <xsd:simpleType>
        <xsd:restriction base="dms:Note"/>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DEC47D1-A7A6-4323-BADB-CFBC329282EB}">
  <ds:schemaRefs>
    <ds:schemaRef ds:uri="http://schemas.microsoft.com/sharepoint/v3/contenttype/forms"/>
  </ds:schemaRefs>
</ds:datastoreItem>
</file>

<file path=customXml/itemProps2.xml><?xml version="1.0" encoding="utf-8"?>
<ds:datastoreItem xmlns:ds="http://schemas.openxmlformats.org/officeDocument/2006/customXml" ds:itemID="{94A366BC-1C21-46D6-BD83-B1D0F69D5370}">
  <ds:schemaRefs>
    <ds:schemaRef ds:uri="http://purl.org/dc/elements/1.1/"/>
    <ds:schemaRef ds:uri="http://schemas.openxmlformats.org/package/2006/metadata/core-properties"/>
    <ds:schemaRef ds:uri="http://www.w3.org/XML/1998/namespace"/>
    <ds:schemaRef ds:uri="http://schemas.microsoft.com/office/2006/documentManagement/types"/>
    <ds:schemaRef ds:uri="http://purl.org/dc/dcmitype/"/>
    <ds:schemaRef ds:uri="http://schemas.microsoft.com/office/infopath/2007/PartnerControls"/>
    <ds:schemaRef ds:uri="c9cecca0-2399-41dc-afa3-8c420fad94e8"/>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45080ED8-5C8A-4B37-A560-6DFDA76F3A2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9cecca0-2399-41dc-afa3-8c420fad94e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Detail1</vt:lpstr>
      <vt:lpstr>Sheet4</vt:lpstr>
      <vt:lpstr>Wilson Health</vt:lpstr>
      <vt:lpstr>Raw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Oluwaluyi</dc:creator>
  <cp:lastModifiedBy>nnenna onye</cp:lastModifiedBy>
  <dcterms:created xsi:type="dcterms:W3CDTF">2026-04-01T16:15:42Z</dcterms:created>
  <dcterms:modified xsi:type="dcterms:W3CDTF">2026-05-23T19:57:15Z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0x0101003526192CDEE4184CB0DFD55BB6283306</vt:lpwstr>
  </property>
</Properties>
</file>